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ick\Desktop\control\BACK UP\SUMMARY\YIELD ANALYSIS 2026\2026 BUDGETS\"/>
    </mc:Choice>
  </mc:AlternateContent>
  <xr:revisionPtr revIDLastSave="0" documentId="13_ncr:1_{064E5116-9585-4324-B7D8-D347BE2DABED}" xr6:coauthVersionLast="36" xr6:coauthVersionMax="36" xr10:uidLastSave="{00000000-0000-0000-0000-000000000000}"/>
  <bookViews>
    <workbookView xWindow="0" yWindow="0" windowWidth="20490" windowHeight="7005" firstSheet="2" activeTab="2" xr2:uid="{3BCAEDCD-4064-45C9-82E3-D0BE36A08193}"/>
  </bookViews>
  <sheets>
    <sheet name="DATA" sheetId="58" state="hidden" r:id="rId1"/>
    <sheet name="SEPTEMBER" sheetId="122" state="hidden" r:id="rId2"/>
    <sheet name="SEPTEMBER BUDGET" sheetId="123" r:id="rId3"/>
    <sheet name="SEP" sheetId="121" state="hidden" r:id="rId4"/>
    <sheet name="WORKINGS" sheetId="82" state="hidden" r:id="rId5"/>
  </sheets>
  <definedNames>
    <definedName name="_xlnm._FilterDatabase" localSheetId="1" hidden="1">SEPTEMBER!$A$2:$BN$2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5" i="123" l="1"/>
  <c r="E295" i="123"/>
  <c r="F295" i="123"/>
  <c r="G295" i="123"/>
  <c r="H295" i="123"/>
  <c r="I295" i="123"/>
  <c r="J295" i="123"/>
  <c r="K295" i="123"/>
  <c r="L295" i="123"/>
  <c r="M295" i="123"/>
  <c r="N295" i="123"/>
  <c r="O295" i="123"/>
  <c r="P295" i="123"/>
  <c r="Q295" i="123"/>
  <c r="R295" i="123"/>
  <c r="S295" i="123"/>
  <c r="T295" i="123"/>
  <c r="U295" i="123"/>
  <c r="V295" i="123"/>
  <c r="W295" i="123"/>
  <c r="X295" i="123"/>
  <c r="Y295" i="123"/>
  <c r="Z295" i="123"/>
  <c r="AA295" i="123"/>
  <c r="AB295" i="123"/>
  <c r="AC295" i="123"/>
  <c r="AD295" i="123"/>
  <c r="AE295" i="123"/>
  <c r="AF295" i="123"/>
  <c r="AG295" i="123"/>
  <c r="D296" i="123"/>
  <c r="E296" i="123"/>
  <c r="F296" i="123"/>
  <c r="G296" i="123"/>
  <c r="H296" i="123"/>
  <c r="I296" i="123"/>
  <c r="J296" i="123"/>
  <c r="K296" i="123"/>
  <c r="L296" i="123"/>
  <c r="M296" i="123"/>
  <c r="N296" i="123"/>
  <c r="O296" i="123"/>
  <c r="P296" i="123"/>
  <c r="Q296" i="123"/>
  <c r="R296" i="123"/>
  <c r="S296" i="123"/>
  <c r="T296" i="123"/>
  <c r="U296" i="123"/>
  <c r="V296" i="123"/>
  <c r="W296" i="123"/>
  <c r="X296" i="123"/>
  <c r="Y296" i="123"/>
  <c r="Z296" i="123"/>
  <c r="AA296" i="123"/>
  <c r="AB296" i="123"/>
  <c r="AC296" i="123"/>
  <c r="AD296" i="123"/>
  <c r="AE296" i="123"/>
  <c r="AF296" i="123"/>
  <c r="AG296" i="123"/>
  <c r="D297" i="123"/>
  <c r="E297" i="123"/>
  <c r="F297" i="123"/>
  <c r="G297" i="123"/>
  <c r="H297" i="123"/>
  <c r="I297" i="123"/>
  <c r="J297" i="123"/>
  <c r="K297" i="123"/>
  <c r="L297" i="123"/>
  <c r="M297" i="123"/>
  <c r="N297" i="123"/>
  <c r="O297" i="123"/>
  <c r="P297" i="123"/>
  <c r="Q297" i="123"/>
  <c r="R297" i="123"/>
  <c r="S297" i="123"/>
  <c r="T297" i="123"/>
  <c r="U297" i="123"/>
  <c r="V297" i="123"/>
  <c r="W297" i="123"/>
  <c r="X297" i="123"/>
  <c r="Y297" i="123"/>
  <c r="Z297" i="123"/>
  <c r="AA297" i="123"/>
  <c r="AB297" i="123"/>
  <c r="AC297" i="123"/>
  <c r="AD297" i="123"/>
  <c r="AE297" i="123"/>
  <c r="AF297" i="123"/>
  <c r="AG297" i="123"/>
  <c r="D298" i="123"/>
  <c r="E298" i="123"/>
  <c r="F298" i="123"/>
  <c r="G298" i="123"/>
  <c r="H298" i="123"/>
  <c r="I298" i="123"/>
  <c r="J298" i="123"/>
  <c r="K298" i="123"/>
  <c r="L298" i="123"/>
  <c r="M298" i="123"/>
  <c r="N298" i="123"/>
  <c r="O298" i="123"/>
  <c r="P298" i="123"/>
  <c r="Q298" i="123"/>
  <c r="R298" i="123"/>
  <c r="S298" i="123"/>
  <c r="T298" i="123"/>
  <c r="U298" i="123"/>
  <c r="V298" i="123"/>
  <c r="W298" i="123"/>
  <c r="X298" i="123"/>
  <c r="Y298" i="123"/>
  <c r="Z298" i="123"/>
  <c r="AA298" i="123"/>
  <c r="AB298" i="123"/>
  <c r="AC298" i="123"/>
  <c r="AD298" i="123"/>
  <c r="AE298" i="123"/>
  <c r="AF298" i="123"/>
  <c r="AG298" i="123"/>
  <c r="C299" i="123"/>
  <c r="C298" i="123"/>
  <c r="C297" i="123"/>
  <c r="C296" i="123"/>
  <c r="C295" i="123"/>
  <c r="BM215" i="122" l="1"/>
  <c r="BN215" i="122"/>
  <c r="AU290" i="122"/>
  <c r="BI140" i="122"/>
  <c r="BG125" i="122"/>
  <c r="BI52" i="122"/>
  <c r="D75" i="122"/>
  <c r="D3" i="122"/>
  <c r="D219" i="122"/>
  <c r="D148" i="122"/>
  <c r="D76" i="122"/>
  <c r="D4" i="122"/>
  <c r="D220" i="122"/>
  <c r="D149" i="122"/>
  <c r="D77" i="122"/>
  <c r="D5" i="122"/>
  <c r="D221" i="122"/>
  <c r="D150" i="122"/>
  <c r="D78" i="122"/>
  <c r="D6" i="122"/>
  <c r="D222" i="122"/>
  <c r="D151" i="122"/>
  <c r="D79" i="122"/>
  <c r="D7" i="122"/>
  <c r="D223" i="122"/>
  <c r="D152" i="122"/>
  <c r="D80" i="122"/>
  <c r="D8" i="122"/>
  <c r="D224" i="122"/>
  <c r="D153" i="122"/>
  <c r="D81" i="122"/>
  <c r="D9" i="122"/>
  <c r="D225" i="122"/>
  <c r="D154" i="122"/>
  <c r="D82" i="122"/>
  <c r="D10" i="122"/>
  <c r="D226" i="122"/>
  <c r="D155" i="122"/>
  <c r="D83" i="122"/>
  <c r="D11" i="122"/>
  <c r="D227" i="122"/>
  <c r="D156" i="122"/>
  <c r="D84" i="122"/>
  <c r="D12" i="122"/>
  <c r="D228" i="122"/>
  <c r="D157" i="122"/>
  <c r="D85" i="122"/>
  <c r="D13" i="122"/>
  <c r="D229" i="122"/>
  <c r="D158" i="122"/>
  <c r="D86" i="122"/>
  <c r="D14" i="122"/>
  <c r="D230" i="122"/>
  <c r="D159" i="122"/>
  <c r="D87" i="122"/>
  <c r="D15" i="122"/>
  <c r="D231" i="122"/>
  <c r="D160" i="122"/>
  <c r="D88" i="122"/>
  <c r="D16" i="122"/>
  <c r="D232" i="122"/>
  <c r="D161" i="122"/>
  <c r="D89" i="122"/>
  <c r="D17" i="122"/>
  <c r="D233" i="122"/>
  <c r="D162" i="122"/>
  <c r="D90" i="122"/>
  <c r="D18" i="122"/>
  <c r="D234" i="122"/>
  <c r="D163" i="122"/>
  <c r="D91" i="122"/>
  <c r="D19" i="122"/>
  <c r="D235" i="122"/>
  <c r="D164" i="122"/>
  <c r="D92" i="122"/>
  <c r="D20" i="122"/>
  <c r="D236" i="122"/>
  <c r="D165" i="122"/>
  <c r="D93" i="122"/>
  <c r="D21" i="122"/>
  <c r="D237" i="122"/>
  <c r="D166" i="122"/>
  <c r="D94" i="122"/>
  <c r="D22" i="122"/>
  <c r="D238" i="122"/>
  <c r="D167" i="122"/>
  <c r="D95" i="122"/>
  <c r="D23" i="122"/>
  <c r="D239" i="122"/>
  <c r="D168" i="122"/>
  <c r="D96" i="122"/>
  <c r="D24" i="122"/>
  <c r="D240" i="122"/>
  <c r="D169" i="122"/>
  <c r="D97" i="122"/>
  <c r="D25" i="122"/>
  <c r="D241" i="122"/>
  <c r="D170" i="122"/>
  <c r="D98" i="122"/>
  <c r="D26" i="122"/>
  <c r="D242" i="122"/>
  <c r="D171" i="122"/>
  <c r="D99" i="122"/>
  <c r="D27" i="122"/>
  <c r="D243" i="122"/>
  <c r="D172" i="122"/>
  <c r="D100" i="122"/>
  <c r="D28" i="122"/>
  <c r="D244" i="122"/>
  <c r="D173" i="122"/>
  <c r="D101" i="122"/>
  <c r="D29" i="122"/>
  <c r="D245" i="122"/>
  <c r="D174" i="122"/>
  <c r="D102" i="122"/>
  <c r="D30" i="122"/>
  <c r="D246" i="122"/>
  <c r="D175" i="122"/>
  <c r="D103" i="122"/>
  <c r="D31" i="122"/>
  <c r="D247" i="122"/>
  <c r="D176" i="122"/>
  <c r="D104" i="122"/>
  <c r="D32" i="122"/>
  <c r="D248" i="122"/>
  <c r="D177" i="122"/>
  <c r="D105" i="122"/>
  <c r="D33" i="122"/>
  <c r="D249" i="122"/>
  <c r="D178" i="122"/>
  <c r="D106" i="122"/>
  <c r="D34" i="122"/>
  <c r="D250" i="122"/>
  <c r="D179" i="122"/>
  <c r="D107" i="122"/>
  <c r="D35" i="122"/>
  <c r="D251" i="122"/>
  <c r="D180" i="122"/>
  <c r="D108" i="122"/>
  <c r="D36" i="122"/>
  <c r="D252" i="122"/>
  <c r="D181" i="122"/>
  <c r="D109" i="122"/>
  <c r="D37" i="122"/>
  <c r="D253" i="122"/>
  <c r="D182" i="122"/>
  <c r="D110" i="122"/>
  <c r="D38" i="122"/>
  <c r="D254" i="122"/>
  <c r="D183" i="122"/>
  <c r="D111" i="122"/>
  <c r="D39" i="122"/>
  <c r="D255" i="122"/>
  <c r="D184" i="122"/>
  <c r="D112" i="122"/>
  <c r="D40" i="122"/>
  <c r="D256" i="122"/>
  <c r="D185" i="122"/>
  <c r="D113" i="122"/>
  <c r="D41" i="122"/>
  <c r="D257" i="122"/>
  <c r="D186" i="122"/>
  <c r="D114" i="122"/>
  <c r="D42" i="122"/>
  <c r="D258" i="122"/>
  <c r="D187" i="122"/>
  <c r="D115" i="122"/>
  <c r="D43" i="122"/>
  <c r="D259" i="122"/>
  <c r="D188" i="122"/>
  <c r="D116" i="122"/>
  <c r="D44" i="122"/>
  <c r="D260" i="122"/>
  <c r="D189" i="122"/>
  <c r="D117" i="122"/>
  <c r="D45" i="122"/>
  <c r="D261" i="122"/>
  <c r="D190" i="122"/>
  <c r="D118" i="122"/>
  <c r="D46" i="122"/>
  <c r="D262" i="122"/>
  <c r="D191" i="122"/>
  <c r="D119" i="122"/>
  <c r="D47" i="122"/>
  <c r="D263" i="122"/>
  <c r="D192" i="122"/>
  <c r="D120" i="122"/>
  <c r="D48" i="122"/>
  <c r="D264" i="122"/>
  <c r="D193" i="122"/>
  <c r="D121" i="122"/>
  <c r="D49" i="122"/>
  <c r="D265" i="122"/>
  <c r="D194" i="122"/>
  <c r="D122" i="122"/>
  <c r="D50" i="122"/>
  <c r="D266" i="122"/>
  <c r="D195" i="122"/>
  <c r="D123" i="122"/>
  <c r="D51" i="122"/>
  <c r="D267" i="122"/>
  <c r="D196" i="122"/>
  <c r="D124" i="122"/>
  <c r="AW124" i="122" s="1"/>
  <c r="D52" i="122"/>
  <c r="D268" i="122"/>
  <c r="D197" i="122"/>
  <c r="D125" i="122"/>
  <c r="D53" i="122"/>
  <c r="D269" i="122"/>
  <c r="D198" i="122"/>
  <c r="D126" i="122"/>
  <c r="D54" i="122"/>
  <c r="D270" i="122"/>
  <c r="D199" i="122"/>
  <c r="D127" i="122"/>
  <c r="D55" i="122"/>
  <c r="D271" i="122"/>
  <c r="D200" i="122"/>
  <c r="BN200" i="122" s="1"/>
  <c r="D128" i="122"/>
  <c r="AL128" i="122" s="1"/>
  <c r="D56" i="122"/>
  <c r="D272" i="122"/>
  <c r="D201" i="122"/>
  <c r="D129" i="122"/>
  <c r="D57" i="122"/>
  <c r="D273" i="122"/>
  <c r="D202" i="122"/>
  <c r="D130" i="122"/>
  <c r="D58" i="122"/>
  <c r="D274" i="122"/>
  <c r="D203" i="122"/>
  <c r="D131" i="122"/>
  <c r="D59" i="122"/>
  <c r="D275" i="122"/>
  <c r="D204" i="122"/>
  <c r="D132" i="122"/>
  <c r="D60" i="122"/>
  <c r="D276" i="122"/>
  <c r="D205" i="122"/>
  <c r="D133" i="122"/>
  <c r="D61" i="122"/>
  <c r="D277" i="122"/>
  <c r="D206" i="122"/>
  <c r="D134" i="122"/>
  <c r="AP134" i="122" s="1"/>
  <c r="D62" i="122"/>
  <c r="D278" i="122"/>
  <c r="D207" i="122"/>
  <c r="D135" i="122"/>
  <c r="D63" i="122"/>
  <c r="D279" i="122"/>
  <c r="D208" i="122"/>
  <c r="D136" i="122"/>
  <c r="D64" i="122"/>
  <c r="D280" i="122"/>
  <c r="D209" i="122"/>
  <c r="D137" i="122"/>
  <c r="D65" i="122"/>
  <c r="D281" i="122"/>
  <c r="D210" i="122"/>
  <c r="D138" i="122"/>
  <c r="D66" i="122"/>
  <c r="D282" i="122"/>
  <c r="AN282" i="122" s="1"/>
  <c r="D211" i="122"/>
  <c r="D139" i="122"/>
  <c r="D67" i="122"/>
  <c r="D283" i="122"/>
  <c r="D212" i="122"/>
  <c r="D140" i="122"/>
  <c r="D68" i="122"/>
  <c r="D284" i="122"/>
  <c r="D213" i="122"/>
  <c r="D141" i="122"/>
  <c r="D69" i="122"/>
  <c r="D285" i="122"/>
  <c r="D214" i="122"/>
  <c r="D142" i="122"/>
  <c r="D70" i="122"/>
  <c r="D286" i="122"/>
  <c r="D215" i="122"/>
  <c r="D143" i="122"/>
  <c r="D71" i="122"/>
  <c r="D287" i="122"/>
  <c r="AS287" i="122" s="1"/>
  <c r="D216" i="122"/>
  <c r="D144" i="122"/>
  <c r="D72" i="122"/>
  <c r="D288" i="122"/>
  <c r="D217" i="122"/>
  <c r="D145" i="122"/>
  <c r="D73" i="122"/>
  <c r="D289" i="122"/>
  <c r="D218" i="122"/>
  <c r="D146" i="122"/>
  <c r="D74" i="122"/>
  <c r="D290" i="122"/>
  <c r="D147" i="122"/>
  <c r="AI290" i="122"/>
  <c r="AI74" i="122"/>
  <c r="AI146" i="122"/>
  <c r="AI218" i="122"/>
  <c r="AI289" i="122"/>
  <c r="AI73" i="122"/>
  <c r="AI145" i="122"/>
  <c r="BF145" i="122" s="1"/>
  <c r="AI217" i="122"/>
  <c r="AI288" i="122"/>
  <c r="AI72" i="122"/>
  <c r="AI144" i="122"/>
  <c r="AI216" i="122"/>
  <c r="AI287" i="122"/>
  <c r="AI71" i="122"/>
  <c r="BE71" i="122" s="1"/>
  <c r="AI143" i="122"/>
  <c r="AI215" i="122"/>
  <c r="AU215" i="122" s="1"/>
  <c r="AI286" i="122"/>
  <c r="BA286" i="122" s="1"/>
  <c r="AI70" i="122"/>
  <c r="AI142" i="122"/>
  <c r="AI214" i="122"/>
  <c r="AI285" i="122"/>
  <c r="AI69" i="122"/>
  <c r="AI141" i="122"/>
  <c r="AI213" i="122"/>
  <c r="AI284" i="122"/>
  <c r="AI68" i="122"/>
  <c r="AI140" i="122"/>
  <c r="BD140" i="122" s="1"/>
  <c r="AI212" i="122"/>
  <c r="AI283" i="122"/>
  <c r="AI67" i="122"/>
  <c r="AI139" i="122"/>
  <c r="AI211" i="122"/>
  <c r="AI282" i="122"/>
  <c r="AI66" i="122"/>
  <c r="AI138" i="122"/>
  <c r="AI210" i="122"/>
  <c r="BI210" i="122" s="1"/>
  <c r="AI281" i="122"/>
  <c r="AY281" i="122" s="1"/>
  <c r="AI65" i="122"/>
  <c r="AI137" i="122"/>
  <c r="AI209" i="122"/>
  <c r="AI280" i="122"/>
  <c r="AI64" i="122"/>
  <c r="AI136" i="122"/>
  <c r="AI208" i="122"/>
  <c r="AI57" i="122"/>
  <c r="AI279" i="122"/>
  <c r="AI63" i="122"/>
  <c r="AI135" i="122"/>
  <c r="AI207" i="122"/>
  <c r="AI278" i="122"/>
  <c r="AI62" i="122"/>
  <c r="AI134" i="122"/>
  <c r="AT134" i="122" s="1"/>
  <c r="AI206" i="122"/>
  <c r="AI277" i="122"/>
  <c r="AI61" i="122"/>
  <c r="AI133" i="122"/>
  <c r="AI205" i="122"/>
  <c r="AM205" i="122" s="1"/>
  <c r="AI276" i="122"/>
  <c r="AI60" i="122"/>
  <c r="BA60" i="122" s="1"/>
  <c r="AI132" i="122"/>
  <c r="BM132" i="122" s="1"/>
  <c r="AI204" i="122"/>
  <c r="AI275" i="122"/>
  <c r="AI59" i="122"/>
  <c r="AI131" i="122"/>
  <c r="AI203" i="122"/>
  <c r="AI274" i="122"/>
  <c r="AI58" i="122"/>
  <c r="AI130" i="122"/>
  <c r="AU130" i="122" s="1"/>
  <c r="AI202" i="122"/>
  <c r="AI272" i="122"/>
  <c r="AI56" i="122"/>
  <c r="AI128" i="122"/>
  <c r="AI200" i="122"/>
  <c r="AI271" i="122"/>
  <c r="AI55" i="122"/>
  <c r="AI127" i="122"/>
  <c r="AI199" i="122"/>
  <c r="AI270" i="122"/>
  <c r="AI54" i="122"/>
  <c r="AX54" i="122" s="1"/>
  <c r="AI126" i="122"/>
  <c r="AI198" i="122"/>
  <c r="AI269" i="122"/>
  <c r="AI53" i="122"/>
  <c r="AK53" i="122" s="1"/>
  <c r="AI125" i="122"/>
  <c r="AI197" i="122"/>
  <c r="AI268" i="122"/>
  <c r="AI52" i="122"/>
  <c r="AI124" i="122"/>
  <c r="AI196" i="122"/>
  <c r="AI267" i="122"/>
  <c r="AI51" i="122"/>
  <c r="AI123" i="122"/>
  <c r="AI195" i="122"/>
  <c r="AI266" i="122"/>
  <c r="AI50" i="122"/>
  <c r="AR50" i="122" s="1"/>
  <c r="AI122" i="122"/>
  <c r="AI194" i="122"/>
  <c r="AI265" i="122"/>
  <c r="AI49" i="122"/>
  <c r="AI121" i="122"/>
  <c r="AI193" i="122"/>
  <c r="AI264" i="122"/>
  <c r="AT264" i="122" s="1"/>
  <c r="AI48" i="122"/>
  <c r="BJ48" i="122" s="1"/>
  <c r="AI120" i="122"/>
  <c r="AI192" i="122"/>
  <c r="AI263" i="122"/>
  <c r="AI47" i="122"/>
  <c r="AI119" i="122"/>
  <c r="AI191" i="122"/>
  <c r="AI262" i="122"/>
  <c r="AI46" i="122"/>
  <c r="AI118" i="122"/>
  <c r="AI190" i="122"/>
  <c r="AI261" i="122"/>
  <c r="AI45" i="122"/>
  <c r="AI117" i="122"/>
  <c r="AI189" i="122"/>
  <c r="AI260" i="122"/>
  <c r="AI44" i="122"/>
  <c r="AI116" i="122"/>
  <c r="AI188" i="122"/>
  <c r="AI259" i="122"/>
  <c r="AI43" i="122"/>
  <c r="AI115" i="122"/>
  <c r="AI187" i="122"/>
  <c r="AI258" i="122"/>
  <c r="AI42" i="122"/>
  <c r="AI114" i="122"/>
  <c r="AI186" i="122"/>
  <c r="AI255" i="122"/>
  <c r="AI39" i="122"/>
  <c r="AI111" i="122"/>
  <c r="AI183" i="122"/>
  <c r="AI256" i="122"/>
  <c r="AI40" i="122"/>
  <c r="AI112" i="122"/>
  <c r="AI184" i="122"/>
  <c r="AI254" i="122"/>
  <c r="AI38" i="122"/>
  <c r="AI110" i="122"/>
  <c r="AI182" i="122"/>
  <c r="AI257" i="122"/>
  <c r="AI41" i="122"/>
  <c r="AI113" i="122"/>
  <c r="BB113" i="122" s="1"/>
  <c r="AI185" i="122"/>
  <c r="AI253" i="122"/>
  <c r="AI37" i="122"/>
  <c r="AI109" i="122"/>
  <c r="AI181" i="122"/>
  <c r="AI252" i="122"/>
  <c r="AI36" i="122"/>
  <c r="AI108" i="122"/>
  <c r="AI180" i="122"/>
  <c r="AI251" i="122"/>
  <c r="AI35" i="122"/>
  <c r="AI107" i="122"/>
  <c r="AI179" i="122"/>
  <c r="AI249" i="122"/>
  <c r="AI33" i="122"/>
  <c r="AI105" i="122"/>
  <c r="AI177" i="122"/>
  <c r="AI250" i="122"/>
  <c r="AI34" i="122"/>
  <c r="AI106" i="122"/>
  <c r="AI178" i="122"/>
  <c r="AI248" i="122"/>
  <c r="AI32" i="122"/>
  <c r="AI104" i="122"/>
  <c r="AI176" i="122"/>
  <c r="AI245" i="122"/>
  <c r="AI29" i="122"/>
  <c r="AI101" i="122"/>
  <c r="AI173" i="122"/>
  <c r="AI247" i="122"/>
  <c r="AI31" i="122"/>
  <c r="AI103" i="122"/>
  <c r="AI175" i="122"/>
  <c r="AI30" i="122"/>
  <c r="AI102" i="122"/>
  <c r="AI174" i="122"/>
  <c r="AI244" i="122"/>
  <c r="AI28" i="122"/>
  <c r="AI100" i="122"/>
  <c r="AI172" i="122"/>
  <c r="AI243" i="122"/>
  <c r="AI27" i="122"/>
  <c r="AI99" i="122"/>
  <c r="AI171" i="122"/>
  <c r="AI235" i="122"/>
  <c r="AI19" i="122"/>
  <c r="AI91" i="122"/>
  <c r="AI163" i="122"/>
  <c r="AI234" i="122"/>
  <c r="AI18" i="122"/>
  <c r="AI90" i="122"/>
  <c r="AI162" i="122"/>
  <c r="AI233" i="122"/>
  <c r="AI17" i="122"/>
  <c r="AI89" i="122"/>
  <c r="AI161" i="122"/>
  <c r="AI232" i="122"/>
  <c r="AI16" i="122"/>
  <c r="AI88" i="122"/>
  <c r="AI160" i="122"/>
  <c r="AI231" i="122"/>
  <c r="AI15" i="122"/>
  <c r="AI87" i="122"/>
  <c r="AI159" i="122"/>
  <c r="AI230" i="122"/>
  <c r="AI14" i="122"/>
  <c r="AI86" i="122"/>
  <c r="AI158" i="122"/>
  <c r="AI229" i="122"/>
  <c r="AI13" i="122"/>
  <c r="AI157" i="122"/>
  <c r="AI242" i="122"/>
  <c r="AI26" i="122"/>
  <c r="AI98" i="122"/>
  <c r="AI170" i="122"/>
  <c r="AI228" i="122"/>
  <c r="AI12" i="122"/>
  <c r="AI84" i="122"/>
  <c r="AI156" i="122"/>
  <c r="AI11" i="122"/>
  <c r="AI155" i="122"/>
  <c r="AI241" i="122"/>
  <c r="AI25" i="122"/>
  <c r="AI97" i="122"/>
  <c r="AI169" i="122"/>
  <c r="AI240" i="122"/>
  <c r="AI24" i="122"/>
  <c r="AI96" i="122"/>
  <c r="AI168" i="122"/>
  <c r="AI239" i="122"/>
  <c r="AI23" i="122"/>
  <c r="AI95" i="122"/>
  <c r="AI167" i="122"/>
  <c r="AI237" i="122"/>
  <c r="AI21" i="122"/>
  <c r="AI93" i="122"/>
  <c r="AI165" i="122"/>
  <c r="AI238" i="122"/>
  <c r="AI22" i="122"/>
  <c r="AI94" i="122"/>
  <c r="AI166" i="122"/>
  <c r="AI236" i="122"/>
  <c r="AI20" i="122"/>
  <c r="AI92" i="122"/>
  <c r="AI164" i="122"/>
  <c r="AI226" i="122"/>
  <c r="AI10" i="122"/>
  <c r="AI82" i="122"/>
  <c r="AI154" i="122"/>
  <c r="AI225" i="122"/>
  <c r="AI9" i="122"/>
  <c r="AI81" i="122"/>
  <c r="AI153" i="122"/>
  <c r="AI222" i="122"/>
  <c r="AI6" i="122"/>
  <c r="AI78" i="122"/>
  <c r="AI150" i="122"/>
  <c r="AI224" i="122"/>
  <c r="AI8" i="122"/>
  <c r="AI80" i="122"/>
  <c r="AI152" i="122"/>
  <c r="AI219" i="122"/>
  <c r="AI3" i="122"/>
  <c r="AI75" i="122"/>
  <c r="AI147" i="122"/>
  <c r="AI223" i="122"/>
  <c r="AI7" i="122"/>
  <c r="AI79" i="122"/>
  <c r="AI151" i="122"/>
  <c r="AI221" i="122"/>
  <c r="AI5" i="122"/>
  <c r="AI77" i="122"/>
  <c r="AI149" i="122"/>
  <c r="AI220" i="122"/>
  <c r="AI4" i="122"/>
  <c r="AI76" i="122"/>
  <c r="AI148" i="122"/>
  <c r="D3" i="121"/>
  <c r="D4" i="121"/>
  <c r="D5" i="121"/>
  <c r="D6" i="121"/>
  <c r="D7" i="121"/>
  <c r="D8" i="121"/>
  <c r="D9" i="121"/>
  <c r="D10" i="121"/>
  <c r="D11" i="121"/>
  <c r="D12" i="121"/>
  <c r="D13" i="121"/>
  <c r="D14" i="121"/>
  <c r="D15" i="121"/>
  <c r="D16" i="121"/>
  <c r="D17" i="121"/>
  <c r="D18" i="121"/>
  <c r="D19" i="121"/>
  <c r="D20" i="121"/>
  <c r="D21" i="121"/>
  <c r="D22" i="121"/>
  <c r="D23" i="121"/>
  <c r="D24" i="121"/>
  <c r="D25" i="121"/>
  <c r="D26" i="121"/>
  <c r="D27" i="121"/>
  <c r="D28" i="121"/>
  <c r="D29" i="121"/>
  <c r="D30" i="121"/>
  <c r="D31" i="121"/>
  <c r="D32" i="121"/>
  <c r="D33" i="121"/>
  <c r="D34" i="121"/>
  <c r="D35" i="121"/>
  <c r="D36" i="121"/>
  <c r="D37" i="121"/>
  <c r="D38" i="121"/>
  <c r="D39" i="121"/>
  <c r="D40" i="121"/>
  <c r="D41" i="121"/>
  <c r="D42" i="121"/>
  <c r="D43" i="121"/>
  <c r="D44" i="121"/>
  <c r="D45" i="121"/>
  <c r="D46" i="121"/>
  <c r="D47" i="121"/>
  <c r="D48" i="121"/>
  <c r="D49" i="121"/>
  <c r="D50" i="121"/>
  <c r="D51" i="121"/>
  <c r="D52" i="121"/>
  <c r="D53" i="121"/>
  <c r="D54" i="121"/>
  <c r="D55" i="121"/>
  <c r="D56" i="121"/>
  <c r="D57" i="121"/>
  <c r="D58" i="121"/>
  <c r="D59" i="121"/>
  <c r="D60" i="121"/>
  <c r="D61" i="121"/>
  <c r="D62" i="121"/>
  <c r="D63" i="121"/>
  <c r="D64" i="121"/>
  <c r="D65" i="121"/>
  <c r="D66" i="121"/>
  <c r="D67" i="121"/>
  <c r="D68" i="121"/>
  <c r="D69" i="121"/>
  <c r="D70" i="121"/>
  <c r="D71" i="121"/>
  <c r="D72" i="121"/>
  <c r="D73" i="121"/>
  <c r="D74" i="121"/>
  <c r="D75" i="121"/>
  <c r="D76" i="121"/>
  <c r="D77" i="121"/>
  <c r="D78" i="121"/>
  <c r="D79" i="121"/>
  <c r="D80" i="121"/>
  <c r="D81" i="121"/>
  <c r="D82" i="121"/>
  <c r="D83" i="121"/>
  <c r="D84" i="121"/>
  <c r="D85" i="121"/>
  <c r="D86" i="121"/>
  <c r="D87" i="121"/>
  <c r="D88" i="121"/>
  <c r="D89" i="121"/>
  <c r="D90" i="121"/>
  <c r="D91" i="121"/>
  <c r="D92" i="121"/>
  <c r="D93" i="121"/>
  <c r="D94" i="121"/>
  <c r="D95" i="121"/>
  <c r="D96" i="121"/>
  <c r="D97" i="121"/>
  <c r="D98" i="121"/>
  <c r="D99" i="121"/>
  <c r="D100" i="121"/>
  <c r="D101" i="121"/>
  <c r="D102" i="121"/>
  <c r="D103" i="121"/>
  <c r="D104" i="121"/>
  <c r="D105" i="121"/>
  <c r="D106" i="121"/>
  <c r="D107" i="121"/>
  <c r="D108" i="121"/>
  <c r="D109" i="121"/>
  <c r="D110" i="121"/>
  <c r="D111" i="121"/>
  <c r="D112" i="121"/>
  <c r="D113" i="121"/>
  <c r="D114" i="121"/>
  <c r="D115" i="121"/>
  <c r="D116" i="121"/>
  <c r="D117" i="121"/>
  <c r="D118" i="121"/>
  <c r="D119" i="121"/>
  <c r="D120" i="121"/>
  <c r="D121" i="121"/>
  <c r="D122" i="121"/>
  <c r="D123" i="121"/>
  <c r="D124" i="121"/>
  <c r="D125" i="121"/>
  <c r="D126" i="121"/>
  <c r="D127" i="121"/>
  <c r="D128" i="121"/>
  <c r="D129" i="121"/>
  <c r="D130" i="121"/>
  <c r="D131" i="121"/>
  <c r="D132" i="121"/>
  <c r="D133" i="121"/>
  <c r="D134" i="121"/>
  <c r="D135" i="121"/>
  <c r="D136" i="121"/>
  <c r="D137" i="121"/>
  <c r="D138" i="121"/>
  <c r="D139" i="121"/>
  <c r="D140" i="121"/>
  <c r="D141" i="121"/>
  <c r="D142" i="121"/>
  <c r="D143" i="121"/>
  <c r="D144" i="121"/>
  <c r="D145" i="121"/>
  <c r="D146" i="121"/>
  <c r="D147" i="121"/>
  <c r="D148" i="121"/>
  <c r="D149" i="121"/>
  <c r="D150" i="121"/>
  <c r="D151" i="121"/>
  <c r="D152" i="121"/>
  <c r="D153" i="121"/>
  <c r="D154" i="121"/>
  <c r="D155" i="121"/>
  <c r="D156" i="121"/>
  <c r="D157" i="121"/>
  <c r="D158" i="121"/>
  <c r="D159" i="121"/>
  <c r="D160" i="121"/>
  <c r="D161" i="121"/>
  <c r="D162" i="121"/>
  <c r="D163" i="121"/>
  <c r="D164" i="121"/>
  <c r="D165" i="121"/>
  <c r="D166" i="121"/>
  <c r="D167" i="121"/>
  <c r="D168" i="121"/>
  <c r="D169" i="121"/>
  <c r="D170" i="121"/>
  <c r="D171" i="121"/>
  <c r="D172" i="121"/>
  <c r="D173" i="121"/>
  <c r="D174" i="121"/>
  <c r="D175" i="121"/>
  <c r="D176" i="121"/>
  <c r="D177" i="121"/>
  <c r="D178" i="121"/>
  <c r="D179" i="121"/>
  <c r="D180" i="121"/>
  <c r="D181" i="121"/>
  <c r="D182" i="121"/>
  <c r="D183" i="121"/>
  <c r="D184" i="121"/>
  <c r="D185" i="121"/>
  <c r="D186" i="121"/>
  <c r="D187" i="121"/>
  <c r="D188" i="121"/>
  <c r="D189" i="121"/>
  <c r="D190" i="121"/>
  <c r="D191" i="121"/>
  <c r="D192" i="121"/>
  <c r="D193" i="121"/>
  <c r="D194" i="121"/>
  <c r="D195" i="121"/>
  <c r="D196" i="121"/>
  <c r="D197" i="121"/>
  <c r="D198" i="121"/>
  <c r="D199" i="121"/>
  <c r="D200" i="121"/>
  <c r="D201" i="121"/>
  <c r="D202" i="121"/>
  <c r="D203" i="121"/>
  <c r="D204" i="121"/>
  <c r="D205" i="121"/>
  <c r="D206" i="121"/>
  <c r="D207" i="121"/>
  <c r="D208" i="121"/>
  <c r="D209" i="121"/>
  <c r="D210" i="121"/>
  <c r="D211" i="121"/>
  <c r="D212" i="121"/>
  <c r="D213" i="121"/>
  <c r="D214" i="121"/>
  <c r="D215" i="121"/>
  <c r="D216" i="121"/>
  <c r="D217" i="121"/>
  <c r="D218" i="121"/>
  <c r="D219" i="121"/>
  <c r="D220" i="121"/>
  <c r="D221" i="121"/>
  <c r="D222" i="121"/>
  <c r="D223" i="121"/>
  <c r="D224" i="121"/>
  <c r="D225" i="121"/>
  <c r="D226" i="121"/>
  <c r="D227" i="121"/>
  <c r="D228" i="121"/>
  <c r="D229" i="121"/>
  <c r="D230" i="121"/>
  <c r="D231" i="121"/>
  <c r="D232" i="121"/>
  <c r="D233" i="121"/>
  <c r="D234" i="121"/>
  <c r="D235" i="121"/>
  <c r="D236" i="121"/>
  <c r="D237" i="121"/>
  <c r="D238" i="121"/>
  <c r="D239" i="121"/>
  <c r="D240" i="121"/>
  <c r="D241" i="121"/>
  <c r="D242" i="121"/>
  <c r="D243" i="121"/>
  <c r="D244" i="121"/>
  <c r="D245" i="121"/>
  <c r="D246" i="121"/>
  <c r="D247" i="121"/>
  <c r="D248" i="121"/>
  <c r="D249" i="121"/>
  <c r="D250" i="121"/>
  <c r="D251" i="121"/>
  <c r="D252" i="121"/>
  <c r="D253" i="121"/>
  <c r="D254" i="121"/>
  <c r="D255" i="121"/>
  <c r="D256" i="121"/>
  <c r="D257" i="121"/>
  <c r="D258" i="121"/>
  <c r="D259" i="121"/>
  <c r="D260" i="121"/>
  <c r="D261" i="121"/>
  <c r="D262" i="121"/>
  <c r="D263" i="121"/>
  <c r="D264" i="121"/>
  <c r="D265" i="121"/>
  <c r="D266" i="121"/>
  <c r="D267" i="121"/>
  <c r="D268" i="121"/>
  <c r="D269" i="121"/>
  <c r="D270" i="121"/>
  <c r="D271" i="121"/>
  <c r="D272" i="121"/>
  <c r="D273" i="121"/>
  <c r="D274" i="121"/>
  <c r="D275" i="121"/>
  <c r="D276" i="121"/>
  <c r="D277" i="121"/>
  <c r="D278" i="121"/>
  <c r="D279" i="121"/>
  <c r="D280" i="121"/>
  <c r="D281" i="121"/>
  <c r="D282" i="121"/>
  <c r="D283" i="121"/>
  <c r="D284" i="121"/>
  <c r="D285" i="121"/>
  <c r="D286" i="121"/>
  <c r="D287" i="121"/>
  <c r="D288" i="121"/>
  <c r="D289" i="121"/>
  <c r="D2" i="121"/>
  <c r="F291" i="121"/>
  <c r="AK286" i="122" l="1"/>
  <c r="AT281" i="122"/>
  <c r="AT271" i="122"/>
  <c r="AZ215" i="122"/>
  <c r="BG70" i="122"/>
  <c r="AS55" i="122"/>
  <c r="AX215" i="122"/>
  <c r="AL142" i="122"/>
  <c r="AO137" i="122"/>
  <c r="BG132" i="122"/>
  <c r="AU112" i="122"/>
  <c r="BH140" i="122"/>
  <c r="BE147" i="122"/>
  <c r="AO214" i="122"/>
  <c r="AK209" i="122"/>
  <c r="AX189" i="122"/>
  <c r="BL210" i="122"/>
  <c r="BH145" i="122"/>
  <c r="BL290" i="122"/>
  <c r="BB285" i="122"/>
  <c r="AY280" i="122"/>
  <c r="AL275" i="122"/>
  <c r="AO270" i="122"/>
  <c r="AR255" i="122"/>
  <c r="BK210" i="122"/>
  <c r="AK74" i="122"/>
  <c r="AR69" i="122"/>
  <c r="AM64" i="122"/>
  <c r="BL59" i="122"/>
  <c r="AK39" i="122"/>
  <c r="BJ210" i="122"/>
  <c r="BN146" i="122"/>
  <c r="AV141" i="122"/>
  <c r="BJ136" i="122"/>
  <c r="AS116" i="122"/>
  <c r="BN111" i="122"/>
  <c r="AU134" i="122"/>
  <c r="AR269" i="122"/>
  <c r="AY73" i="122"/>
  <c r="BJ53" i="122"/>
  <c r="BH53" i="122"/>
  <c r="AL289" i="122"/>
  <c r="BK289" i="122"/>
  <c r="BN289" i="122"/>
  <c r="AR289" i="122"/>
  <c r="AQ289" i="122"/>
  <c r="AS289" i="122"/>
  <c r="AU289" i="122"/>
  <c r="BH289" i="122"/>
  <c r="BI289" i="122"/>
  <c r="BJ289" i="122"/>
  <c r="BC284" i="122"/>
  <c r="BE284" i="122"/>
  <c r="BG284" i="122"/>
  <c r="BH284" i="122"/>
  <c r="BK284" i="122"/>
  <c r="BI274" i="122"/>
  <c r="BJ274" i="122"/>
  <c r="AV259" i="122"/>
  <c r="AY259" i="122"/>
  <c r="BG259" i="122"/>
  <c r="BA63" i="122"/>
  <c r="BF63" i="122"/>
  <c r="AY214" i="122"/>
  <c r="AR290" i="122"/>
  <c r="AW214" i="122"/>
  <c r="BF54" i="122"/>
  <c r="AQ290" i="122"/>
  <c r="AU214" i="122"/>
  <c r="AP290" i="122"/>
  <c r="AT214" i="122"/>
  <c r="BE60" i="122"/>
  <c r="AO290" i="122"/>
  <c r="AV215" i="122"/>
  <c r="AT285" i="122"/>
  <c r="BC60" i="122"/>
  <c r="BH50" i="122"/>
  <c r="BD74" i="122"/>
  <c r="BM145" i="122"/>
  <c r="BA69" i="122"/>
  <c r="AU281" i="122"/>
  <c r="BI132" i="122"/>
  <c r="AZ264" i="122"/>
  <c r="BC74" i="122"/>
  <c r="BK145" i="122"/>
  <c r="BM70" i="122"/>
  <c r="AZ69" i="122"/>
  <c r="BH132" i="122"/>
  <c r="AY264" i="122"/>
  <c r="AV281" i="122"/>
  <c r="BK146" i="122"/>
  <c r="BJ145" i="122"/>
  <c r="BL70" i="122"/>
  <c r="AX69" i="122"/>
  <c r="AW264" i="122"/>
  <c r="AW146" i="122"/>
  <c r="BI145" i="122"/>
  <c r="BK70" i="122"/>
  <c r="AU69" i="122"/>
  <c r="AV264" i="122"/>
  <c r="BB69" i="122"/>
  <c r="AW144" i="122"/>
  <c r="BE139" i="122"/>
  <c r="AK119" i="122"/>
  <c r="AM135" i="122"/>
  <c r="AU146" i="122"/>
  <c r="BJ70" i="122"/>
  <c r="AS69" i="122"/>
  <c r="BE280" i="122"/>
  <c r="AU264" i="122"/>
  <c r="BD69" i="122"/>
  <c r="BE74" i="122"/>
  <c r="AT146" i="122"/>
  <c r="BG71" i="122"/>
  <c r="BI70" i="122"/>
  <c r="BA280" i="122"/>
  <c r="AY128" i="122"/>
  <c r="BG74" i="122"/>
  <c r="AR277" i="122"/>
  <c r="BD262" i="122"/>
  <c r="AS146" i="122"/>
  <c r="BH70" i="122"/>
  <c r="AZ280" i="122"/>
  <c r="AX128" i="122"/>
  <c r="BC189" i="122"/>
  <c r="AY71" i="122"/>
  <c r="AR146" i="122"/>
  <c r="BC71" i="122"/>
  <c r="BK143" i="122"/>
  <c r="AQ146" i="122"/>
  <c r="BB71" i="122"/>
  <c r="AS142" i="122"/>
  <c r="BA64" i="122"/>
  <c r="AP146" i="122"/>
  <c r="BA71" i="122"/>
  <c r="AO142" i="122"/>
  <c r="AS281" i="122"/>
  <c r="AK145" i="122"/>
  <c r="AO146" i="122"/>
  <c r="AZ71" i="122"/>
  <c r="AN142" i="122"/>
  <c r="BL140" i="122"/>
  <c r="BN136" i="122"/>
  <c r="AV55" i="122"/>
  <c r="AQ70" i="122"/>
  <c r="AL143" i="122"/>
  <c r="AM142" i="122"/>
  <c r="BJ140" i="122"/>
  <c r="AT55" i="122"/>
  <c r="BI127" i="122"/>
  <c r="AK143" i="122"/>
  <c r="BJ134" i="122"/>
  <c r="AM43" i="122"/>
  <c r="BG43" i="122"/>
  <c r="AN43" i="122"/>
  <c r="BH43" i="122"/>
  <c r="AP43" i="122"/>
  <c r="BJ43" i="122"/>
  <c r="AQ43" i="122"/>
  <c r="BK43" i="122"/>
  <c r="AR43" i="122"/>
  <c r="BL43" i="122"/>
  <c r="AS43" i="122"/>
  <c r="BM43" i="122"/>
  <c r="AT43" i="122"/>
  <c r="BN43" i="122"/>
  <c r="AU43" i="122"/>
  <c r="AV43" i="122"/>
  <c r="AX43" i="122"/>
  <c r="BE43" i="122"/>
  <c r="BF43" i="122"/>
  <c r="BI43" i="122"/>
  <c r="AK43" i="122"/>
  <c r="AL43" i="122"/>
  <c r="AO43" i="122"/>
  <c r="AW43" i="122"/>
  <c r="AZ43" i="122"/>
  <c r="AY43" i="122"/>
  <c r="BA43" i="122"/>
  <c r="BB43" i="122"/>
  <c r="BC43" i="122"/>
  <c r="BD43" i="122"/>
  <c r="AW163" i="122"/>
  <c r="AO163" i="122"/>
  <c r="BJ163" i="122"/>
  <c r="AS163" i="122"/>
  <c r="BN163" i="122"/>
  <c r="AP163" i="122"/>
  <c r="BM163" i="122"/>
  <c r="AT163" i="122"/>
  <c r="AU163" i="122"/>
  <c r="AV163" i="122"/>
  <c r="AX163" i="122"/>
  <c r="AY163" i="122"/>
  <c r="AZ163" i="122"/>
  <c r="BA163" i="122"/>
  <c r="BB163" i="122"/>
  <c r="BH163" i="122"/>
  <c r="BI163" i="122"/>
  <c r="BK163" i="122"/>
  <c r="BL163" i="122"/>
  <c r="AK163" i="122"/>
  <c r="AM163" i="122"/>
  <c r="AL163" i="122"/>
  <c r="AQ163" i="122"/>
  <c r="AR163" i="122"/>
  <c r="BC163" i="122"/>
  <c r="BD163" i="122"/>
  <c r="BE163" i="122"/>
  <c r="BF163" i="122"/>
  <c r="BG163" i="122"/>
  <c r="AN163" i="122"/>
  <c r="AW18" i="122"/>
  <c r="AL18" i="122"/>
  <c r="BG18" i="122"/>
  <c r="AP18" i="122"/>
  <c r="BK18" i="122"/>
  <c r="AU18" i="122"/>
  <c r="BC18" i="122"/>
  <c r="BF18" i="122"/>
  <c r="BH18" i="122"/>
  <c r="BI18" i="122"/>
  <c r="AK18" i="122"/>
  <c r="BJ18" i="122"/>
  <c r="AM18" i="122"/>
  <c r="BL18" i="122"/>
  <c r="AN18" i="122"/>
  <c r="BM18" i="122"/>
  <c r="AO18" i="122"/>
  <c r="BN18" i="122"/>
  <c r="AQ18" i="122"/>
  <c r="AR18" i="122"/>
  <c r="AS18" i="122"/>
  <c r="AT18" i="122"/>
  <c r="AV18" i="122"/>
  <c r="AX18" i="122"/>
  <c r="BA18" i="122"/>
  <c r="BD18" i="122"/>
  <c r="AY18" i="122"/>
  <c r="AZ18" i="122"/>
  <c r="BB18" i="122"/>
  <c r="BE18" i="122"/>
  <c r="AV152" i="122"/>
  <c r="AZ152" i="122"/>
  <c r="BA152" i="122"/>
  <c r="BB152" i="122"/>
  <c r="AL152" i="122"/>
  <c r="BF152" i="122"/>
  <c r="AM152" i="122"/>
  <c r="BG152" i="122"/>
  <c r="AW152" i="122"/>
  <c r="AX152" i="122"/>
  <c r="BC152" i="122"/>
  <c r="BD152" i="122"/>
  <c r="BE152" i="122"/>
  <c r="BH152" i="122"/>
  <c r="AQ152" i="122"/>
  <c r="AN152" i="122"/>
  <c r="AO152" i="122"/>
  <c r="AP152" i="122"/>
  <c r="AR152" i="122"/>
  <c r="AS152" i="122"/>
  <c r="AU152" i="122"/>
  <c r="AY152" i="122"/>
  <c r="AK152" i="122"/>
  <c r="AT152" i="122"/>
  <c r="BI152" i="122"/>
  <c r="BJ152" i="122"/>
  <c r="BK152" i="122"/>
  <c r="BL152" i="122"/>
  <c r="BM152" i="122"/>
  <c r="BN152" i="122"/>
  <c r="AK268" i="122"/>
  <c r="BE268" i="122"/>
  <c r="AO268" i="122"/>
  <c r="BI268" i="122"/>
  <c r="AP268" i="122"/>
  <c r="BJ268" i="122"/>
  <c r="AQ268" i="122"/>
  <c r="BK268" i="122"/>
  <c r="AR268" i="122"/>
  <c r="BL268" i="122"/>
  <c r="AS268" i="122"/>
  <c r="BM268" i="122"/>
  <c r="AT268" i="122"/>
  <c r="BN268" i="122"/>
  <c r="AU268" i="122"/>
  <c r="AL268" i="122"/>
  <c r="AM268" i="122"/>
  <c r="AN268" i="122"/>
  <c r="AV268" i="122"/>
  <c r="AW268" i="122"/>
  <c r="AX268" i="122"/>
  <c r="AZ268" i="122"/>
  <c r="BB268" i="122"/>
  <c r="BC268" i="122"/>
  <c r="BD268" i="122"/>
  <c r="BG268" i="122"/>
  <c r="BH268" i="122"/>
  <c r="AY268" i="122"/>
  <c r="BA268" i="122"/>
  <c r="BF268" i="122"/>
  <c r="AW258" i="122"/>
  <c r="AX258" i="122"/>
  <c r="AZ258" i="122"/>
  <c r="BA258" i="122"/>
  <c r="BB258" i="122"/>
  <c r="BC258" i="122"/>
  <c r="BD258" i="122"/>
  <c r="AK258" i="122"/>
  <c r="BE258" i="122"/>
  <c r="AL258" i="122"/>
  <c r="BF258" i="122"/>
  <c r="AM258" i="122"/>
  <c r="AN258" i="122"/>
  <c r="BH258" i="122"/>
  <c r="AO258" i="122"/>
  <c r="AP258" i="122"/>
  <c r="AQ258" i="122"/>
  <c r="AR258" i="122"/>
  <c r="AS258" i="122"/>
  <c r="AT258" i="122"/>
  <c r="AU258" i="122"/>
  <c r="AV258" i="122"/>
  <c r="BG258" i="122"/>
  <c r="AY258" i="122"/>
  <c r="BI258" i="122"/>
  <c r="BJ258" i="122"/>
  <c r="BK258" i="122"/>
  <c r="BL258" i="122"/>
  <c r="BM258" i="122"/>
  <c r="BN258" i="122"/>
  <c r="AY253" i="122"/>
  <c r="BC253" i="122"/>
  <c r="AK253" i="122"/>
  <c r="BE253" i="122"/>
  <c r="AL253" i="122"/>
  <c r="BF253" i="122"/>
  <c r="AM253" i="122"/>
  <c r="AN253" i="122"/>
  <c r="BH253" i="122"/>
  <c r="AO253" i="122"/>
  <c r="AZ253" i="122"/>
  <c r="BA253" i="122"/>
  <c r="BD253" i="122"/>
  <c r="BG253" i="122"/>
  <c r="BI253" i="122"/>
  <c r="BJ253" i="122"/>
  <c r="BK253" i="122"/>
  <c r="BL253" i="122"/>
  <c r="BM253" i="122"/>
  <c r="BN253" i="122"/>
  <c r="AP253" i="122"/>
  <c r="BB253" i="122"/>
  <c r="AW253" i="122"/>
  <c r="AX253" i="122"/>
  <c r="AS253" i="122"/>
  <c r="AT253" i="122"/>
  <c r="AV253" i="122"/>
  <c r="AQ253" i="122"/>
  <c r="AR253" i="122"/>
  <c r="AU253" i="122"/>
  <c r="BC248" i="122"/>
  <c r="AN248" i="122"/>
  <c r="BI248" i="122"/>
  <c r="AV248" i="122"/>
  <c r="AW248" i="122"/>
  <c r="AY248" i="122"/>
  <c r="AZ248" i="122"/>
  <c r="BA248" i="122"/>
  <c r="BB248" i="122"/>
  <c r="BD248" i="122"/>
  <c r="BE248" i="122"/>
  <c r="BF248" i="122"/>
  <c r="AK248" i="122"/>
  <c r="BG248" i="122"/>
  <c r="AX248" i="122"/>
  <c r="BH248" i="122"/>
  <c r="BK248" i="122"/>
  <c r="BL248" i="122"/>
  <c r="BM248" i="122"/>
  <c r="BN248" i="122"/>
  <c r="AL248" i="122"/>
  <c r="AQ248" i="122"/>
  <c r="AR248" i="122"/>
  <c r="AS248" i="122"/>
  <c r="AT248" i="122"/>
  <c r="AU248" i="122"/>
  <c r="BJ248" i="122"/>
  <c r="AM248" i="122"/>
  <c r="AO248" i="122"/>
  <c r="AP248" i="122"/>
  <c r="BC243" i="122"/>
  <c r="AQ243" i="122"/>
  <c r="AR243" i="122"/>
  <c r="BM243" i="122"/>
  <c r="AS243" i="122"/>
  <c r="BN243" i="122"/>
  <c r="AT243" i="122"/>
  <c r="AU243" i="122"/>
  <c r="AV243" i="122"/>
  <c r="AW243" i="122"/>
  <c r="AX243" i="122"/>
  <c r="BA243" i="122"/>
  <c r="BD243" i="122"/>
  <c r="BG243" i="122"/>
  <c r="BH243" i="122"/>
  <c r="BJ243" i="122"/>
  <c r="BK243" i="122"/>
  <c r="BL243" i="122"/>
  <c r="AK243" i="122"/>
  <c r="AL243" i="122"/>
  <c r="BI243" i="122"/>
  <c r="AM243" i="122"/>
  <c r="AN243" i="122"/>
  <c r="AO243" i="122"/>
  <c r="AP243" i="122"/>
  <c r="AY243" i="122"/>
  <c r="BE243" i="122"/>
  <c r="BF243" i="122"/>
  <c r="AZ243" i="122"/>
  <c r="BB243" i="122"/>
  <c r="AP238" i="122"/>
  <c r="BJ238" i="122"/>
  <c r="AU238" i="122"/>
  <c r="AX238" i="122"/>
  <c r="AY238" i="122"/>
  <c r="AZ238" i="122"/>
  <c r="BA238" i="122"/>
  <c r="BB238" i="122"/>
  <c r="BC238" i="122"/>
  <c r="BD238" i="122"/>
  <c r="BE238" i="122"/>
  <c r="AQ238" i="122"/>
  <c r="AR238" i="122"/>
  <c r="AS238" i="122"/>
  <c r="AT238" i="122"/>
  <c r="AV238" i="122"/>
  <c r="AW238" i="122"/>
  <c r="BF238" i="122"/>
  <c r="BI238" i="122"/>
  <c r="BL238" i="122"/>
  <c r="AK238" i="122"/>
  <c r="AL238" i="122"/>
  <c r="AM238" i="122"/>
  <c r="AN238" i="122"/>
  <c r="AO238" i="122"/>
  <c r="BG238" i="122"/>
  <c r="BK238" i="122"/>
  <c r="BM238" i="122"/>
  <c r="BN238" i="122"/>
  <c r="BH238" i="122"/>
  <c r="AL223" i="122"/>
  <c r="BF223" i="122"/>
  <c r="AP223" i="122"/>
  <c r="BJ223" i="122"/>
  <c r="AQ223" i="122"/>
  <c r="BK223" i="122"/>
  <c r="AR223" i="122"/>
  <c r="BL223" i="122"/>
  <c r="AV223" i="122"/>
  <c r="AW223" i="122"/>
  <c r="AZ223" i="122"/>
  <c r="BA223" i="122"/>
  <c r="BC223" i="122"/>
  <c r="BD223" i="122"/>
  <c r="BE223" i="122"/>
  <c r="BG223" i="122"/>
  <c r="AS223" i="122"/>
  <c r="BM223" i="122"/>
  <c r="AK223" i="122"/>
  <c r="AM223" i="122"/>
  <c r="AY223" i="122"/>
  <c r="BI223" i="122"/>
  <c r="BN223" i="122"/>
  <c r="AN223" i="122"/>
  <c r="AX223" i="122"/>
  <c r="BB223" i="122"/>
  <c r="BH223" i="122"/>
  <c r="AO223" i="122"/>
  <c r="AT223" i="122"/>
  <c r="AU223" i="122"/>
  <c r="AN212" i="122"/>
  <c r="BH212" i="122"/>
  <c r="AV212" i="122"/>
  <c r="AO212" i="122"/>
  <c r="BK212" i="122"/>
  <c r="AW212" i="122"/>
  <c r="AY212" i="122"/>
  <c r="BA212" i="122"/>
  <c r="AQ212" i="122"/>
  <c r="AR212" i="122"/>
  <c r="AS212" i="122"/>
  <c r="AT212" i="122"/>
  <c r="AU212" i="122"/>
  <c r="AX212" i="122"/>
  <c r="AZ212" i="122"/>
  <c r="BB212" i="122"/>
  <c r="BC212" i="122"/>
  <c r="BD212" i="122"/>
  <c r="BE212" i="122"/>
  <c r="AM212" i="122"/>
  <c r="AK212" i="122"/>
  <c r="AL212" i="122"/>
  <c r="AP212" i="122"/>
  <c r="BF212" i="122"/>
  <c r="BG212" i="122"/>
  <c r="BI212" i="122"/>
  <c r="BJ212" i="122"/>
  <c r="BL212" i="122"/>
  <c r="BM212" i="122"/>
  <c r="BN212" i="122"/>
  <c r="AU197" i="122"/>
  <c r="AY197" i="122"/>
  <c r="AZ197" i="122"/>
  <c r="BA197" i="122"/>
  <c r="BB197" i="122"/>
  <c r="BC197" i="122"/>
  <c r="BD197" i="122"/>
  <c r="AK197" i="122"/>
  <c r="BE197" i="122"/>
  <c r="AN197" i="122"/>
  <c r="AO197" i="122"/>
  <c r="AP197" i="122"/>
  <c r="AQ197" i="122"/>
  <c r="AR197" i="122"/>
  <c r="AS197" i="122"/>
  <c r="AT197" i="122"/>
  <c r="AV197" i="122"/>
  <c r="AW197" i="122"/>
  <c r="BF197" i="122"/>
  <c r="BH197" i="122"/>
  <c r="AL197" i="122"/>
  <c r="AM197" i="122"/>
  <c r="AX197" i="122"/>
  <c r="BG197" i="122"/>
  <c r="BI197" i="122"/>
  <c r="BJ197" i="122"/>
  <c r="BL197" i="122"/>
  <c r="BK197" i="122"/>
  <c r="BM197" i="122"/>
  <c r="BN197" i="122"/>
  <c r="AM187" i="122"/>
  <c r="BG187" i="122"/>
  <c r="AN187" i="122"/>
  <c r="BH187" i="122"/>
  <c r="AP187" i="122"/>
  <c r="BJ187" i="122"/>
  <c r="AQ187" i="122"/>
  <c r="BK187" i="122"/>
  <c r="AR187" i="122"/>
  <c r="BL187" i="122"/>
  <c r="AS187" i="122"/>
  <c r="BM187" i="122"/>
  <c r="AT187" i="122"/>
  <c r="BN187" i="122"/>
  <c r="AU187" i="122"/>
  <c r="AV187" i="122"/>
  <c r="AX187" i="122"/>
  <c r="AK187" i="122"/>
  <c r="AL187" i="122"/>
  <c r="AO187" i="122"/>
  <c r="AW187" i="122"/>
  <c r="AY187" i="122"/>
  <c r="AZ187" i="122"/>
  <c r="BA187" i="122"/>
  <c r="BB187" i="122"/>
  <c r="BC187" i="122"/>
  <c r="BD187" i="122"/>
  <c r="BE187" i="122"/>
  <c r="BI187" i="122"/>
  <c r="BF187" i="122"/>
  <c r="AY177" i="122"/>
  <c r="AN177" i="122"/>
  <c r="BI177" i="122"/>
  <c r="AO177" i="122"/>
  <c r="BJ177" i="122"/>
  <c r="AQ177" i="122"/>
  <c r="BL177" i="122"/>
  <c r="AR177" i="122"/>
  <c r="BM177" i="122"/>
  <c r="AS177" i="122"/>
  <c r="BN177" i="122"/>
  <c r="AT177" i="122"/>
  <c r="AU177" i="122"/>
  <c r="AV177" i="122"/>
  <c r="AW177" i="122"/>
  <c r="AX177" i="122"/>
  <c r="BK177" i="122"/>
  <c r="AK177" i="122"/>
  <c r="AL177" i="122"/>
  <c r="AM177" i="122"/>
  <c r="AP177" i="122"/>
  <c r="AZ177" i="122"/>
  <c r="BA177" i="122"/>
  <c r="BB177" i="122"/>
  <c r="BC177" i="122"/>
  <c r="BD177" i="122"/>
  <c r="BE177" i="122"/>
  <c r="BG177" i="122"/>
  <c r="BH177" i="122"/>
  <c r="BF177" i="122"/>
  <c r="AZ167" i="122"/>
  <c r="AL167" i="122"/>
  <c r="BG167" i="122"/>
  <c r="AO167" i="122"/>
  <c r="BJ167" i="122"/>
  <c r="AP167" i="122"/>
  <c r="BK167" i="122"/>
  <c r="AQ167" i="122"/>
  <c r="BL167" i="122"/>
  <c r="AR167" i="122"/>
  <c r="BM167" i="122"/>
  <c r="AS167" i="122"/>
  <c r="BN167" i="122"/>
  <c r="AT167" i="122"/>
  <c r="AU167" i="122"/>
  <c r="AV167" i="122"/>
  <c r="BA167" i="122"/>
  <c r="BB167" i="122"/>
  <c r="BC167" i="122"/>
  <c r="BD167" i="122"/>
  <c r="BE167" i="122"/>
  <c r="BF167" i="122"/>
  <c r="BH167" i="122"/>
  <c r="AX167" i="122"/>
  <c r="AY167" i="122"/>
  <c r="AK167" i="122"/>
  <c r="AM167" i="122"/>
  <c r="AN167" i="122"/>
  <c r="AW167" i="122"/>
  <c r="BI167" i="122"/>
  <c r="AV157" i="122"/>
  <c r="AZ157" i="122"/>
  <c r="BA157" i="122"/>
  <c r="BB157" i="122"/>
  <c r="BG157" i="122"/>
  <c r="BH157" i="122"/>
  <c r="AL157" i="122"/>
  <c r="BJ157" i="122"/>
  <c r="AM157" i="122"/>
  <c r="BK157" i="122"/>
  <c r="AN157" i="122"/>
  <c r="BL157" i="122"/>
  <c r="AO157" i="122"/>
  <c r="BM157" i="122"/>
  <c r="AP157" i="122"/>
  <c r="AQ157" i="122"/>
  <c r="AR157" i="122"/>
  <c r="AS157" i="122"/>
  <c r="AT157" i="122"/>
  <c r="AW157" i="122"/>
  <c r="AX157" i="122"/>
  <c r="BC157" i="122"/>
  <c r="BF157" i="122"/>
  <c r="BI157" i="122"/>
  <c r="BN157" i="122"/>
  <c r="AK157" i="122"/>
  <c r="AU157" i="122"/>
  <c r="AY157" i="122"/>
  <c r="BD157" i="122"/>
  <c r="BE157" i="122"/>
  <c r="AL228" i="122"/>
  <c r="BF228" i="122"/>
  <c r="AP228" i="122"/>
  <c r="BJ228" i="122"/>
  <c r="AQ228" i="122"/>
  <c r="BK228" i="122"/>
  <c r="AR228" i="122"/>
  <c r="BL228" i="122"/>
  <c r="AK228" i="122"/>
  <c r="BM228" i="122"/>
  <c r="AM228" i="122"/>
  <c r="BN228" i="122"/>
  <c r="AO228" i="122"/>
  <c r="AS228" i="122"/>
  <c r="AT228" i="122"/>
  <c r="AU228" i="122"/>
  <c r="BH228" i="122"/>
  <c r="AV228" i="122"/>
  <c r="AW228" i="122"/>
  <c r="AN228" i="122"/>
  <c r="AX228" i="122"/>
  <c r="AY228" i="122"/>
  <c r="AZ228" i="122"/>
  <c r="BA228" i="122"/>
  <c r="BE228" i="122"/>
  <c r="BG228" i="122"/>
  <c r="BI228" i="122"/>
  <c r="BB228" i="122"/>
  <c r="BC228" i="122"/>
  <c r="BD228" i="122"/>
  <c r="AW72" i="122"/>
  <c r="AY72" i="122"/>
  <c r="AZ72" i="122"/>
  <c r="BA72" i="122"/>
  <c r="BB72" i="122"/>
  <c r="BC72" i="122"/>
  <c r="BD72" i="122"/>
  <c r="BE72" i="122"/>
  <c r="AK72" i="122"/>
  <c r="BF72" i="122"/>
  <c r="AL72" i="122"/>
  <c r="BG72" i="122"/>
  <c r="AM72" i="122"/>
  <c r="BH72" i="122"/>
  <c r="AN72" i="122"/>
  <c r="BI72" i="122"/>
  <c r="AV72" i="122"/>
  <c r="BJ72" i="122"/>
  <c r="BK72" i="122"/>
  <c r="BL72" i="122"/>
  <c r="AX72" i="122"/>
  <c r="BM72" i="122"/>
  <c r="BN72" i="122"/>
  <c r="AP72" i="122"/>
  <c r="AR72" i="122"/>
  <c r="AU72" i="122"/>
  <c r="AQ72" i="122"/>
  <c r="AS72" i="122"/>
  <c r="AT72" i="122"/>
  <c r="AO72" i="122"/>
  <c r="AN67" i="122"/>
  <c r="BH67" i="122"/>
  <c r="AT67" i="122"/>
  <c r="BN67" i="122"/>
  <c r="AV67" i="122"/>
  <c r="BC67" i="122"/>
  <c r="AK67" i="122"/>
  <c r="AL67" i="122"/>
  <c r="BJ67" i="122"/>
  <c r="AM67" i="122"/>
  <c r="BK67" i="122"/>
  <c r="AP67" i="122"/>
  <c r="BM67" i="122"/>
  <c r="AR67" i="122"/>
  <c r="AS67" i="122"/>
  <c r="AU67" i="122"/>
  <c r="AW67" i="122"/>
  <c r="AX67" i="122"/>
  <c r="AY67" i="122"/>
  <c r="AZ67" i="122"/>
  <c r="BA67" i="122"/>
  <c r="BB67" i="122"/>
  <c r="BD67" i="122"/>
  <c r="BE67" i="122"/>
  <c r="BF67" i="122"/>
  <c r="AO67" i="122"/>
  <c r="AQ67" i="122"/>
  <c r="BG67" i="122"/>
  <c r="BI67" i="122"/>
  <c r="BL67" i="122"/>
  <c r="AN62" i="122"/>
  <c r="BH62" i="122"/>
  <c r="AT62" i="122"/>
  <c r="BN62" i="122"/>
  <c r="AV62" i="122"/>
  <c r="AP62" i="122"/>
  <c r="BM62" i="122"/>
  <c r="AQ62" i="122"/>
  <c r="AS62" i="122"/>
  <c r="AU62" i="122"/>
  <c r="AW62" i="122"/>
  <c r="AX62" i="122"/>
  <c r="AY62" i="122"/>
  <c r="AZ62" i="122"/>
  <c r="BA62" i="122"/>
  <c r="BB62" i="122"/>
  <c r="BD62" i="122"/>
  <c r="AK62" i="122"/>
  <c r="AL62" i="122"/>
  <c r="AM62" i="122"/>
  <c r="BG62" i="122"/>
  <c r="AO62" i="122"/>
  <c r="AR62" i="122"/>
  <c r="BC62" i="122"/>
  <c r="BE62" i="122"/>
  <c r="BF62" i="122"/>
  <c r="BI62" i="122"/>
  <c r="BJ62" i="122"/>
  <c r="BK62" i="122"/>
  <c r="BL62" i="122"/>
  <c r="AU57" i="122"/>
  <c r="BA57" i="122"/>
  <c r="BC57" i="122"/>
  <c r="BB57" i="122"/>
  <c r="BD57" i="122"/>
  <c r="BE57" i="122"/>
  <c r="BF57" i="122"/>
  <c r="BG57" i="122"/>
  <c r="AK57" i="122"/>
  <c r="BH57" i="122"/>
  <c r="AL57" i="122"/>
  <c r="BI57" i="122"/>
  <c r="AM57" i="122"/>
  <c r="BJ57" i="122"/>
  <c r="AN57" i="122"/>
  <c r="BK57" i="122"/>
  <c r="AR57" i="122"/>
  <c r="AS57" i="122"/>
  <c r="AT57" i="122"/>
  <c r="AW57" i="122"/>
  <c r="AX57" i="122"/>
  <c r="AY57" i="122"/>
  <c r="AZ57" i="122"/>
  <c r="BL57" i="122"/>
  <c r="BM57" i="122"/>
  <c r="BN57" i="122"/>
  <c r="AO57" i="122"/>
  <c r="AP57" i="122"/>
  <c r="AQ57" i="122"/>
  <c r="AV57" i="122"/>
  <c r="AN47" i="122"/>
  <c r="BH47" i="122"/>
  <c r="BE47" i="122"/>
  <c r="AK47" i="122"/>
  <c r="BF47" i="122"/>
  <c r="AL47" i="122"/>
  <c r="BG47" i="122"/>
  <c r="AM47" i="122"/>
  <c r="BI47" i="122"/>
  <c r="AO47" i="122"/>
  <c r="BJ47" i="122"/>
  <c r="AP47" i="122"/>
  <c r="BK47" i="122"/>
  <c r="AQ47" i="122"/>
  <c r="BL47" i="122"/>
  <c r="AR47" i="122"/>
  <c r="BM47" i="122"/>
  <c r="AS47" i="122"/>
  <c r="BN47" i="122"/>
  <c r="AT47" i="122"/>
  <c r="AU47" i="122"/>
  <c r="AV47" i="122"/>
  <c r="AX47" i="122"/>
  <c r="AW47" i="122"/>
  <c r="AY47" i="122"/>
  <c r="AZ47" i="122"/>
  <c r="BA47" i="122"/>
  <c r="BB47" i="122"/>
  <c r="BC47" i="122"/>
  <c r="BD47" i="122"/>
  <c r="AO42" i="122"/>
  <c r="AL42" i="122"/>
  <c r="BG42" i="122"/>
  <c r="AM42" i="122"/>
  <c r="BH42" i="122"/>
  <c r="AP42" i="122"/>
  <c r="BJ42" i="122"/>
  <c r="AQ42" i="122"/>
  <c r="BK42" i="122"/>
  <c r="AR42" i="122"/>
  <c r="BL42" i="122"/>
  <c r="AS42" i="122"/>
  <c r="BM42" i="122"/>
  <c r="AT42" i="122"/>
  <c r="BN42" i="122"/>
  <c r="AU42" i="122"/>
  <c r="AV42" i="122"/>
  <c r="AW42" i="122"/>
  <c r="AX42" i="122"/>
  <c r="BD42" i="122"/>
  <c r="BE42" i="122"/>
  <c r="BF42" i="122"/>
  <c r="BI42" i="122"/>
  <c r="AK42" i="122"/>
  <c r="AN42" i="122"/>
  <c r="AY42" i="122"/>
  <c r="AZ42" i="122"/>
  <c r="BA42" i="122"/>
  <c r="BB42" i="122"/>
  <c r="BC42" i="122"/>
  <c r="AO37" i="122"/>
  <c r="BI37" i="122"/>
  <c r="AP37" i="122"/>
  <c r="BJ37" i="122"/>
  <c r="AR37" i="122"/>
  <c r="BL37" i="122"/>
  <c r="AS37" i="122"/>
  <c r="BM37" i="122"/>
  <c r="AT37" i="122"/>
  <c r="BN37" i="122"/>
  <c r="AU37" i="122"/>
  <c r="AV37" i="122"/>
  <c r="AW37" i="122"/>
  <c r="AX37" i="122"/>
  <c r="AY37" i="122"/>
  <c r="AQ37" i="122"/>
  <c r="AZ37" i="122"/>
  <c r="BB37" i="122"/>
  <c r="BC37" i="122"/>
  <c r="BD37" i="122"/>
  <c r="BE37" i="122"/>
  <c r="BF37" i="122"/>
  <c r="BG37" i="122"/>
  <c r="BH37" i="122"/>
  <c r="BK37" i="122"/>
  <c r="AK37" i="122"/>
  <c r="AL37" i="122"/>
  <c r="AM37" i="122"/>
  <c r="AN37" i="122"/>
  <c r="BA37" i="122"/>
  <c r="AS32" i="122"/>
  <c r="BM32" i="122"/>
  <c r="AU32" i="122"/>
  <c r="AW32" i="122"/>
  <c r="BD32" i="122"/>
  <c r="BE32" i="122"/>
  <c r="BG32" i="122"/>
  <c r="AK32" i="122"/>
  <c r="BH32" i="122"/>
  <c r="AL32" i="122"/>
  <c r="BI32" i="122"/>
  <c r="AM32" i="122"/>
  <c r="BJ32" i="122"/>
  <c r="AN32" i="122"/>
  <c r="BK32" i="122"/>
  <c r="AO32" i="122"/>
  <c r="BL32" i="122"/>
  <c r="AP32" i="122"/>
  <c r="BN32" i="122"/>
  <c r="AQ32" i="122"/>
  <c r="AR32" i="122"/>
  <c r="AV32" i="122"/>
  <c r="AX32" i="122"/>
  <c r="AY32" i="122"/>
  <c r="AZ32" i="122"/>
  <c r="BA32" i="122"/>
  <c r="BB32" i="122"/>
  <c r="BC32" i="122"/>
  <c r="BF32" i="122"/>
  <c r="AT32" i="122"/>
  <c r="AZ22" i="122"/>
  <c r="BD22" i="122"/>
  <c r="AL22" i="122"/>
  <c r="BG22" i="122"/>
  <c r="AM22" i="122"/>
  <c r="BH22" i="122"/>
  <c r="AN22" i="122"/>
  <c r="BI22" i="122"/>
  <c r="AO22" i="122"/>
  <c r="BJ22" i="122"/>
  <c r="AP22" i="122"/>
  <c r="BK22" i="122"/>
  <c r="AQ22" i="122"/>
  <c r="BL22" i="122"/>
  <c r="AR22" i="122"/>
  <c r="BM22" i="122"/>
  <c r="AS22" i="122"/>
  <c r="BN22" i="122"/>
  <c r="AK22" i="122"/>
  <c r="AT22" i="122"/>
  <c r="AU22" i="122"/>
  <c r="AV22" i="122"/>
  <c r="AY22" i="122"/>
  <c r="BB22" i="122"/>
  <c r="AW22" i="122"/>
  <c r="AX22" i="122"/>
  <c r="BC22" i="122"/>
  <c r="BE22" i="122"/>
  <c r="BF22" i="122"/>
  <c r="BA22" i="122"/>
  <c r="AW17" i="122"/>
  <c r="BA17" i="122"/>
  <c r="BD17" i="122"/>
  <c r="BE17" i="122"/>
  <c r="AK17" i="122"/>
  <c r="BF17" i="122"/>
  <c r="AL17" i="122"/>
  <c r="BG17" i="122"/>
  <c r="AM17" i="122"/>
  <c r="BH17" i="122"/>
  <c r="AO17" i="122"/>
  <c r="BJ17" i="122"/>
  <c r="BL17" i="122"/>
  <c r="AN17" i="122"/>
  <c r="AP17" i="122"/>
  <c r="AQ17" i="122"/>
  <c r="AR17" i="122"/>
  <c r="AS17" i="122"/>
  <c r="AT17" i="122"/>
  <c r="AX17" i="122"/>
  <c r="AY17" i="122"/>
  <c r="AZ17" i="122"/>
  <c r="BB17" i="122"/>
  <c r="BC17" i="122"/>
  <c r="BI17" i="122"/>
  <c r="BK17" i="122"/>
  <c r="AU17" i="122"/>
  <c r="AV17" i="122"/>
  <c r="BM17" i="122"/>
  <c r="BN17" i="122"/>
  <c r="AV12" i="122"/>
  <c r="AZ12" i="122"/>
  <c r="BA12" i="122"/>
  <c r="BB12" i="122"/>
  <c r="AQ12" i="122"/>
  <c r="AR12" i="122"/>
  <c r="AT12" i="122"/>
  <c r="AU12" i="122"/>
  <c r="AW12" i="122"/>
  <c r="AX12" i="122"/>
  <c r="BG12" i="122"/>
  <c r="BJ12" i="122"/>
  <c r="BK12" i="122"/>
  <c r="BL12" i="122"/>
  <c r="BM12" i="122"/>
  <c r="BN12" i="122"/>
  <c r="AL12" i="122"/>
  <c r="AM12" i="122"/>
  <c r="BC12" i="122"/>
  <c r="BF12" i="122"/>
  <c r="BH12" i="122"/>
  <c r="BI12" i="122"/>
  <c r="AK12" i="122"/>
  <c r="AO12" i="122"/>
  <c r="AN12" i="122"/>
  <c r="AS12" i="122"/>
  <c r="AY12" i="122"/>
  <c r="BD12" i="122"/>
  <c r="BE12" i="122"/>
  <c r="AP12" i="122"/>
  <c r="AV7" i="122"/>
  <c r="AZ7" i="122"/>
  <c r="BA7" i="122"/>
  <c r="BB7" i="122"/>
  <c r="AL7" i="122"/>
  <c r="BF7" i="122"/>
  <c r="AM7" i="122"/>
  <c r="BG7" i="122"/>
  <c r="AY7" i="122"/>
  <c r="BC7" i="122"/>
  <c r="BE7" i="122"/>
  <c r="BH7" i="122"/>
  <c r="BI7" i="122"/>
  <c r="BJ7" i="122"/>
  <c r="AS7" i="122"/>
  <c r="AT7" i="122"/>
  <c r="AX7" i="122"/>
  <c r="BD7" i="122"/>
  <c r="BK7" i="122"/>
  <c r="BL7" i="122"/>
  <c r="BM7" i="122"/>
  <c r="AK7" i="122"/>
  <c r="AN7" i="122"/>
  <c r="AO7" i="122"/>
  <c r="AP7" i="122"/>
  <c r="AQ7" i="122"/>
  <c r="AW7" i="122"/>
  <c r="AR7" i="122"/>
  <c r="AU7" i="122"/>
  <c r="BN7" i="122"/>
  <c r="AU203" i="122"/>
  <c r="BA203" i="122"/>
  <c r="BC203" i="122"/>
  <c r="AM203" i="122"/>
  <c r="BJ203" i="122"/>
  <c r="AN203" i="122"/>
  <c r="BK203" i="122"/>
  <c r="AO203" i="122"/>
  <c r="BL203" i="122"/>
  <c r="AQ203" i="122"/>
  <c r="BN203" i="122"/>
  <c r="AR203" i="122"/>
  <c r="AS203" i="122"/>
  <c r="AT203" i="122"/>
  <c r="AV203" i="122"/>
  <c r="AZ203" i="122"/>
  <c r="AW203" i="122"/>
  <c r="AX203" i="122"/>
  <c r="BB203" i="122"/>
  <c r="BD203" i="122"/>
  <c r="BE203" i="122"/>
  <c r="BF203" i="122"/>
  <c r="BG203" i="122"/>
  <c r="BH203" i="122"/>
  <c r="BI203" i="122"/>
  <c r="BM203" i="122"/>
  <c r="AP203" i="122"/>
  <c r="AK203" i="122"/>
  <c r="AL203" i="122"/>
  <c r="AY203" i="122"/>
  <c r="AO33" i="122"/>
  <c r="BI33" i="122"/>
  <c r="AP33" i="122"/>
  <c r="BJ33" i="122"/>
  <c r="AR33" i="122"/>
  <c r="BL33" i="122"/>
  <c r="AS33" i="122"/>
  <c r="BM33" i="122"/>
  <c r="AT33" i="122"/>
  <c r="BN33" i="122"/>
  <c r="AU33" i="122"/>
  <c r="AV33" i="122"/>
  <c r="AW33" i="122"/>
  <c r="AX33" i="122"/>
  <c r="AY33" i="122"/>
  <c r="AQ33" i="122"/>
  <c r="AZ33" i="122"/>
  <c r="BB33" i="122"/>
  <c r="BC33" i="122"/>
  <c r="BD33" i="122"/>
  <c r="BE33" i="122"/>
  <c r="BF33" i="122"/>
  <c r="BG33" i="122"/>
  <c r="BH33" i="122"/>
  <c r="BK33" i="122"/>
  <c r="AL33" i="122"/>
  <c r="AM33" i="122"/>
  <c r="AN33" i="122"/>
  <c r="BA33" i="122"/>
  <c r="AK33" i="122"/>
  <c r="AN207" i="122"/>
  <c r="BH207" i="122"/>
  <c r="AT207" i="122"/>
  <c r="BN207" i="122"/>
  <c r="AV207" i="122"/>
  <c r="BA207" i="122"/>
  <c r="BB207" i="122"/>
  <c r="BD207" i="122"/>
  <c r="BE207" i="122"/>
  <c r="BF207" i="122"/>
  <c r="BG207" i="122"/>
  <c r="AK207" i="122"/>
  <c r="BI207" i="122"/>
  <c r="AL207" i="122"/>
  <c r="BJ207" i="122"/>
  <c r="AM207" i="122"/>
  <c r="BK207" i="122"/>
  <c r="AO207" i="122"/>
  <c r="BL207" i="122"/>
  <c r="AQ207" i="122"/>
  <c r="AX207" i="122"/>
  <c r="AP207" i="122"/>
  <c r="AR207" i="122"/>
  <c r="AS207" i="122"/>
  <c r="AU207" i="122"/>
  <c r="AW207" i="122"/>
  <c r="AY207" i="122"/>
  <c r="AZ207" i="122"/>
  <c r="BC207" i="122"/>
  <c r="BM207" i="122"/>
  <c r="AX263" i="122"/>
  <c r="AV263" i="122"/>
  <c r="AW263" i="122"/>
  <c r="AY263" i="122"/>
  <c r="AZ263" i="122"/>
  <c r="BA263" i="122"/>
  <c r="BB263" i="122"/>
  <c r="BC263" i="122"/>
  <c r="BD263" i="122"/>
  <c r="BE263" i="122"/>
  <c r="AK263" i="122"/>
  <c r="BF263" i="122"/>
  <c r="AL263" i="122"/>
  <c r="BG263" i="122"/>
  <c r="AN263" i="122"/>
  <c r="AO263" i="122"/>
  <c r="AP263" i="122"/>
  <c r="AQ263" i="122"/>
  <c r="AR263" i="122"/>
  <c r="AS263" i="122"/>
  <c r="AT263" i="122"/>
  <c r="AU263" i="122"/>
  <c r="BH263" i="122"/>
  <c r="BJ263" i="122"/>
  <c r="BL263" i="122"/>
  <c r="BI263" i="122"/>
  <c r="AM263" i="122"/>
  <c r="BK263" i="122"/>
  <c r="BM263" i="122"/>
  <c r="BN263" i="122"/>
  <c r="AN193" i="122"/>
  <c r="BH193" i="122"/>
  <c r="AT193" i="122"/>
  <c r="AU193" i="122"/>
  <c r="AV193" i="122"/>
  <c r="AW193" i="122"/>
  <c r="AX193" i="122"/>
  <c r="AY193" i="122"/>
  <c r="AZ193" i="122"/>
  <c r="BA193" i="122"/>
  <c r="BB193" i="122"/>
  <c r="BC193" i="122"/>
  <c r="BD193" i="122"/>
  <c r="AK193" i="122"/>
  <c r="AL193" i="122"/>
  <c r="AM193" i="122"/>
  <c r="AO193" i="122"/>
  <c r="AP193" i="122"/>
  <c r="AQ193" i="122"/>
  <c r="AS193" i="122"/>
  <c r="BF193" i="122"/>
  <c r="BE193" i="122"/>
  <c r="BG193" i="122"/>
  <c r="BJ193" i="122"/>
  <c r="BK193" i="122"/>
  <c r="BL193" i="122"/>
  <c r="BM193" i="122"/>
  <c r="BN193" i="122"/>
  <c r="AR193" i="122"/>
  <c r="BI193" i="122"/>
  <c r="AW217" i="122"/>
  <c r="BB217" i="122"/>
  <c r="BC217" i="122"/>
  <c r="BD217" i="122"/>
  <c r="BE217" i="122"/>
  <c r="AK217" i="122"/>
  <c r="BF217" i="122"/>
  <c r="AL217" i="122"/>
  <c r="BG217" i="122"/>
  <c r="AM217" i="122"/>
  <c r="BH217" i="122"/>
  <c r="AN217" i="122"/>
  <c r="BI217" i="122"/>
  <c r="AO217" i="122"/>
  <c r="BJ217" i="122"/>
  <c r="AP217" i="122"/>
  <c r="BK217" i="122"/>
  <c r="AQ217" i="122"/>
  <c r="BL217" i="122"/>
  <c r="AZ217" i="122"/>
  <c r="AV217" i="122"/>
  <c r="AT217" i="122"/>
  <c r="AX217" i="122"/>
  <c r="AY217" i="122"/>
  <c r="BA217" i="122"/>
  <c r="BM217" i="122"/>
  <c r="AS217" i="122"/>
  <c r="BN217" i="122"/>
  <c r="AU217" i="122"/>
  <c r="AR217" i="122"/>
  <c r="AU202" i="122"/>
  <c r="BA202" i="122"/>
  <c r="BC202" i="122"/>
  <c r="AO202" i="122"/>
  <c r="BL202" i="122"/>
  <c r="AP202" i="122"/>
  <c r="BM202" i="122"/>
  <c r="AQ202" i="122"/>
  <c r="BN202" i="122"/>
  <c r="AR202" i="122"/>
  <c r="AS202" i="122"/>
  <c r="AT202" i="122"/>
  <c r="AV202" i="122"/>
  <c r="AW202" i="122"/>
  <c r="AX202" i="122"/>
  <c r="BD202" i="122"/>
  <c r="AK202" i="122"/>
  <c r="AL202" i="122"/>
  <c r="AM202" i="122"/>
  <c r="AN202" i="122"/>
  <c r="AY202" i="122"/>
  <c r="AZ202" i="122"/>
  <c r="BB202" i="122"/>
  <c r="BE202" i="122"/>
  <c r="BG202" i="122"/>
  <c r="BK202" i="122"/>
  <c r="BF202" i="122"/>
  <c r="BH202" i="122"/>
  <c r="BI202" i="122"/>
  <c r="BJ202" i="122"/>
  <c r="AN192" i="122"/>
  <c r="BH192" i="122"/>
  <c r="AM192" i="122"/>
  <c r="BI192" i="122"/>
  <c r="AO192" i="122"/>
  <c r="BJ192" i="122"/>
  <c r="AP192" i="122"/>
  <c r="BK192" i="122"/>
  <c r="AQ192" i="122"/>
  <c r="BL192" i="122"/>
  <c r="AR192" i="122"/>
  <c r="BM192" i="122"/>
  <c r="AS192" i="122"/>
  <c r="BN192" i="122"/>
  <c r="AT192" i="122"/>
  <c r="AU192" i="122"/>
  <c r="AV192" i="122"/>
  <c r="AW192" i="122"/>
  <c r="AX192" i="122"/>
  <c r="BB192" i="122"/>
  <c r="BC192" i="122"/>
  <c r="BD192" i="122"/>
  <c r="BE192" i="122"/>
  <c r="BF192" i="122"/>
  <c r="BG192" i="122"/>
  <c r="BA192" i="122"/>
  <c r="AK192" i="122"/>
  <c r="AL192" i="122"/>
  <c r="AY192" i="122"/>
  <c r="AZ192" i="122"/>
  <c r="AO182" i="122"/>
  <c r="BI182" i="122"/>
  <c r="AU182" i="122"/>
  <c r="AX182" i="122"/>
  <c r="AV182" i="122"/>
  <c r="AW182" i="122"/>
  <c r="AZ182" i="122"/>
  <c r="BA182" i="122"/>
  <c r="BB182" i="122"/>
  <c r="BC182" i="122"/>
  <c r="BD182" i="122"/>
  <c r="BE182" i="122"/>
  <c r="BF182" i="122"/>
  <c r="BG182" i="122"/>
  <c r="AK182" i="122"/>
  <c r="BH182" i="122"/>
  <c r="AL182" i="122"/>
  <c r="AM182" i="122"/>
  <c r="AN182" i="122"/>
  <c r="AP182" i="122"/>
  <c r="AQ182" i="122"/>
  <c r="AR182" i="122"/>
  <c r="AS182" i="122"/>
  <c r="AT182" i="122"/>
  <c r="AY182" i="122"/>
  <c r="BJ182" i="122"/>
  <c r="BK182" i="122"/>
  <c r="BL182" i="122"/>
  <c r="BM182" i="122"/>
  <c r="BN182" i="122"/>
  <c r="AS172" i="122"/>
  <c r="BM172" i="122"/>
  <c r="BD172" i="122"/>
  <c r="BE172" i="122"/>
  <c r="AK172" i="122"/>
  <c r="BF172" i="122"/>
  <c r="AL172" i="122"/>
  <c r="BG172" i="122"/>
  <c r="AM172" i="122"/>
  <c r="BH172" i="122"/>
  <c r="AN172" i="122"/>
  <c r="BI172" i="122"/>
  <c r="AO172" i="122"/>
  <c r="BJ172" i="122"/>
  <c r="AR172" i="122"/>
  <c r="BN172" i="122"/>
  <c r="AU172" i="122"/>
  <c r="AP172" i="122"/>
  <c r="AQ172" i="122"/>
  <c r="AT172" i="122"/>
  <c r="AV172" i="122"/>
  <c r="AW172" i="122"/>
  <c r="AX172" i="122"/>
  <c r="AZ172" i="122"/>
  <c r="BA172" i="122"/>
  <c r="BB172" i="122"/>
  <c r="BC172" i="122"/>
  <c r="BK172" i="122"/>
  <c r="BL172" i="122"/>
  <c r="AY172" i="122"/>
  <c r="AW162" i="122"/>
  <c r="BD162" i="122"/>
  <c r="AM162" i="122"/>
  <c r="BH162" i="122"/>
  <c r="AO162" i="122"/>
  <c r="BJ162" i="122"/>
  <c r="AP162" i="122"/>
  <c r="BK162" i="122"/>
  <c r="AR162" i="122"/>
  <c r="BM162" i="122"/>
  <c r="BI162" i="122"/>
  <c r="AK162" i="122"/>
  <c r="AL162" i="122"/>
  <c r="AN162" i="122"/>
  <c r="AQ162" i="122"/>
  <c r="AS162" i="122"/>
  <c r="AT162" i="122"/>
  <c r="AU162" i="122"/>
  <c r="AV162" i="122"/>
  <c r="AX162" i="122"/>
  <c r="AY162" i="122"/>
  <c r="AZ162" i="122"/>
  <c r="BA162" i="122"/>
  <c r="BB162" i="122"/>
  <c r="BC162" i="122"/>
  <c r="BE162" i="122"/>
  <c r="BL162" i="122"/>
  <c r="BF162" i="122"/>
  <c r="BG162" i="122"/>
  <c r="BN162" i="122"/>
  <c r="AM233" i="122"/>
  <c r="BG233" i="122"/>
  <c r="AR233" i="122"/>
  <c r="BM233" i="122"/>
  <c r="AU233" i="122"/>
  <c r="AV233" i="122"/>
  <c r="AW233" i="122"/>
  <c r="AX233" i="122"/>
  <c r="AY233" i="122"/>
  <c r="BA233" i="122"/>
  <c r="BK233" i="122"/>
  <c r="AK233" i="122"/>
  <c r="AL233" i="122"/>
  <c r="AN233" i="122"/>
  <c r="AO233" i="122"/>
  <c r="AP233" i="122"/>
  <c r="AQ233" i="122"/>
  <c r="AS233" i="122"/>
  <c r="AT233" i="122"/>
  <c r="AZ233" i="122"/>
  <c r="BC233" i="122"/>
  <c r="BB233" i="122"/>
  <c r="BD233" i="122"/>
  <c r="BE233" i="122"/>
  <c r="BF233" i="122"/>
  <c r="BI233" i="122"/>
  <c r="BJ233" i="122"/>
  <c r="BL233" i="122"/>
  <c r="BN233" i="122"/>
  <c r="BH233" i="122"/>
  <c r="AW216" i="122"/>
  <c r="BD216" i="122"/>
  <c r="AR216" i="122"/>
  <c r="BN216" i="122"/>
  <c r="AS216" i="122"/>
  <c r="AT216" i="122"/>
  <c r="AU216" i="122"/>
  <c r="AV216" i="122"/>
  <c r="AX216" i="122"/>
  <c r="AY216" i="122"/>
  <c r="AZ216" i="122"/>
  <c r="BA216" i="122"/>
  <c r="BB216" i="122"/>
  <c r="BC216" i="122"/>
  <c r="AP216" i="122"/>
  <c r="BL216" i="122"/>
  <c r="BI216" i="122"/>
  <c r="BJ216" i="122"/>
  <c r="BK216" i="122"/>
  <c r="BM216" i="122"/>
  <c r="BH216" i="122"/>
  <c r="BG216" i="122"/>
  <c r="BE216" i="122"/>
  <c r="BF216" i="122"/>
  <c r="AK216" i="122"/>
  <c r="AO216" i="122"/>
  <c r="AL216" i="122"/>
  <c r="AM216" i="122"/>
  <c r="AN216" i="122"/>
  <c r="AQ216" i="122"/>
  <c r="AN211" i="122"/>
  <c r="BH211" i="122"/>
  <c r="AT211" i="122"/>
  <c r="BN211" i="122"/>
  <c r="AV211" i="122"/>
  <c r="AQ211" i="122"/>
  <c r="AR211" i="122"/>
  <c r="AU211" i="122"/>
  <c r="AW211" i="122"/>
  <c r="AX211" i="122"/>
  <c r="AY211" i="122"/>
  <c r="AZ211" i="122"/>
  <c r="BA211" i="122"/>
  <c r="BC211" i="122"/>
  <c r="BE211" i="122"/>
  <c r="BJ211" i="122"/>
  <c r="BK211" i="122"/>
  <c r="BL211" i="122"/>
  <c r="BM211" i="122"/>
  <c r="AK211" i="122"/>
  <c r="AL211" i="122"/>
  <c r="BG211" i="122"/>
  <c r="BD211" i="122"/>
  <c r="AO211" i="122"/>
  <c r="AS211" i="122"/>
  <c r="BI211" i="122"/>
  <c r="BB211" i="122"/>
  <c r="BF211" i="122"/>
  <c r="AP211" i="122"/>
  <c r="AM211" i="122"/>
  <c r="AN206" i="122"/>
  <c r="BH206" i="122"/>
  <c r="AO206" i="122"/>
  <c r="AT206" i="122"/>
  <c r="BN206" i="122"/>
  <c r="AU206" i="122"/>
  <c r="AV206" i="122"/>
  <c r="BC206" i="122"/>
  <c r="BD206" i="122"/>
  <c r="BF206" i="122"/>
  <c r="BG206" i="122"/>
  <c r="BI206" i="122"/>
  <c r="BJ206" i="122"/>
  <c r="AK206" i="122"/>
  <c r="BK206" i="122"/>
  <c r="AL206" i="122"/>
  <c r="BL206" i="122"/>
  <c r="AM206" i="122"/>
  <c r="BM206" i="122"/>
  <c r="AP206" i="122"/>
  <c r="AR206" i="122"/>
  <c r="AQ206" i="122"/>
  <c r="AS206" i="122"/>
  <c r="AW206" i="122"/>
  <c r="AX206" i="122"/>
  <c r="AY206" i="122"/>
  <c r="AZ206" i="122"/>
  <c r="BA206" i="122"/>
  <c r="BB206" i="122"/>
  <c r="BE206" i="122"/>
  <c r="AN191" i="122"/>
  <c r="BH191" i="122"/>
  <c r="AS191" i="122"/>
  <c r="BB191" i="122"/>
  <c r="BC191" i="122"/>
  <c r="BD191" i="122"/>
  <c r="BE191" i="122"/>
  <c r="BF191" i="122"/>
  <c r="AK191" i="122"/>
  <c r="BG191" i="122"/>
  <c r="AL191" i="122"/>
  <c r="BI191" i="122"/>
  <c r="AM191" i="122"/>
  <c r="BJ191" i="122"/>
  <c r="AO191" i="122"/>
  <c r="BK191" i="122"/>
  <c r="AP191" i="122"/>
  <c r="BL191" i="122"/>
  <c r="AQ191" i="122"/>
  <c r="BM191" i="122"/>
  <c r="AR191" i="122"/>
  <c r="AT191" i="122"/>
  <c r="AU191" i="122"/>
  <c r="AV191" i="122"/>
  <c r="AW191" i="122"/>
  <c r="AX191" i="122"/>
  <c r="AZ191" i="122"/>
  <c r="BN191" i="122"/>
  <c r="AY191" i="122"/>
  <c r="BA191" i="122"/>
  <c r="AO186" i="122"/>
  <c r="BI186" i="122"/>
  <c r="BD186" i="122"/>
  <c r="BE186" i="122"/>
  <c r="AL186" i="122"/>
  <c r="BG186" i="122"/>
  <c r="AM186" i="122"/>
  <c r="BH186" i="122"/>
  <c r="AN186" i="122"/>
  <c r="BJ186" i="122"/>
  <c r="AP186" i="122"/>
  <c r="BK186" i="122"/>
  <c r="AQ186" i="122"/>
  <c r="BL186" i="122"/>
  <c r="AR186" i="122"/>
  <c r="BM186" i="122"/>
  <c r="AS186" i="122"/>
  <c r="BN186" i="122"/>
  <c r="AT186" i="122"/>
  <c r="AU186" i="122"/>
  <c r="AK186" i="122"/>
  <c r="AV186" i="122"/>
  <c r="AW186" i="122"/>
  <c r="AX186" i="122"/>
  <c r="AY186" i="122"/>
  <c r="BC186" i="122"/>
  <c r="BF186" i="122"/>
  <c r="AZ186" i="122"/>
  <c r="BA186" i="122"/>
  <c r="BB186" i="122"/>
  <c r="AO181" i="122"/>
  <c r="BI181" i="122"/>
  <c r="AP181" i="122"/>
  <c r="BJ181" i="122"/>
  <c r="AR181" i="122"/>
  <c r="BL181" i="122"/>
  <c r="AS181" i="122"/>
  <c r="BM181" i="122"/>
  <c r="AT181" i="122"/>
  <c r="BN181" i="122"/>
  <c r="AU181" i="122"/>
  <c r="AV181" i="122"/>
  <c r="AW181" i="122"/>
  <c r="AX181" i="122"/>
  <c r="AY181" i="122"/>
  <c r="BK181" i="122"/>
  <c r="AK181" i="122"/>
  <c r="AL181" i="122"/>
  <c r="AM181" i="122"/>
  <c r="AN181" i="122"/>
  <c r="AQ181" i="122"/>
  <c r="AZ181" i="122"/>
  <c r="BG181" i="122"/>
  <c r="BH181" i="122"/>
  <c r="BA181" i="122"/>
  <c r="BB181" i="122"/>
  <c r="BC181" i="122"/>
  <c r="BD181" i="122"/>
  <c r="BF181" i="122"/>
  <c r="BE181" i="122"/>
  <c r="AS176" i="122"/>
  <c r="BM176" i="122"/>
  <c r="AQ176" i="122"/>
  <c r="BL176" i="122"/>
  <c r="AT176" i="122"/>
  <c r="AU176" i="122"/>
  <c r="AV176" i="122"/>
  <c r="AX176" i="122"/>
  <c r="AY176" i="122"/>
  <c r="AZ176" i="122"/>
  <c r="BA176" i="122"/>
  <c r="BB176" i="122"/>
  <c r="BC176" i="122"/>
  <c r="BD176" i="122"/>
  <c r="BE176" i="122"/>
  <c r="AW176" i="122"/>
  <c r="BF176" i="122"/>
  <c r="BH176" i="122"/>
  <c r="BI176" i="122"/>
  <c r="BJ176" i="122"/>
  <c r="BK176" i="122"/>
  <c r="BN176" i="122"/>
  <c r="AK176" i="122"/>
  <c r="AL176" i="122"/>
  <c r="AM176" i="122"/>
  <c r="AN176" i="122"/>
  <c r="AO176" i="122"/>
  <c r="AP176" i="122"/>
  <c r="AR176" i="122"/>
  <c r="BG176" i="122"/>
  <c r="AZ166" i="122"/>
  <c r="BA166" i="122"/>
  <c r="BD166" i="122"/>
  <c r="BE166" i="122"/>
  <c r="AK166" i="122"/>
  <c r="BF166" i="122"/>
  <c r="AL166" i="122"/>
  <c r="BG166" i="122"/>
  <c r="AM166" i="122"/>
  <c r="BH166" i="122"/>
  <c r="AN166" i="122"/>
  <c r="BI166" i="122"/>
  <c r="AO166" i="122"/>
  <c r="BJ166" i="122"/>
  <c r="AP166" i="122"/>
  <c r="BK166" i="122"/>
  <c r="BB166" i="122"/>
  <c r="BC166" i="122"/>
  <c r="BL166" i="122"/>
  <c r="BM166" i="122"/>
  <c r="BN166" i="122"/>
  <c r="AQ166" i="122"/>
  <c r="AR166" i="122"/>
  <c r="AT166" i="122"/>
  <c r="AU166" i="122"/>
  <c r="AV166" i="122"/>
  <c r="AW166" i="122"/>
  <c r="AX166" i="122"/>
  <c r="AY166" i="122"/>
  <c r="AS166" i="122"/>
  <c r="AV161" i="122"/>
  <c r="BB161" i="122"/>
  <c r="AS161" i="122"/>
  <c r="AT161" i="122"/>
  <c r="AX161" i="122"/>
  <c r="AY161" i="122"/>
  <c r="AZ161" i="122"/>
  <c r="BA161" i="122"/>
  <c r="BC161" i="122"/>
  <c r="BE161" i="122"/>
  <c r="BF161" i="122"/>
  <c r="BI161" i="122"/>
  <c r="BJ161" i="122"/>
  <c r="BK161" i="122"/>
  <c r="BL161" i="122"/>
  <c r="BM161" i="122"/>
  <c r="BN161" i="122"/>
  <c r="AK161" i="122"/>
  <c r="AL161" i="122"/>
  <c r="AQ161" i="122"/>
  <c r="AR161" i="122"/>
  <c r="AU161" i="122"/>
  <c r="AW161" i="122"/>
  <c r="BD161" i="122"/>
  <c r="BG161" i="122"/>
  <c r="BH161" i="122"/>
  <c r="AM161" i="122"/>
  <c r="AN161" i="122"/>
  <c r="AO161" i="122"/>
  <c r="AP161" i="122"/>
  <c r="AV156" i="122"/>
  <c r="AZ156" i="122"/>
  <c r="BA156" i="122"/>
  <c r="BB156" i="122"/>
  <c r="BC156" i="122"/>
  <c r="BD156" i="122"/>
  <c r="BF156" i="122"/>
  <c r="BG156" i="122"/>
  <c r="BH156" i="122"/>
  <c r="AK156" i="122"/>
  <c r="BI156" i="122"/>
  <c r="AS156" i="122"/>
  <c r="AW156" i="122"/>
  <c r="AX156" i="122"/>
  <c r="AY156" i="122"/>
  <c r="BE156" i="122"/>
  <c r="BJ156" i="122"/>
  <c r="BL156" i="122"/>
  <c r="BM156" i="122"/>
  <c r="AT156" i="122"/>
  <c r="BN156" i="122"/>
  <c r="AO156" i="122"/>
  <c r="AP156" i="122"/>
  <c r="AQ156" i="122"/>
  <c r="AR156" i="122"/>
  <c r="AU156" i="122"/>
  <c r="BK156" i="122"/>
  <c r="AL156" i="122"/>
  <c r="AM156" i="122"/>
  <c r="AN156" i="122"/>
  <c r="AV151" i="122"/>
  <c r="AZ151" i="122"/>
  <c r="BA151" i="122"/>
  <c r="BB151" i="122"/>
  <c r="AL151" i="122"/>
  <c r="BF151" i="122"/>
  <c r="AM151" i="122"/>
  <c r="BG151" i="122"/>
  <c r="AN151" i="122"/>
  <c r="BH151" i="122"/>
  <c r="BC151" i="122"/>
  <c r="BD151" i="122"/>
  <c r="BI151" i="122"/>
  <c r="BJ151" i="122"/>
  <c r="BK151" i="122"/>
  <c r="BL151" i="122"/>
  <c r="AT151" i="122"/>
  <c r="BN151" i="122"/>
  <c r="AO151" i="122"/>
  <c r="AP151" i="122"/>
  <c r="AK151" i="122"/>
  <c r="AW151" i="122"/>
  <c r="AX151" i="122"/>
  <c r="AY151" i="122"/>
  <c r="BE151" i="122"/>
  <c r="BM151" i="122"/>
  <c r="AQ151" i="122"/>
  <c r="AR151" i="122"/>
  <c r="AS151" i="122"/>
  <c r="AU151" i="122"/>
  <c r="AX283" i="122"/>
  <c r="AL283" i="122"/>
  <c r="BF283" i="122"/>
  <c r="AV283" i="122"/>
  <c r="BD283" i="122"/>
  <c r="BG283" i="122"/>
  <c r="AM283" i="122"/>
  <c r="BI283" i="122"/>
  <c r="AS283" i="122"/>
  <c r="AT283" i="122"/>
  <c r="AU283" i="122"/>
  <c r="AW283" i="122"/>
  <c r="AY283" i="122"/>
  <c r="AZ283" i="122"/>
  <c r="BA283" i="122"/>
  <c r="BB283" i="122"/>
  <c r="BC283" i="122"/>
  <c r="BE283" i="122"/>
  <c r="BH283" i="122"/>
  <c r="AQ283" i="122"/>
  <c r="BN283" i="122"/>
  <c r="AO283" i="122"/>
  <c r="BJ283" i="122"/>
  <c r="AP283" i="122"/>
  <c r="BK283" i="122"/>
  <c r="BL283" i="122"/>
  <c r="BM283" i="122"/>
  <c r="AR283" i="122"/>
  <c r="AK283" i="122"/>
  <c r="AN283" i="122"/>
  <c r="AW218" i="122"/>
  <c r="AM218" i="122"/>
  <c r="BH218" i="122"/>
  <c r="AN218" i="122"/>
  <c r="BI218" i="122"/>
  <c r="AO218" i="122"/>
  <c r="BJ218" i="122"/>
  <c r="AP218" i="122"/>
  <c r="BK218" i="122"/>
  <c r="AQ218" i="122"/>
  <c r="BL218" i="122"/>
  <c r="AR218" i="122"/>
  <c r="BM218" i="122"/>
  <c r="AS218" i="122"/>
  <c r="BN218" i="122"/>
  <c r="AT218" i="122"/>
  <c r="AU218" i="122"/>
  <c r="AV218" i="122"/>
  <c r="AX218" i="122"/>
  <c r="AK218" i="122"/>
  <c r="BF218" i="122"/>
  <c r="AL218" i="122"/>
  <c r="AY218" i="122"/>
  <c r="AZ218" i="122"/>
  <c r="BA218" i="122"/>
  <c r="BB218" i="122"/>
  <c r="BC218" i="122"/>
  <c r="BD218" i="122"/>
  <c r="BE218" i="122"/>
  <c r="BG218" i="122"/>
  <c r="AN68" i="122"/>
  <c r="BH68" i="122"/>
  <c r="AV68" i="122"/>
  <c r="AU68" i="122"/>
  <c r="BC68" i="122"/>
  <c r="BE68" i="122"/>
  <c r="AK68" i="122"/>
  <c r="BG68" i="122"/>
  <c r="AM68" i="122"/>
  <c r="BN68" i="122"/>
  <c r="AO68" i="122"/>
  <c r="AP68" i="122"/>
  <c r="AQ68" i="122"/>
  <c r="AR68" i="122"/>
  <c r="AS68" i="122"/>
  <c r="AT68" i="122"/>
  <c r="AW68" i="122"/>
  <c r="AX68" i="122"/>
  <c r="AY68" i="122"/>
  <c r="AZ68" i="122"/>
  <c r="BL68" i="122"/>
  <c r="BA68" i="122"/>
  <c r="BB68" i="122"/>
  <c r="BD68" i="122"/>
  <c r="BF68" i="122"/>
  <c r="BI68" i="122"/>
  <c r="BJ68" i="122"/>
  <c r="BK68" i="122"/>
  <c r="BM68" i="122"/>
  <c r="AL68" i="122"/>
  <c r="AM288" i="122"/>
  <c r="BG288" i="122"/>
  <c r="AP288" i="122"/>
  <c r="BK288" i="122"/>
  <c r="AQ288" i="122"/>
  <c r="BL288" i="122"/>
  <c r="AR288" i="122"/>
  <c r="BM288" i="122"/>
  <c r="AS288" i="122"/>
  <c r="BN288" i="122"/>
  <c r="AT288" i="122"/>
  <c r="AU288" i="122"/>
  <c r="AV288" i="122"/>
  <c r="AW288" i="122"/>
  <c r="AX288" i="122"/>
  <c r="AY288" i="122"/>
  <c r="AZ288" i="122"/>
  <c r="AN288" i="122"/>
  <c r="BI288" i="122"/>
  <c r="AK288" i="122"/>
  <c r="BF288" i="122"/>
  <c r="BH288" i="122"/>
  <c r="AL288" i="122"/>
  <c r="BE288" i="122"/>
  <c r="BJ288" i="122"/>
  <c r="AO288" i="122"/>
  <c r="BA288" i="122"/>
  <c r="BB288" i="122"/>
  <c r="BC288" i="122"/>
  <c r="BD288" i="122"/>
  <c r="AO178" i="122"/>
  <c r="BI178" i="122"/>
  <c r="AP178" i="122"/>
  <c r="BJ178" i="122"/>
  <c r="AR178" i="122"/>
  <c r="BL178" i="122"/>
  <c r="AS178" i="122"/>
  <c r="BM178" i="122"/>
  <c r="AT178" i="122"/>
  <c r="BN178" i="122"/>
  <c r="AU178" i="122"/>
  <c r="AV178" i="122"/>
  <c r="AW178" i="122"/>
  <c r="AX178" i="122"/>
  <c r="AY178" i="122"/>
  <c r="BK178" i="122"/>
  <c r="AK178" i="122"/>
  <c r="AL178" i="122"/>
  <c r="AM178" i="122"/>
  <c r="AN178" i="122"/>
  <c r="AQ178" i="122"/>
  <c r="AZ178" i="122"/>
  <c r="BH178" i="122"/>
  <c r="BA178" i="122"/>
  <c r="BC178" i="122"/>
  <c r="BB178" i="122"/>
  <c r="BD178" i="122"/>
  <c r="BF178" i="122"/>
  <c r="BG178" i="122"/>
  <c r="BE178" i="122"/>
  <c r="AU58" i="122"/>
  <c r="BA58" i="122"/>
  <c r="BC58" i="122"/>
  <c r="AY58" i="122"/>
  <c r="AZ58" i="122"/>
  <c r="BB58" i="122"/>
  <c r="BE58" i="122"/>
  <c r="BF58" i="122"/>
  <c r="BG58" i="122"/>
  <c r="AK58" i="122"/>
  <c r="BH58" i="122"/>
  <c r="AL58" i="122"/>
  <c r="BI58" i="122"/>
  <c r="AP58" i="122"/>
  <c r="BM58" i="122"/>
  <c r="BL58" i="122"/>
  <c r="BN58" i="122"/>
  <c r="AM58" i="122"/>
  <c r="AN58" i="122"/>
  <c r="AO58" i="122"/>
  <c r="AQ58" i="122"/>
  <c r="AS58" i="122"/>
  <c r="AR58" i="122"/>
  <c r="AT58" i="122"/>
  <c r="AV58" i="122"/>
  <c r="AW58" i="122"/>
  <c r="AX58" i="122"/>
  <c r="BD58" i="122"/>
  <c r="BJ58" i="122"/>
  <c r="BK58" i="122"/>
  <c r="AX278" i="122"/>
  <c r="BD278" i="122"/>
  <c r="AL278" i="122"/>
  <c r="BF278" i="122"/>
  <c r="BH278" i="122"/>
  <c r="AK278" i="122"/>
  <c r="BI278" i="122"/>
  <c r="AN278" i="122"/>
  <c r="BK278" i="122"/>
  <c r="AO278" i="122"/>
  <c r="BL278" i="122"/>
  <c r="AP278" i="122"/>
  <c r="BM278" i="122"/>
  <c r="AQ278" i="122"/>
  <c r="BN278" i="122"/>
  <c r="AR278" i="122"/>
  <c r="AS278" i="122"/>
  <c r="AT278" i="122"/>
  <c r="AU278" i="122"/>
  <c r="AW278" i="122"/>
  <c r="BA278" i="122"/>
  <c r="BB278" i="122"/>
  <c r="BC278" i="122"/>
  <c r="BE278" i="122"/>
  <c r="BG278" i="122"/>
  <c r="BJ278" i="122"/>
  <c r="AY278" i="122"/>
  <c r="AM278" i="122"/>
  <c r="AV278" i="122"/>
  <c r="AZ278" i="122"/>
  <c r="AZ168" i="122"/>
  <c r="AR168" i="122"/>
  <c r="BM168" i="122"/>
  <c r="AW168" i="122"/>
  <c r="BA168" i="122"/>
  <c r="BB168" i="122"/>
  <c r="BC168" i="122"/>
  <c r="BD168" i="122"/>
  <c r="BE168" i="122"/>
  <c r="BF168" i="122"/>
  <c r="BG168" i="122"/>
  <c r="BH168" i="122"/>
  <c r="AM168" i="122"/>
  <c r="BK168" i="122"/>
  <c r="AO168" i="122"/>
  <c r="BN168" i="122"/>
  <c r="AS168" i="122"/>
  <c r="AT168" i="122"/>
  <c r="AV168" i="122"/>
  <c r="AX168" i="122"/>
  <c r="AY168" i="122"/>
  <c r="BI168" i="122"/>
  <c r="BJ168" i="122"/>
  <c r="BL168" i="122"/>
  <c r="AK168" i="122"/>
  <c r="AL168" i="122"/>
  <c r="AN168" i="122"/>
  <c r="AP168" i="122"/>
  <c r="AQ168" i="122"/>
  <c r="AU168" i="122"/>
  <c r="AV153" i="122"/>
  <c r="AZ153" i="122"/>
  <c r="BA153" i="122"/>
  <c r="BB153" i="122"/>
  <c r="AL153" i="122"/>
  <c r="AM153" i="122"/>
  <c r="BK153" i="122"/>
  <c r="AN153" i="122"/>
  <c r="BL153" i="122"/>
  <c r="AP153" i="122"/>
  <c r="BN153" i="122"/>
  <c r="AQ153" i="122"/>
  <c r="AR153" i="122"/>
  <c r="AS153" i="122"/>
  <c r="BF153" i="122"/>
  <c r="AT153" i="122"/>
  <c r="AU153" i="122"/>
  <c r="AW153" i="122"/>
  <c r="AX153" i="122"/>
  <c r="AY153" i="122"/>
  <c r="BD153" i="122"/>
  <c r="BE153" i="122"/>
  <c r="AK153" i="122"/>
  <c r="BG153" i="122"/>
  <c r="BH153" i="122"/>
  <c r="BI153" i="122"/>
  <c r="BJ153" i="122"/>
  <c r="BM153" i="122"/>
  <c r="AO153" i="122"/>
  <c r="BC153" i="122"/>
  <c r="AV8" i="122"/>
  <c r="AZ8" i="122"/>
  <c r="BA8" i="122"/>
  <c r="BB8" i="122"/>
  <c r="AL8" i="122"/>
  <c r="BF8" i="122"/>
  <c r="AR8" i="122"/>
  <c r="AS8" i="122"/>
  <c r="AU8" i="122"/>
  <c r="AW8" i="122"/>
  <c r="AX8" i="122"/>
  <c r="AY8" i="122"/>
  <c r="AM8" i="122"/>
  <c r="BL8" i="122"/>
  <c r="BG8" i="122"/>
  <c r="BJ8" i="122"/>
  <c r="BK8" i="122"/>
  <c r="BM8" i="122"/>
  <c r="BN8" i="122"/>
  <c r="AN8" i="122"/>
  <c r="AQ8" i="122"/>
  <c r="AT8" i="122"/>
  <c r="BC8" i="122"/>
  <c r="BD8" i="122"/>
  <c r="BE8" i="122"/>
  <c r="BH8" i="122"/>
  <c r="BI8" i="122"/>
  <c r="AK8" i="122"/>
  <c r="AO8" i="122"/>
  <c r="AP8" i="122"/>
  <c r="AN213" i="122"/>
  <c r="BH213" i="122"/>
  <c r="AV213" i="122"/>
  <c r="BB213" i="122"/>
  <c r="AM213" i="122"/>
  <c r="BJ213" i="122"/>
  <c r="AP213" i="122"/>
  <c r="BL213" i="122"/>
  <c r="AR213" i="122"/>
  <c r="BN213" i="122"/>
  <c r="BI213" i="122"/>
  <c r="BK213" i="122"/>
  <c r="BM213" i="122"/>
  <c r="AK213" i="122"/>
  <c r="AL213" i="122"/>
  <c r="AO213" i="122"/>
  <c r="AQ213" i="122"/>
  <c r="AS213" i="122"/>
  <c r="AT213" i="122"/>
  <c r="AU213" i="122"/>
  <c r="AW213" i="122"/>
  <c r="BF213" i="122"/>
  <c r="BC213" i="122"/>
  <c r="BA213" i="122"/>
  <c r="BD213" i="122"/>
  <c r="BE213" i="122"/>
  <c r="BG213" i="122"/>
  <c r="AZ213" i="122"/>
  <c r="AX213" i="122"/>
  <c r="AY213" i="122"/>
  <c r="AM188" i="122"/>
  <c r="BG188" i="122"/>
  <c r="AN188" i="122"/>
  <c r="BH188" i="122"/>
  <c r="AP188" i="122"/>
  <c r="BJ188" i="122"/>
  <c r="AQ188" i="122"/>
  <c r="BK188" i="122"/>
  <c r="AR188" i="122"/>
  <c r="BL188" i="122"/>
  <c r="AS188" i="122"/>
  <c r="BM188" i="122"/>
  <c r="AT188" i="122"/>
  <c r="BN188" i="122"/>
  <c r="AU188" i="122"/>
  <c r="AV188" i="122"/>
  <c r="AX188" i="122"/>
  <c r="AK188" i="122"/>
  <c r="AL188" i="122"/>
  <c r="AO188" i="122"/>
  <c r="AW188" i="122"/>
  <c r="AY188" i="122"/>
  <c r="AZ188" i="122"/>
  <c r="BA188" i="122"/>
  <c r="BB188" i="122"/>
  <c r="BC188" i="122"/>
  <c r="BD188" i="122"/>
  <c r="BE188" i="122"/>
  <c r="BF188" i="122"/>
  <c r="BI188" i="122"/>
  <c r="BH147" i="122"/>
  <c r="AO38" i="122"/>
  <c r="BI38" i="122"/>
  <c r="AU38" i="122"/>
  <c r="BC38" i="122"/>
  <c r="BD38" i="122"/>
  <c r="BF38" i="122"/>
  <c r="AK38" i="122"/>
  <c r="BG38" i="122"/>
  <c r="AL38" i="122"/>
  <c r="BH38" i="122"/>
  <c r="AM38" i="122"/>
  <c r="BJ38" i="122"/>
  <c r="AN38" i="122"/>
  <c r="BK38" i="122"/>
  <c r="AP38" i="122"/>
  <c r="BL38" i="122"/>
  <c r="AQ38" i="122"/>
  <c r="BM38" i="122"/>
  <c r="AR38" i="122"/>
  <c r="BN38" i="122"/>
  <c r="AS38" i="122"/>
  <c r="AT38" i="122"/>
  <c r="AV38" i="122"/>
  <c r="AW38" i="122"/>
  <c r="AY38" i="122"/>
  <c r="AX38" i="122"/>
  <c r="AZ38" i="122"/>
  <c r="BA38" i="122"/>
  <c r="BB38" i="122"/>
  <c r="BE38" i="122"/>
  <c r="AN208" i="122"/>
  <c r="BH208" i="122"/>
  <c r="AT208" i="122"/>
  <c r="BN208" i="122"/>
  <c r="AV208" i="122"/>
  <c r="AY208" i="122"/>
  <c r="AZ208" i="122"/>
  <c r="BB208" i="122"/>
  <c r="BC208" i="122"/>
  <c r="BD208" i="122"/>
  <c r="BE208" i="122"/>
  <c r="BF208" i="122"/>
  <c r="BG208" i="122"/>
  <c r="AK208" i="122"/>
  <c r="BI208" i="122"/>
  <c r="AL208" i="122"/>
  <c r="BJ208" i="122"/>
  <c r="AO208" i="122"/>
  <c r="BL208" i="122"/>
  <c r="BK208" i="122"/>
  <c r="BM208" i="122"/>
  <c r="AM208" i="122"/>
  <c r="AX208" i="122"/>
  <c r="AS134" i="122"/>
  <c r="AK267" i="122"/>
  <c r="BE267" i="122"/>
  <c r="AL267" i="122"/>
  <c r="BF267" i="122"/>
  <c r="AO267" i="122"/>
  <c r="BI267" i="122"/>
  <c r="AP267" i="122"/>
  <c r="BJ267" i="122"/>
  <c r="AQ267" i="122"/>
  <c r="BK267" i="122"/>
  <c r="AR267" i="122"/>
  <c r="BL267" i="122"/>
  <c r="AS267" i="122"/>
  <c r="BM267" i="122"/>
  <c r="AT267" i="122"/>
  <c r="BN267" i="122"/>
  <c r="AU267" i="122"/>
  <c r="AW267" i="122"/>
  <c r="AX267" i="122"/>
  <c r="AY267" i="122"/>
  <c r="AZ267" i="122"/>
  <c r="BA267" i="122"/>
  <c r="BB267" i="122"/>
  <c r="BC267" i="122"/>
  <c r="BD267" i="122"/>
  <c r="BG267" i="122"/>
  <c r="AM267" i="122"/>
  <c r="AN267" i="122"/>
  <c r="AV267" i="122"/>
  <c r="BH267" i="122"/>
  <c r="BB147" i="122"/>
  <c r="BE113" i="122"/>
  <c r="AN46" i="122"/>
  <c r="BH46" i="122"/>
  <c r="AS46" i="122"/>
  <c r="BM46" i="122"/>
  <c r="AV46" i="122"/>
  <c r="AW46" i="122"/>
  <c r="AX46" i="122"/>
  <c r="AY46" i="122"/>
  <c r="AZ46" i="122"/>
  <c r="BA46" i="122"/>
  <c r="BB46" i="122"/>
  <c r="BC46" i="122"/>
  <c r="BD46" i="122"/>
  <c r="BE46" i="122"/>
  <c r="BF46" i="122"/>
  <c r="AP46" i="122"/>
  <c r="AQ46" i="122"/>
  <c r="AR46" i="122"/>
  <c r="AT46" i="122"/>
  <c r="AU46" i="122"/>
  <c r="BG46" i="122"/>
  <c r="BI46" i="122"/>
  <c r="BJ46" i="122"/>
  <c r="BK46" i="122"/>
  <c r="BN46" i="122"/>
  <c r="AK46" i="122"/>
  <c r="AM46" i="122"/>
  <c r="AO46" i="122"/>
  <c r="BL46" i="122"/>
  <c r="AV16" i="122"/>
  <c r="BB16" i="122"/>
  <c r="AM16" i="122"/>
  <c r="BI16" i="122"/>
  <c r="AN16" i="122"/>
  <c r="BJ16" i="122"/>
  <c r="AQ16" i="122"/>
  <c r="BM16" i="122"/>
  <c r="AR16" i="122"/>
  <c r="BN16" i="122"/>
  <c r="BC16" i="122"/>
  <c r="BF16" i="122"/>
  <c r="BG16" i="122"/>
  <c r="BH16" i="122"/>
  <c r="BK16" i="122"/>
  <c r="BL16" i="122"/>
  <c r="AL16" i="122"/>
  <c r="AO16" i="122"/>
  <c r="AP16" i="122"/>
  <c r="AS16" i="122"/>
  <c r="AT16" i="122"/>
  <c r="AU16" i="122"/>
  <c r="AW16" i="122"/>
  <c r="AX16" i="122"/>
  <c r="AY16" i="122"/>
  <c r="AZ16" i="122"/>
  <c r="AK16" i="122"/>
  <c r="BA16" i="122"/>
  <c r="BD16" i="122"/>
  <c r="BE16" i="122"/>
  <c r="AP135" i="122"/>
  <c r="AX133" i="122"/>
  <c r="AY133" i="122"/>
  <c r="AZ133" i="122"/>
  <c r="BB133" i="122"/>
  <c r="BC133" i="122"/>
  <c r="BD133" i="122"/>
  <c r="AK133" i="122"/>
  <c r="BE133" i="122"/>
  <c r="AL133" i="122"/>
  <c r="BF133" i="122"/>
  <c r="AP133" i="122"/>
  <c r="BJ133" i="122"/>
  <c r="AV133" i="122"/>
  <c r="AW133" i="122"/>
  <c r="BG133" i="122"/>
  <c r="BH133" i="122"/>
  <c r="BI133" i="122"/>
  <c r="BK133" i="122"/>
  <c r="BL133" i="122"/>
  <c r="BM133" i="122"/>
  <c r="BN133" i="122"/>
  <c r="AM133" i="122"/>
  <c r="AT133" i="122"/>
  <c r="AU133" i="122"/>
  <c r="BA133" i="122"/>
  <c r="AR133" i="122"/>
  <c r="AU198" i="122"/>
  <c r="BA198" i="122"/>
  <c r="BC198" i="122"/>
  <c r="AX198" i="122"/>
  <c r="AY198" i="122"/>
  <c r="AZ198" i="122"/>
  <c r="BB198" i="122"/>
  <c r="BD198" i="122"/>
  <c r="BE198" i="122"/>
  <c r="BF198" i="122"/>
  <c r="BG198" i="122"/>
  <c r="AK198" i="122"/>
  <c r="BH198" i="122"/>
  <c r="AM198" i="122"/>
  <c r="BJ198" i="122"/>
  <c r="AO198" i="122"/>
  <c r="BL198" i="122"/>
  <c r="AL198" i="122"/>
  <c r="AN198" i="122"/>
  <c r="AP198" i="122"/>
  <c r="AQ198" i="122"/>
  <c r="AR198" i="122"/>
  <c r="AS198" i="122"/>
  <c r="AT198" i="122"/>
  <c r="AV198" i="122"/>
  <c r="BI198" i="122"/>
  <c r="AW198" i="122"/>
  <c r="BK198" i="122"/>
  <c r="BM198" i="122"/>
  <c r="BN198" i="122"/>
  <c r="BG52" i="122"/>
  <c r="AW215" i="122"/>
  <c r="BD215" i="122"/>
  <c r="BA215" i="122"/>
  <c r="BB215" i="122"/>
  <c r="BC215" i="122"/>
  <c r="BE215" i="122"/>
  <c r="BF215" i="122"/>
  <c r="AK215" i="122"/>
  <c r="BG215" i="122"/>
  <c r="AL215" i="122"/>
  <c r="BH215" i="122"/>
  <c r="AM215" i="122"/>
  <c r="BI215" i="122"/>
  <c r="AN215" i="122"/>
  <c r="BJ215" i="122"/>
  <c r="AO215" i="122"/>
  <c r="BK215" i="122"/>
  <c r="AP215" i="122"/>
  <c r="BL215" i="122"/>
  <c r="AY215" i="122"/>
  <c r="AN210" i="122"/>
  <c r="BH210" i="122"/>
  <c r="AT210" i="122"/>
  <c r="BN210" i="122"/>
  <c r="AV210" i="122"/>
  <c r="AS210" i="122"/>
  <c r="AU210" i="122"/>
  <c r="AX210" i="122"/>
  <c r="AY210" i="122"/>
  <c r="AZ210" i="122"/>
  <c r="BA210" i="122"/>
  <c r="BB210" i="122"/>
  <c r="BC210" i="122"/>
  <c r="BD210" i="122"/>
  <c r="BE210" i="122"/>
  <c r="BG210" i="122"/>
  <c r="AK210" i="122"/>
  <c r="AL210" i="122"/>
  <c r="AM210" i="122"/>
  <c r="AO210" i="122"/>
  <c r="AP210" i="122"/>
  <c r="AQ210" i="122"/>
  <c r="AR210" i="122"/>
  <c r="AW210" i="122"/>
  <c r="BF210" i="122"/>
  <c r="AN205" i="122"/>
  <c r="BH205" i="122"/>
  <c r="AO205" i="122"/>
  <c r="BI205" i="122"/>
  <c r="AP205" i="122"/>
  <c r="BJ205" i="122"/>
  <c r="AR205" i="122"/>
  <c r="BL205" i="122"/>
  <c r="AS205" i="122"/>
  <c r="BM205" i="122"/>
  <c r="AT205" i="122"/>
  <c r="BN205" i="122"/>
  <c r="AU205" i="122"/>
  <c r="AV205" i="122"/>
  <c r="AZ205" i="122"/>
  <c r="AQ205" i="122"/>
  <c r="AW205" i="122"/>
  <c r="AY205" i="122"/>
  <c r="BA205" i="122"/>
  <c r="BB205" i="122"/>
  <c r="BC205" i="122"/>
  <c r="BD205" i="122"/>
  <c r="BE205" i="122"/>
  <c r="BF205" i="122"/>
  <c r="BG205" i="122"/>
  <c r="AL205" i="122"/>
  <c r="AK205" i="122"/>
  <c r="AU200" i="122"/>
  <c r="BA200" i="122"/>
  <c r="BC200" i="122"/>
  <c r="AS200" i="122"/>
  <c r="AT200" i="122"/>
  <c r="AV200" i="122"/>
  <c r="AW200" i="122"/>
  <c r="AX200" i="122"/>
  <c r="AY200" i="122"/>
  <c r="AZ200" i="122"/>
  <c r="BB200" i="122"/>
  <c r="BD200" i="122"/>
  <c r="AK200" i="122"/>
  <c r="BH200" i="122"/>
  <c r="AL200" i="122"/>
  <c r="AM200" i="122"/>
  <c r="AO200" i="122"/>
  <c r="AP200" i="122"/>
  <c r="AQ200" i="122"/>
  <c r="AR200" i="122"/>
  <c r="BE200" i="122"/>
  <c r="BF200" i="122"/>
  <c r="BG200" i="122"/>
  <c r="BI200" i="122"/>
  <c r="BK200" i="122"/>
  <c r="AN200" i="122"/>
  <c r="BJ200" i="122"/>
  <c r="BL200" i="122"/>
  <c r="BM200" i="122"/>
  <c r="AU195" i="122"/>
  <c r="AV195" i="122"/>
  <c r="AW195" i="122"/>
  <c r="AX195" i="122"/>
  <c r="AY195" i="122"/>
  <c r="AZ195" i="122"/>
  <c r="BA195" i="122"/>
  <c r="BB195" i="122"/>
  <c r="BC195" i="122"/>
  <c r="BD195" i="122"/>
  <c r="AK195" i="122"/>
  <c r="BE195" i="122"/>
  <c r="BG195" i="122"/>
  <c r="BH195" i="122"/>
  <c r="BI195" i="122"/>
  <c r="BJ195" i="122"/>
  <c r="BK195" i="122"/>
  <c r="BL195" i="122"/>
  <c r="BM195" i="122"/>
  <c r="BN195" i="122"/>
  <c r="AL195" i="122"/>
  <c r="AN195" i="122"/>
  <c r="AM195" i="122"/>
  <c r="AO195" i="122"/>
  <c r="AP195" i="122"/>
  <c r="AQ195" i="122"/>
  <c r="AR195" i="122"/>
  <c r="AS195" i="122"/>
  <c r="BF195" i="122"/>
  <c r="AT195" i="122"/>
  <c r="AN190" i="122"/>
  <c r="BH190" i="122"/>
  <c r="AS190" i="122"/>
  <c r="BM190" i="122"/>
  <c r="AU190" i="122"/>
  <c r="AL190" i="122"/>
  <c r="BJ190" i="122"/>
  <c r="AM190" i="122"/>
  <c r="BK190" i="122"/>
  <c r="AO190" i="122"/>
  <c r="BL190" i="122"/>
  <c r="AP190" i="122"/>
  <c r="BN190" i="122"/>
  <c r="AQ190" i="122"/>
  <c r="AR190" i="122"/>
  <c r="AT190" i="122"/>
  <c r="AV190" i="122"/>
  <c r="AW190" i="122"/>
  <c r="AX190" i="122"/>
  <c r="AY190" i="122"/>
  <c r="BB190" i="122"/>
  <c r="BC190" i="122"/>
  <c r="BD190" i="122"/>
  <c r="BE190" i="122"/>
  <c r="BF190" i="122"/>
  <c r="BG190" i="122"/>
  <c r="BI190" i="122"/>
  <c r="AK190" i="122"/>
  <c r="AZ190" i="122"/>
  <c r="BA190" i="122"/>
  <c r="AO185" i="122"/>
  <c r="BI185" i="122"/>
  <c r="AX185" i="122"/>
  <c r="AY185" i="122"/>
  <c r="BA185" i="122"/>
  <c r="BB185" i="122"/>
  <c r="BC185" i="122"/>
  <c r="BD185" i="122"/>
  <c r="BE185" i="122"/>
  <c r="AK185" i="122"/>
  <c r="BF185" i="122"/>
  <c r="AL185" i="122"/>
  <c r="BG185" i="122"/>
  <c r="AM185" i="122"/>
  <c r="BH185" i="122"/>
  <c r="AN185" i="122"/>
  <c r="BJ185" i="122"/>
  <c r="AV185" i="122"/>
  <c r="AW185" i="122"/>
  <c r="AZ185" i="122"/>
  <c r="BK185" i="122"/>
  <c r="BL185" i="122"/>
  <c r="BM185" i="122"/>
  <c r="BN185" i="122"/>
  <c r="AP185" i="122"/>
  <c r="AQ185" i="122"/>
  <c r="AR185" i="122"/>
  <c r="AT185" i="122"/>
  <c r="AS185" i="122"/>
  <c r="AU185" i="122"/>
  <c r="AO180" i="122"/>
  <c r="BI180" i="122"/>
  <c r="AP180" i="122"/>
  <c r="BJ180" i="122"/>
  <c r="AR180" i="122"/>
  <c r="BL180" i="122"/>
  <c r="AS180" i="122"/>
  <c r="BM180" i="122"/>
  <c r="AT180" i="122"/>
  <c r="BN180" i="122"/>
  <c r="AU180" i="122"/>
  <c r="AV180" i="122"/>
  <c r="AW180" i="122"/>
  <c r="AX180" i="122"/>
  <c r="AY180" i="122"/>
  <c r="BK180" i="122"/>
  <c r="AK180" i="122"/>
  <c r="AL180" i="122"/>
  <c r="AM180" i="122"/>
  <c r="AN180" i="122"/>
  <c r="AQ180" i="122"/>
  <c r="AZ180" i="122"/>
  <c r="BA180" i="122"/>
  <c r="BB180" i="122"/>
  <c r="BC180" i="122"/>
  <c r="BD180" i="122"/>
  <c r="BF180" i="122"/>
  <c r="BG180" i="122"/>
  <c r="BH180" i="122"/>
  <c r="BE180" i="122"/>
  <c r="AS175" i="122"/>
  <c r="BM175" i="122"/>
  <c r="AK175" i="122"/>
  <c r="BF175" i="122"/>
  <c r="AM175" i="122"/>
  <c r="BH175" i="122"/>
  <c r="AW175" i="122"/>
  <c r="AX175" i="122"/>
  <c r="AZ175" i="122"/>
  <c r="BA175" i="122"/>
  <c r="BB175" i="122"/>
  <c r="BC175" i="122"/>
  <c r="BD175" i="122"/>
  <c r="BE175" i="122"/>
  <c r="BG175" i="122"/>
  <c r="BI175" i="122"/>
  <c r="AL175" i="122"/>
  <c r="AO175" i="122"/>
  <c r="AP175" i="122"/>
  <c r="AQ175" i="122"/>
  <c r="AR175" i="122"/>
  <c r="AT175" i="122"/>
  <c r="AU175" i="122"/>
  <c r="AV175" i="122"/>
  <c r="AY175" i="122"/>
  <c r="BJ175" i="122"/>
  <c r="AN175" i="122"/>
  <c r="BK175" i="122"/>
  <c r="BL175" i="122"/>
  <c r="BN175" i="122"/>
  <c r="AS170" i="122"/>
  <c r="BM170" i="122"/>
  <c r="AX170" i="122"/>
  <c r="BA170" i="122"/>
  <c r="AV170" i="122"/>
  <c r="AW170" i="122"/>
  <c r="AY170" i="122"/>
  <c r="AZ170" i="122"/>
  <c r="BB170" i="122"/>
  <c r="BC170" i="122"/>
  <c r="BD170" i="122"/>
  <c r="BG170" i="122"/>
  <c r="AL170" i="122"/>
  <c r="BI170" i="122"/>
  <c r="BK170" i="122"/>
  <c r="BL170" i="122"/>
  <c r="AK170" i="122"/>
  <c r="AM170" i="122"/>
  <c r="AN170" i="122"/>
  <c r="AO170" i="122"/>
  <c r="AP170" i="122"/>
  <c r="AR170" i="122"/>
  <c r="AT170" i="122"/>
  <c r="AU170" i="122"/>
  <c r="BE170" i="122"/>
  <c r="BF170" i="122"/>
  <c r="BH170" i="122"/>
  <c r="BJ170" i="122"/>
  <c r="BN170" i="122"/>
  <c r="AQ170" i="122"/>
  <c r="AZ165" i="122"/>
  <c r="AT165" i="122"/>
  <c r="AW165" i="122"/>
  <c r="AX165" i="122"/>
  <c r="AY165" i="122"/>
  <c r="BA165" i="122"/>
  <c r="BB165" i="122"/>
  <c r="BC165" i="122"/>
  <c r="BD165" i="122"/>
  <c r="BE165" i="122"/>
  <c r="BJ165" i="122"/>
  <c r="BK165" i="122"/>
  <c r="BL165" i="122"/>
  <c r="BM165" i="122"/>
  <c r="BN165" i="122"/>
  <c r="AK165" i="122"/>
  <c r="AL165" i="122"/>
  <c r="AO165" i="122"/>
  <c r="AQ165" i="122"/>
  <c r="AM165" i="122"/>
  <c r="AN165" i="122"/>
  <c r="AP165" i="122"/>
  <c r="AR165" i="122"/>
  <c r="AS165" i="122"/>
  <c r="AU165" i="122"/>
  <c r="AV165" i="122"/>
  <c r="BF165" i="122"/>
  <c r="BG165" i="122"/>
  <c r="BH165" i="122"/>
  <c r="BI165" i="122"/>
  <c r="AV160" i="122"/>
  <c r="AZ160" i="122"/>
  <c r="BA160" i="122"/>
  <c r="BB160" i="122"/>
  <c r="AU160" i="122"/>
  <c r="AW160" i="122"/>
  <c r="BC160" i="122"/>
  <c r="BD160" i="122"/>
  <c r="BE160" i="122"/>
  <c r="BH160" i="122"/>
  <c r="BI160" i="122"/>
  <c r="BJ160" i="122"/>
  <c r="BK160" i="122"/>
  <c r="BL160" i="122"/>
  <c r="AL160" i="122"/>
  <c r="BN160" i="122"/>
  <c r="AM160" i="122"/>
  <c r="AO160" i="122"/>
  <c r="AR160" i="122"/>
  <c r="AS160" i="122"/>
  <c r="AT160" i="122"/>
  <c r="AX160" i="122"/>
  <c r="AY160" i="122"/>
  <c r="BF160" i="122"/>
  <c r="BG160" i="122"/>
  <c r="BM160" i="122"/>
  <c r="AN160" i="122"/>
  <c r="AK160" i="122"/>
  <c r="AP160" i="122"/>
  <c r="AQ160" i="122"/>
  <c r="AV155" i="122"/>
  <c r="AZ155" i="122"/>
  <c r="BA155" i="122"/>
  <c r="BB155" i="122"/>
  <c r="AU155" i="122"/>
  <c r="AW155" i="122"/>
  <c r="AY155" i="122"/>
  <c r="BC155" i="122"/>
  <c r="BD155" i="122"/>
  <c r="BE155" i="122"/>
  <c r="BI155" i="122"/>
  <c r="BL155" i="122"/>
  <c r="BM155" i="122"/>
  <c r="BN155" i="122"/>
  <c r="AK155" i="122"/>
  <c r="AL155" i="122"/>
  <c r="AN155" i="122"/>
  <c r="AO155" i="122"/>
  <c r="AX155" i="122"/>
  <c r="BH155" i="122"/>
  <c r="BJ155" i="122"/>
  <c r="BK155" i="122"/>
  <c r="AS155" i="122"/>
  <c r="AT155" i="122"/>
  <c r="BF155" i="122"/>
  <c r="BG155" i="122"/>
  <c r="AM155" i="122"/>
  <c r="AP155" i="122"/>
  <c r="AQ155" i="122"/>
  <c r="AR155" i="122"/>
  <c r="AV150" i="122"/>
  <c r="AZ150" i="122"/>
  <c r="BA150" i="122"/>
  <c r="BB150" i="122"/>
  <c r="AL150" i="122"/>
  <c r="BF150" i="122"/>
  <c r="AM150" i="122"/>
  <c r="BG150" i="122"/>
  <c r="AN150" i="122"/>
  <c r="BH150" i="122"/>
  <c r="AX150" i="122"/>
  <c r="AY150" i="122"/>
  <c r="BD150" i="122"/>
  <c r="BE150" i="122"/>
  <c r="BI150" i="122"/>
  <c r="BJ150" i="122"/>
  <c r="AR150" i="122"/>
  <c r="AP150" i="122"/>
  <c r="AT150" i="122"/>
  <c r="AU150" i="122"/>
  <c r="AW150" i="122"/>
  <c r="BC150" i="122"/>
  <c r="BK150" i="122"/>
  <c r="BM150" i="122"/>
  <c r="BN150" i="122"/>
  <c r="AO150" i="122"/>
  <c r="AQ150" i="122"/>
  <c r="AS150" i="122"/>
  <c r="BL150" i="122"/>
  <c r="AK150" i="122"/>
  <c r="AM90" i="122"/>
  <c r="BG90" i="122"/>
  <c r="AU90" i="122"/>
  <c r="AY90" i="122"/>
  <c r="BA90" i="122"/>
  <c r="BB90" i="122"/>
  <c r="BD90" i="122"/>
  <c r="BI90" i="122"/>
  <c r="AK90" i="122"/>
  <c r="BL90" i="122"/>
  <c r="AL90" i="122"/>
  <c r="BM90" i="122"/>
  <c r="AN90" i="122"/>
  <c r="BN90" i="122"/>
  <c r="AO90" i="122"/>
  <c r="AP90" i="122"/>
  <c r="AQ90" i="122"/>
  <c r="AR90" i="122"/>
  <c r="AS90" i="122"/>
  <c r="BJ90" i="122"/>
  <c r="BK90" i="122"/>
  <c r="AT90" i="122"/>
  <c r="AV90" i="122"/>
  <c r="AW90" i="122"/>
  <c r="AZ90" i="122"/>
  <c r="BC90" i="122"/>
  <c r="BE90" i="122"/>
  <c r="BF90" i="122"/>
  <c r="BH90" i="122"/>
  <c r="AX90" i="122"/>
  <c r="AW115" i="122"/>
  <c r="AX115" i="122"/>
  <c r="AZ115" i="122"/>
  <c r="BA115" i="122"/>
  <c r="BB115" i="122"/>
  <c r="BC115" i="122"/>
  <c r="BD115" i="122"/>
  <c r="AK115" i="122"/>
  <c r="BE115" i="122"/>
  <c r="AL115" i="122"/>
  <c r="BF115" i="122"/>
  <c r="AN115" i="122"/>
  <c r="BH115" i="122"/>
  <c r="AU115" i="122"/>
  <c r="AV115" i="122"/>
  <c r="AY115" i="122"/>
  <c r="BG115" i="122"/>
  <c r="BI115" i="122"/>
  <c r="BJ115" i="122"/>
  <c r="BK115" i="122"/>
  <c r="BL115" i="122"/>
  <c r="BM115" i="122"/>
  <c r="BN115" i="122"/>
  <c r="AM115" i="122"/>
  <c r="AO115" i="122"/>
  <c r="AP115" i="122"/>
  <c r="AQ115" i="122"/>
  <c r="AR115" i="122"/>
  <c r="AS115" i="122"/>
  <c r="AT115" i="122"/>
  <c r="AX140" i="122"/>
  <c r="AL140" i="122"/>
  <c r="BF140" i="122"/>
  <c r="BC140" i="122"/>
  <c r="AO140" i="122"/>
  <c r="BK140" i="122"/>
  <c r="AQ140" i="122"/>
  <c r="BM140" i="122"/>
  <c r="AS140" i="122"/>
  <c r="AN140" i="122"/>
  <c r="AP140" i="122"/>
  <c r="AR140" i="122"/>
  <c r="AT140" i="122"/>
  <c r="AU140" i="122"/>
  <c r="AV140" i="122"/>
  <c r="AW140" i="122"/>
  <c r="AY140" i="122"/>
  <c r="AZ140" i="122"/>
  <c r="BA140" i="122"/>
  <c r="BB140" i="122"/>
  <c r="AK140" i="122"/>
  <c r="BN140" i="122"/>
  <c r="AN147" i="122"/>
  <c r="BB74" i="122"/>
  <c r="AP289" i="122"/>
  <c r="AR145" i="122"/>
  <c r="BE144" i="122"/>
  <c r="AK71" i="122"/>
  <c r="AT215" i="122"/>
  <c r="AS70" i="122"/>
  <c r="AR214" i="122"/>
  <c r="BH141" i="122"/>
  <c r="BD284" i="122"/>
  <c r="AM140" i="122"/>
  <c r="AQ282" i="122"/>
  <c r="BM136" i="122"/>
  <c r="BA277" i="122"/>
  <c r="BN275" i="122"/>
  <c r="BL127" i="122"/>
  <c r="AX52" i="122"/>
  <c r="AS255" i="122"/>
  <c r="AU196" i="122"/>
  <c r="AV196" i="122"/>
  <c r="AY196" i="122"/>
  <c r="AZ196" i="122"/>
  <c r="BA196" i="122"/>
  <c r="BB196" i="122"/>
  <c r="BC196" i="122"/>
  <c r="BD196" i="122"/>
  <c r="AK196" i="122"/>
  <c r="BE196" i="122"/>
  <c r="AX196" i="122"/>
  <c r="BF196" i="122"/>
  <c r="BG196" i="122"/>
  <c r="BH196" i="122"/>
  <c r="BI196" i="122"/>
  <c r="BJ196" i="122"/>
  <c r="BK196" i="122"/>
  <c r="BL196" i="122"/>
  <c r="BM196" i="122"/>
  <c r="AL196" i="122"/>
  <c r="AN196" i="122"/>
  <c r="BN196" i="122"/>
  <c r="AM196" i="122"/>
  <c r="AO196" i="122"/>
  <c r="AP196" i="122"/>
  <c r="AQ196" i="122"/>
  <c r="AP94" i="122"/>
  <c r="BJ94" i="122"/>
  <c r="AR94" i="122"/>
  <c r="BM94" i="122"/>
  <c r="AU94" i="122"/>
  <c r="AV94" i="122"/>
  <c r="AW94" i="122"/>
  <c r="AX94" i="122"/>
  <c r="AY94" i="122"/>
  <c r="AZ94" i="122"/>
  <c r="BA94" i="122"/>
  <c r="BB94" i="122"/>
  <c r="BK94" i="122"/>
  <c r="BL94" i="122"/>
  <c r="BN94" i="122"/>
  <c r="AK94" i="122"/>
  <c r="AL94" i="122"/>
  <c r="AO94" i="122"/>
  <c r="AS94" i="122"/>
  <c r="AM94" i="122"/>
  <c r="AN94" i="122"/>
  <c r="AQ94" i="122"/>
  <c r="AT94" i="122"/>
  <c r="BC94" i="122"/>
  <c r="BD94" i="122"/>
  <c r="BE94" i="122"/>
  <c r="BF94" i="122"/>
  <c r="BG94" i="122"/>
  <c r="BH94" i="122"/>
  <c r="BI94" i="122"/>
  <c r="BC100" i="122"/>
  <c r="AU100" i="122"/>
  <c r="AV100" i="122"/>
  <c r="AW100" i="122"/>
  <c r="AX100" i="122"/>
  <c r="AY100" i="122"/>
  <c r="AZ100" i="122"/>
  <c r="BA100" i="122"/>
  <c r="BE100" i="122"/>
  <c r="AL100" i="122"/>
  <c r="BG100" i="122"/>
  <c r="AM100" i="122"/>
  <c r="AN100" i="122"/>
  <c r="AP100" i="122"/>
  <c r="AQ100" i="122"/>
  <c r="AR100" i="122"/>
  <c r="AS100" i="122"/>
  <c r="AT100" i="122"/>
  <c r="BB100" i="122"/>
  <c r="BD100" i="122"/>
  <c r="BF100" i="122"/>
  <c r="AK100" i="122"/>
  <c r="AO100" i="122"/>
  <c r="BH100" i="122"/>
  <c r="BM100" i="122"/>
  <c r="BN100" i="122"/>
  <c r="BJ100" i="122"/>
  <c r="BK100" i="122"/>
  <c r="BL100" i="122"/>
  <c r="BI100" i="122"/>
  <c r="BH125" i="122"/>
  <c r="AU53" i="122"/>
  <c r="BA53" i="122"/>
  <c r="BC53" i="122"/>
  <c r="AN53" i="122"/>
  <c r="BK53" i="122"/>
  <c r="AO53" i="122"/>
  <c r="BL53" i="122"/>
  <c r="AP53" i="122"/>
  <c r="BM53" i="122"/>
  <c r="AQ53" i="122"/>
  <c r="BN53" i="122"/>
  <c r="AR53" i="122"/>
  <c r="AS53" i="122"/>
  <c r="AT53" i="122"/>
  <c r="AV53" i="122"/>
  <c r="AW53" i="122"/>
  <c r="AY53" i="122"/>
  <c r="BB53" i="122"/>
  <c r="AL53" i="122"/>
  <c r="AM53" i="122"/>
  <c r="AX53" i="122"/>
  <c r="AZ53" i="122"/>
  <c r="BD53" i="122"/>
  <c r="BE53" i="122"/>
  <c r="BF53" i="122"/>
  <c r="BG53" i="122"/>
  <c r="BI53" i="122"/>
  <c r="BG140" i="122"/>
  <c r="AP63" i="122"/>
  <c r="AU56" i="122"/>
  <c r="BA56" i="122"/>
  <c r="BC56" i="122"/>
  <c r="BE56" i="122"/>
  <c r="BF56" i="122"/>
  <c r="BG56" i="122"/>
  <c r="AK56" i="122"/>
  <c r="BH56" i="122"/>
  <c r="AL56" i="122"/>
  <c r="BI56" i="122"/>
  <c r="AM56" i="122"/>
  <c r="BJ56" i="122"/>
  <c r="AN56" i="122"/>
  <c r="BK56" i="122"/>
  <c r="AO56" i="122"/>
  <c r="BL56" i="122"/>
  <c r="AP56" i="122"/>
  <c r="BM56" i="122"/>
  <c r="AT56" i="122"/>
  <c r="AQ56" i="122"/>
  <c r="AR56" i="122"/>
  <c r="AS56" i="122"/>
  <c r="AV56" i="122"/>
  <c r="AX56" i="122"/>
  <c r="BB56" i="122"/>
  <c r="BD56" i="122"/>
  <c r="BN56" i="122"/>
  <c r="AY56" i="122"/>
  <c r="BC244" i="122"/>
  <c r="AX244" i="122"/>
  <c r="AY244" i="122"/>
  <c r="AZ244" i="122"/>
  <c r="BA244" i="122"/>
  <c r="BB244" i="122"/>
  <c r="BD244" i="122"/>
  <c r="BE244" i="122"/>
  <c r="AM244" i="122"/>
  <c r="BH244" i="122"/>
  <c r="AO244" i="122"/>
  <c r="BJ244" i="122"/>
  <c r="AW244" i="122"/>
  <c r="BF244" i="122"/>
  <c r="BI244" i="122"/>
  <c r="BK244" i="122"/>
  <c r="BL244" i="122"/>
  <c r="BM244" i="122"/>
  <c r="BN244" i="122"/>
  <c r="AK244" i="122"/>
  <c r="AL244" i="122"/>
  <c r="AP244" i="122"/>
  <c r="AQ244" i="122"/>
  <c r="AR244" i="122"/>
  <c r="AS244" i="122"/>
  <c r="AT244" i="122"/>
  <c r="AU244" i="122"/>
  <c r="AV244" i="122"/>
  <c r="BG244" i="122"/>
  <c r="AN244" i="122"/>
  <c r="BE140" i="122"/>
  <c r="AY108" i="122"/>
  <c r="AZ108" i="122"/>
  <c r="BB108" i="122"/>
  <c r="BC108" i="122"/>
  <c r="BD108" i="122"/>
  <c r="AK108" i="122"/>
  <c r="BE108" i="122"/>
  <c r="AL108" i="122"/>
  <c r="BF108" i="122"/>
  <c r="AM108" i="122"/>
  <c r="BG108" i="122"/>
  <c r="AN108" i="122"/>
  <c r="BH108" i="122"/>
  <c r="AO108" i="122"/>
  <c r="BI108" i="122"/>
  <c r="AP108" i="122"/>
  <c r="AR108" i="122"/>
  <c r="AS108" i="122"/>
  <c r="AT108" i="122"/>
  <c r="AU108" i="122"/>
  <c r="AV108" i="122"/>
  <c r="AW108" i="122"/>
  <c r="AX108" i="122"/>
  <c r="BA108" i="122"/>
  <c r="BJ108" i="122"/>
  <c r="BK108" i="122"/>
  <c r="BL108" i="122"/>
  <c r="BM108" i="122"/>
  <c r="BN108" i="122"/>
  <c r="AQ108" i="122"/>
  <c r="AM286" i="122"/>
  <c r="BG286" i="122"/>
  <c r="AT286" i="122"/>
  <c r="BN286" i="122"/>
  <c r="AL286" i="122"/>
  <c r="BI286" i="122"/>
  <c r="AN286" i="122"/>
  <c r="BJ286" i="122"/>
  <c r="AO286" i="122"/>
  <c r="BK286" i="122"/>
  <c r="AP286" i="122"/>
  <c r="BL286" i="122"/>
  <c r="AQ286" i="122"/>
  <c r="BM286" i="122"/>
  <c r="AR286" i="122"/>
  <c r="AS286" i="122"/>
  <c r="AU286" i="122"/>
  <c r="AV286" i="122"/>
  <c r="AW286" i="122"/>
  <c r="AX286" i="122"/>
  <c r="BF286" i="122"/>
  <c r="AX281" i="122"/>
  <c r="BD281" i="122"/>
  <c r="AL281" i="122"/>
  <c r="BF281" i="122"/>
  <c r="AZ281" i="122"/>
  <c r="BA281" i="122"/>
  <c r="BC281" i="122"/>
  <c r="BE281" i="122"/>
  <c r="BG281" i="122"/>
  <c r="BH281" i="122"/>
  <c r="AK281" i="122"/>
  <c r="BI281" i="122"/>
  <c r="AM281" i="122"/>
  <c r="BJ281" i="122"/>
  <c r="AN281" i="122"/>
  <c r="BK281" i="122"/>
  <c r="AO281" i="122"/>
  <c r="BL281" i="122"/>
  <c r="AQ281" i="122"/>
  <c r="BN281" i="122"/>
  <c r="BB281" i="122"/>
  <c r="BM281" i="122"/>
  <c r="AW281" i="122"/>
  <c r="AX276" i="122"/>
  <c r="AY276" i="122"/>
  <c r="AZ276" i="122"/>
  <c r="BB276" i="122"/>
  <c r="BC276" i="122"/>
  <c r="BD276" i="122"/>
  <c r="AK276" i="122"/>
  <c r="BE276" i="122"/>
  <c r="AL276" i="122"/>
  <c r="BF276" i="122"/>
  <c r="AP276" i="122"/>
  <c r="BJ276" i="122"/>
  <c r="AN276" i="122"/>
  <c r="AO276" i="122"/>
  <c r="AR276" i="122"/>
  <c r="AS276" i="122"/>
  <c r="AT276" i="122"/>
  <c r="AU276" i="122"/>
  <c r="AV276" i="122"/>
  <c r="AW276" i="122"/>
  <c r="BA276" i="122"/>
  <c r="BG276" i="122"/>
  <c r="BI276" i="122"/>
  <c r="AM276" i="122"/>
  <c r="AQ276" i="122"/>
  <c r="BH276" i="122"/>
  <c r="BK276" i="122"/>
  <c r="BL276" i="122"/>
  <c r="BM276" i="122"/>
  <c r="BN276" i="122"/>
  <c r="AK271" i="122"/>
  <c r="BE271" i="122"/>
  <c r="AQ271" i="122"/>
  <c r="BK271" i="122"/>
  <c r="AS271" i="122"/>
  <c r="BM271" i="122"/>
  <c r="AZ271" i="122"/>
  <c r="BA271" i="122"/>
  <c r="BB271" i="122"/>
  <c r="BC271" i="122"/>
  <c r="BD271" i="122"/>
  <c r="BF271" i="122"/>
  <c r="BG271" i="122"/>
  <c r="BH271" i="122"/>
  <c r="AL271" i="122"/>
  <c r="BI271" i="122"/>
  <c r="AP271" i="122"/>
  <c r="AM271" i="122"/>
  <c r="AN271" i="122"/>
  <c r="AO271" i="122"/>
  <c r="AR271" i="122"/>
  <c r="AU271" i="122"/>
  <c r="AV271" i="122"/>
  <c r="AW271" i="122"/>
  <c r="AX271" i="122"/>
  <c r="AY271" i="122"/>
  <c r="BJ271" i="122"/>
  <c r="BL271" i="122"/>
  <c r="BN271" i="122"/>
  <c r="AK266" i="122"/>
  <c r="BE266" i="122"/>
  <c r="AL266" i="122"/>
  <c r="BF266" i="122"/>
  <c r="AM266" i="122"/>
  <c r="BG266" i="122"/>
  <c r="AN266" i="122"/>
  <c r="BH266" i="122"/>
  <c r="AO266" i="122"/>
  <c r="BI266" i="122"/>
  <c r="AP266" i="122"/>
  <c r="BJ266" i="122"/>
  <c r="AQ266" i="122"/>
  <c r="BK266" i="122"/>
  <c r="AR266" i="122"/>
  <c r="BL266" i="122"/>
  <c r="AS266" i="122"/>
  <c r="BM266" i="122"/>
  <c r="AT266" i="122"/>
  <c r="BN266" i="122"/>
  <c r="AU266" i="122"/>
  <c r="AV266" i="122"/>
  <c r="AW266" i="122"/>
  <c r="AX266" i="122"/>
  <c r="AY266" i="122"/>
  <c r="AZ266" i="122"/>
  <c r="BA266" i="122"/>
  <c r="BB266" i="122"/>
  <c r="BC266" i="122"/>
  <c r="BD266" i="122"/>
  <c r="AX261" i="122"/>
  <c r="BC261" i="122"/>
  <c r="AK261" i="122"/>
  <c r="BE261" i="122"/>
  <c r="AS261" i="122"/>
  <c r="AT261" i="122"/>
  <c r="AU261" i="122"/>
  <c r="AV261" i="122"/>
  <c r="AW261" i="122"/>
  <c r="AY261" i="122"/>
  <c r="AZ261" i="122"/>
  <c r="BA261" i="122"/>
  <c r="BB261" i="122"/>
  <c r="BD261" i="122"/>
  <c r="BF261" i="122"/>
  <c r="AL261" i="122"/>
  <c r="AM261" i="122"/>
  <c r="AN261" i="122"/>
  <c r="AO261" i="122"/>
  <c r="AP261" i="122"/>
  <c r="AQ261" i="122"/>
  <c r="AR261" i="122"/>
  <c r="BH261" i="122"/>
  <c r="BJ261" i="122"/>
  <c r="BG261" i="122"/>
  <c r="BI261" i="122"/>
  <c r="BK261" i="122"/>
  <c r="BL261" i="122"/>
  <c r="BN261" i="122"/>
  <c r="BM261" i="122"/>
  <c r="AY256" i="122"/>
  <c r="AL256" i="122"/>
  <c r="BG256" i="122"/>
  <c r="AM256" i="122"/>
  <c r="BH256" i="122"/>
  <c r="AO256" i="122"/>
  <c r="BJ256" i="122"/>
  <c r="AP256" i="122"/>
  <c r="BK256" i="122"/>
  <c r="AQ256" i="122"/>
  <c r="BL256" i="122"/>
  <c r="AR256" i="122"/>
  <c r="BM256" i="122"/>
  <c r="AS256" i="122"/>
  <c r="BN256" i="122"/>
  <c r="AT256" i="122"/>
  <c r="AU256" i="122"/>
  <c r="AV256" i="122"/>
  <c r="AW256" i="122"/>
  <c r="AK256" i="122"/>
  <c r="AN256" i="122"/>
  <c r="AX256" i="122"/>
  <c r="AZ256" i="122"/>
  <c r="BA256" i="122"/>
  <c r="BB256" i="122"/>
  <c r="BC256" i="122"/>
  <c r="BD256" i="122"/>
  <c r="BE256" i="122"/>
  <c r="BF256" i="122"/>
  <c r="BI256" i="122"/>
  <c r="AY251" i="122"/>
  <c r="AZ251" i="122"/>
  <c r="BB251" i="122"/>
  <c r="BC251" i="122"/>
  <c r="BD251" i="122"/>
  <c r="AK251" i="122"/>
  <c r="BE251" i="122"/>
  <c r="AL251" i="122"/>
  <c r="BF251" i="122"/>
  <c r="AM251" i="122"/>
  <c r="BG251" i="122"/>
  <c r="AN251" i="122"/>
  <c r="BH251" i="122"/>
  <c r="AO251" i="122"/>
  <c r="BI251" i="122"/>
  <c r="BA251" i="122"/>
  <c r="BJ251" i="122"/>
  <c r="BL251" i="122"/>
  <c r="BM251" i="122"/>
  <c r="BN251" i="122"/>
  <c r="AP251" i="122"/>
  <c r="AS251" i="122"/>
  <c r="AT251" i="122"/>
  <c r="AU251" i="122"/>
  <c r="AV251" i="122"/>
  <c r="AW251" i="122"/>
  <c r="AX251" i="122"/>
  <c r="BK251" i="122"/>
  <c r="AQ251" i="122"/>
  <c r="AR251" i="122"/>
  <c r="BC241" i="122"/>
  <c r="AN241" i="122"/>
  <c r="BH241" i="122"/>
  <c r="AQ241" i="122"/>
  <c r="BK241" i="122"/>
  <c r="BB241" i="122"/>
  <c r="BD241" i="122"/>
  <c r="BE241" i="122"/>
  <c r="BF241" i="122"/>
  <c r="BG241" i="122"/>
  <c r="AK241" i="122"/>
  <c r="BI241" i="122"/>
  <c r="AL241" i="122"/>
  <c r="BJ241" i="122"/>
  <c r="AP241" i="122"/>
  <c r="BN241" i="122"/>
  <c r="AS241" i="122"/>
  <c r="AW241" i="122"/>
  <c r="AX241" i="122"/>
  <c r="AZ241" i="122"/>
  <c r="BA241" i="122"/>
  <c r="BL241" i="122"/>
  <c r="BM241" i="122"/>
  <c r="AY241" i="122"/>
  <c r="AM241" i="122"/>
  <c r="AO241" i="122"/>
  <c r="AR241" i="122"/>
  <c r="AT241" i="122"/>
  <c r="AU241" i="122"/>
  <c r="AV241" i="122"/>
  <c r="AM236" i="122"/>
  <c r="AP236" i="122"/>
  <c r="BJ236" i="122"/>
  <c r="BC236" i="122"/>
  <c r="BF236" i="122"/>
  <c r="AK236" i="122"/>
  <c r="BG236" i="122"/>
  <c r="AL236" i="122"/>
  <c r="BH236" i="122"/>
  <c r="AN236" i="122"/>
  <c r="BI236" i="122"/>
  <c r="AO236" i="122"/>
  <c r="BK236" i="122"/>
  <c r="AQ236" i="122"/>
  <c r="BL236" i="122"/>
  <c r="AR236" i="122"/>
  <c r="BM236" i="122"/>
  <c r="AS236" i="122"/>
  <c r="BN236" i="122"/>
  <c r="AZ236" i="122"/>
  <c r="BA236" i="122"/>
  <c r="BB236" i="122"/>
  <c r="BD236" i="122"/>
  <c r="BE236" i="122"/>
  <c r="AU236" i="122"/>
  <c r="AV236" i="122"/>
  <c r="AX236" i="122"/>
  <c r="AY236" i="122"/>
  <c r="AT236" i="122"/>
  <c r="AW236" i="122"/>
  <c r="AL231" i="122"/>
  <c r="BF231" i="122"/>
  <c r="AP231" i="122"/>
  <c r="BJ231" i="122"/>
  <c r="AQ231" i="122"/>
  <c r="BK231" i="122"/>
  <c r="AR231" i="122"/>
  <c r="BL231" i="122"/>
  <c r="BA231" i="122"/>
  <c r="BB231" i="122"/>
  <c r="BE231" i="122"/>
  <c r="BG231" i="122"/>
  <c r="AY231" i="122"/>
  <c r="BD231" i="122"/>
  <c r="BH231" i="122"/>
  <c r="BI231" i="122"/>
  <c r="BM231" i="122"/>
  <c r="BN231" i="122"/>
  <c r="AK231" i="122"/>
  <c r="AM231" i="122"/>
  <c r="AN231" i="122"/>
  <c r="AO231" i="122"/>
  <c r="AS231" i="122"/>
  <c r="AT231" i="122"/>
  <c r="AU231" i="122"/>
  <c r="AV231" i="122"/>
  <c r="AW231" i="122"/>
  <c r="BC231" i="122"/>
  <c r="AX231" i="122"/>
  <c r="AZ231" i="122"/>
  <c r="AL226" i="122"/>
  <c r="BF226" i="122"/>
  <c r="AP226" i="122"/>
  <c r="BJ226" i="122"/>
  <c r="AQ226" i="122"/>
  <c r="BK226" i="122"/>
  <c r="AR226" i="122"/>
  <c r="BL226" i="122"/>
  <c r="BA226" i="122"/>
  <c r="BB226" i="122"/>
  <c r="BD226" i="122"/>
  <c r="BE226" i="122"/>
  <c r="BG226" i="122"/>
  <c r="BH226" i="122"/>
  <c r="AY226" i="122"/>
  <c r="BI226" i="122"/>
  <c r="BM226" i="122"/>
  <c r="BN226" i="122"/>
  <c r="AK226" i="122"/>
  <c r="AM226" i="122"/>
  <c r="AN226" i="122"/>
  <c r="AO226" i="122"/>
  <c r="AS226" i="122"/>
  <c r="AT226" i="122"/>
  <c r="AU226" i="122"/>
  <c r="AV226" i="122"/>
  <c r="AW226" i="122"/>
  <c r="AX226" i="122"/>
  <c r="AZ226" i="122"/>
  <c r="BC226" i="122"/>
  <c r="AL147" i="122"/>
  <c r="BA74" i="122"/>
  <c r="AO289" i="122"/>
  <c r="AP145" i="122"/>
  <c r="BC144" i="122"/>
  <c r="BL143" i="122"/>
  <c r="AS215" i="122"/>
  <c r="AQ214" i="122"/>
  <c r="BC141" i="122"/>
  <c r="AR281" i="122"/>
  <c r="BL136" i="122"/>
  <c r="AW277" i="122"/>
  <c r="AO275" i="122"/>
  <c r="BJ127" i="122"/>
  <c r="AM119" i="122"/>
  <c r="AL75" i="122"/>
  <c r="BF75" i="122"/>
  <c r="AP75" i="122"/>
  <c r="BJ75" i="122"/>
  <c r="AQ75" i="122"/>
  <c r="BK75" i="122"/>
  <c r="AR75" i="122"/>
  <c r="BL75" i="122"/>
  <c r="AV75" i="122"/>
  <c r="AW75" i="122"/>
  <c r="AX75" i="122"/>
  <c r="AO75" i="122"/>
  <c r="AS75" i="122"/>
  <c r="AU75" i="122"/>
  <c r="AY75" i="122"/>
  <c r="AZ75" i="122"/>
  <c r="BA75" i="122"/>
  <c r="BN75" i="122"/>
  <c r="AK75" i="122"/>
  <c r="AT75" i="122"/>
  <c r="BB75" i="122"/>
  <c r="BC75" i="122"/>
  <c r="BD75" i="122"/>
  <c r="BE75" i="122"/>
  <c r="BH75" i="122"/>
  <c r="BI75" i="122"/>
  <c r="AM75" i="122"/>
  <c r="BM75" i="122"/>
  <c r="BG75" i="122"/>
  <c r="AN75" i="122"/>
  <c r="AX279" i="122"/>
  <c r="BD279" i="122"/>
  <c r="AL279" i="122"/>
  <c r="BF279" i="122"/>
  <c r="BE279" i="122"/>
  <c r="BG279" i="122"/>
  <c r="AK279" i="122"/>
  <c r="BI279" i="122"/>
  <c r="AM279" i="122"/>
  <c r="BJ279" i="122"/>
  <c r="AN279" i="122"/>
  <c r="BK279" i="122"/>
  <c r="AO279" i="122"/>
  <c r="BL279" i="122"/>
  <c r="AP279" i="122"/>
  <c r="BM279" i="122"/>
  <c r="AQ279" i="122"/>
  <c r="BN279" i="122"/>
  <c r="AR279" i="122"/>
  <c r="AS279" i="122"/>
  <c r="AU279" i="122"/>
  <c r="AT279" i="122"/>
  <c r="AV279" i="122"/>
  <c r="AW279" i="122"/>
  <c r="AY279" i="122"/>
  <c r="AZ279" i="122"/>
  <c r="BA279" i="122"/>
  <c r="BB279" i="122"/>
  <c r="BC279" i="122"/>
  <c r="BH279" i="122"/>
  <c r="AK124" i="122"/>
  <c r="BE124" i="122"/>
  <c r="AL124" i="122"/>
  <c r="BF124" i="122"/>
  <c r="AO124" i="122"/>
  <c r="BI124" i="122"/>
  <c r="AP124" i="122"/>
  <c r="BJ124" i="122"/>
  <c r="AQ124" i="122"/>
  <c r="BK124" i="122"/>
  <c r="AR124" i="122"/>
  <c r="BL124" i="122"/>
  <c r="AS124" i="122"/>
  <c r="BM124" i="122"/>
  <c r="AT124" i="122"/>
  <c r="BN124" i="122"/>
  <c r="AU124" i="122"/>
  <c r="BD124" i="122"/>
  <c r="BG124" i="122"/>
  <c r="BH124" i="122"/>
  <c r="AM124" i="122"/>
  <c r="AV124" i="122"/>
  <c r="AN124" i="122"/>
  <c r="AX124" i="122"/>
  <c r="AY124" i="122"/>
  <c r="AZ124" i="122"/>
  <c r="BA124" i="122"/>
  <c r="BB124" i="122"/>
  <c r="BC124" i="122"/>
  <c r="AL219" i="122"/>
  <c r="BF219" i="122"/>
  <c r="AP219" i="122"/>
  <c r="BJ219" i="122"/>
  <c r="AQ219" i="122"/>
  <c r="BK219" i="122"/>
  <c r="AR219" i="122"/>
  <c r="BL219" i="122"/>
  <c r="AV219" i="122"/>
  <c r="AW219" i="122"/>
  <c r="AX219" i="122"/>
  <c r="AS219" i="122"/>
  <c r="AT219" i="122"/>
  <c r="AY219" i="122"/>
  <c r="AZ219" i="122"/>
  <c r="BA219" i="122"/>
  <c r="BB219" i="122"/>
  <c r="AK219" i="122"/>
  <c r="AM219" i="122"/>
  <c r="AN219" i="122"/>
  <c r="AU219" i="122"/>
  <c r="BC219" i="122"/>
  <c r="BM219" i="122"/>
  <c r="AO219" i="122"/>
  <c r="BD219" i="122"/>
  <c r="BE219" i="122"/>
  <c r="BI219" i="122"/>
  <c r="BG219" i="122"/>
  <c r="BN219" i="122"/>
  <c r="BH219" i="122"/>
  <c r="AY257" i="122"/>
  <c r="AR257" i="122"/>
  <c r="BM257" i="122"/>
  <c r="AS257" i="122"/>
  <c r="BN257" i="122"/>
  <c r="AU257" i="122"/>
  <c r="AV257" i="122"/>
  <c r="AW257" i="122"/>
  <c r="AX257" i="122"/>
  <c r="AZ257" i="122"/>
  <c r="BA257" i="122"/>
  <c r="BB257" i="122"/>
  <c r="BC257" i="122"/>
  <c r="BD257" i="122"/>
  <c r="BF257" i="122"/>
  <c r="BG257" i="122"/>
  <c r="BH257" i="122"/>
  <c r="BI257" i="122"/>
  <c r="BJ257" i="122"/>
  <c r="BK257" i="122"/>
  <c r="BL257" i="122"/>
  <c r="AK257" i="122"/>
  <c r="AL257" i="122"/>
  <c r="AM257" i="122"/>
  <c r="AN257" i="122"/>
  <c r="AO257" i="122"/>
  <c r="AP257" i="122"/>
  <c r="AQ257" i="122"/>
  <c r="AT257" i="122"/>
  <c r="BE257" i="122"/>
  <c r="AN66" i="122"/>
  <c r="BH66" i="122"/>
  <c r="AT66" i="122"/>
  <c r="BN66" i="122"/>
  <c r="AV66" i="122"/>
  <c r="BD66" i="122"/>
  <c r="BE66" i="122"/>
  <c r="BG66" i="122"/>
  <c r="AK66" i="122"/>
  <c r="BI66" i="122"/>
  <c r="AL66" i="122"/>
  <c r="BJ66" i="122"/>
  <c r="AM66" i="122"/>
  <c r="BK66" i="122"/>
  <c r="AO66" i="122"/>
  <c r="BL66" i="122"/>
  <c r="AP66" i="122"/>
  <c r="BM66" i="122"/>
  <c r="AQ66" i="122"/>
  <c r="AR66" i="122"/>
  <c r="AU66" i="122"/>
  <c r="AS66" i="122"/>
  <c r="AW66" i="122"/>
  <c r="AX66" i="122"/>
  <c r="AZ21" i="122"/>
  <c r="AW21" i="122"/>
  <c r="BA21" i="122"/>
  <c r="BB21" i="122"/>
  <c r="BC21" i="122"/>
  <c r="BD21" i="122"/>
  <c r="BE21" i="122"/>
  <c r="AK21" i="122"/>
  <c r="BF21" i="122"/>
  <c r="AL21" i="122"/>
  <c r="BG21" i="122"/>
  <c r="AM21" i="122"/>
  <c r="BH21" i="122"/>
  <c r="AP21" i="122"/>
  <c r="AQ21" i="122"/>
  <c r="AR21" i="122"/>
  <c r="AS21" i="122"/>
  <c r="AT21" i="122"/>
  <c r="AU21" i="122"/>
  <c r="AV21" i="122"/>
  <c r="BI21" i="122"/>
  <c r="BK21" i="122"/>
  <c r="AN21" i="122"/>
  <c r="AO21" i="122"/>
  <c r="AX21" i="122"/>
  <c r="AY21" i="122"/>
  <c r="BJ21" i="122"/>
  <c r="BL21" i="122"/>
  <c r="BM21" i="122"/>
  <c r="BN21" i="122"/>
  <c r="AX118" i="122"/>
  <c r="BC118" i="122"/>
  <c r="AK118" i="122"/>
  <c r="BD118" i="122"/>
  <c r="BE118" i="122"/>
  <c r="BF118" i="122"/>
  <c r="BG118" i="122"/>
  <c r="AL118" i="122"/>
  <c r="BH118" i="122"/>
  <c r="AM118" i="122"/>
  <c r="BI118" i="122"/>
  <c r="AN118" i="122"/>
  <c r="BJ118" i="122"/>
  <c r="AO118" i="122"/>
  <c r="BK118" i="122"/>
  <c r="AP118" i="122"/>
  <c r="BL118" i="122"/>
  <c r="AQ118" i="122"/>
  <c r="BM118" i="122"/>
  <c r="AR118" i="122"/>
  <c r="BN118" i="122"/>
  <c r="AS118" i="122"/>
  <c r="AT118" i="122"/>
  <c r="AV118" i="122"/>
  <c r="AY118" i="122"/>
  <c r="BB118" i="122"/>
  <c r="AU118" i="122"/>
  <c r="AW118" i="122"/>
  <c r="AZ118" i="122"/>
  <c r="AP93" i="122"/>
  <c r="BJ93" i="122"/>
  <c r="AK93" i="122"/>
  <c r="BF93" i="122"/>
  <c r="AN93" i="122"/>
  <c r="BI93" i="122"/>
  <c r="AO93" i="122"/>
  <c r="BK93" i="122"/>
  <c r="AQ93" i="122"/>
  <c r="BL93" i="122"/>
  <c r="AR93" i="122"/>
  <c r="BM93" i="122"/>
  <c r="AS93" i="122"/>
  <c r="BN93" i="122"/>
  <c r="AT93" i="122"/>
  <c r="AU93" i="122"/>
  <c r="AV93" i="122"/>
  <c r="AL93" i="122"/>
  <c r="AM93" i="122"/>
  <c r="AY93" i="122"/>
  <c r="BA93" i="122"/>
  <c r="BC93" i="122"/>
  <c r="BD93" i="122"/>
  <c r="BG93" i="122"/>
  <c r="BH93" i="122"/>
  <c r="BE93" i="122"/>
  <c r="AX93" i="122"/>
  <c r="AZ93" i="122"/>
  <c r="BB93" i="122"/>
  <c r="AW93" i="122"/>
  <c r="AN70" i="122"/>
  <c r="AW70" i="122"/>
  <c r="BD70" i="122"/>
  <c r="AK70" i="122"/>
  <c r="AM70" i="122"/>
  <c r="AT70" i="122"/>
  <c r="AU70" i="122"/>
  <c r="AV70" i="122"/>
  <c r="AX70" i="122"/>
  <c r="AY70" i="122"/>
  <c r="AZ70" i="122"/>
  <c r="BA70" i="122"/>
  <c r="BB70" i="122"/>
  <c r="BC70" i="122"/>
  <c r="BE70" i="122"/>
  <c r="BF70" i="122"/>
  <c r="AR70" i="122"/>
  <c r="BN70" i="122"/>
  <c r="AN65" i="122"/>
  <c r="BH65" i="122"/>
  <c r="AT65" i="122"/>
  <c r="BN65" i="122"/>
  <c r="AV65" i="122"/>
  <c r="BF65" i="122"/>
  <c r="BG65" i="122"/>
  <c r="AL65" i="122"/>
  <c r="BJ65" i="122"/>
  <c r="AM65" i="122"/>
  <c r="BK65" i="122"/>
  <c r="AO65" i="122"/>
  <c r="BL65" i="122"/>
  <c r="AP65" i="122"/>
  <c r="BM65" i="122"/>
  <c r="AQ65" i="122"/>
  <c r="AR65" i="122"/>
  <c r="AS65" i="122"/>
  <c r="AU65" i="122"/>
  <c r="AX65" i="122"/>
  <c r="AK65" i="122"/>
  <c r="AW65" i="122"/>
  <c r="AY65" i="122"/>
  <c r="AZ65" i="122"/>
  <c r="BI65" i="122"/>
  <c r="BA65" i="122"/>
  <c r="BB65" i="122"/>
  <c r="BC65" i="122"/>
  <c r="BD65" i="122"/>
  <c r="BE65" i="122"/>
  <c r="AN60" i="122"/>
  <c r="BH60" i="122"/>
  <c r="AO60" i="122"/>
  <c r="BI60" i="122"/>
  <c r="AP60" i="122"/>
  <c r="BJ60" i="122"/>
  <c r="AR60" i="122"/>
  <c r="BL60" i="122"/>
  <c r="AS60" i="122"/>
  <c r="BM60" i="122"/>
  <c r="AT60" i="122"/>
  <c r="BN60" i="122"/>
  <c r="AU60" i="122"/>
  <c r="AV60" i="122"/>
  <c r="AZ60" i="122"/>
  <c r="AK60" i="122"/>
  <c r="AL60" i="122"/>
  <c r="AM60" i="122"/>
  <c r="AQ60" i="122"/>
  <c r="AW60" i="122"/>
  <c r="AX60" i="122"/>
  <c r="AY60" i="122"/>
  <c r="BB60" i="122"/>
  <c r="BF60" i="122"/>
  <c r="BG60" i="122"/>
  <c r="BK60" i="122"/>
  <c r="BD60" i="122"/>
  <c r="AU55" i="122"/>
  <c r="BA55" i="122"/>
  <c r="BC55" i="122"/>
  <c r="BG55" i="122"/>
  <c r="AK55" i="122"/>
  <c r="BH55" i="122"/>
  <c r="AL55" i="122"/>
  <c r="BI55" i="122"/>
  <c r="AM55" i="122"/>
  <c r="BJ55" i="122"/>
  <c r="AN55" i="122"/>
  <c r="BK55" i="122"/>
  <c r="AO55" i="122"/>
  <c r="BL55" i="122"/>
  <c r="AP55" i="122"/>
  <c r="BM55" i="122"/>
  <c r="AQ55" i="122"/>
  <c r="BN55" i="122"/>
  <c r="AR55" i="122"/>
  <c r="AW55" i="122"/>
  <c r="AX55" i="122"/>
  <c r="AY55" i="122"/>
  <c r="BB55" i="122"/>
  <c r="BD55" i="122"/>
  <c r="BE55" i="122"/>
  <c r="BF55" i="122"/>
  <c r="AZ55" i="122"/>
  <c r="AU50" i="122"/>
  <c r="AV50" i="122"/>
  <c r="AW50" i="122"/>
  <c r="AX50" i="122"/>
  <c r="AY50" i="122"/>
  <c r="AZ50" i="122"/>
  <c r="BA50" i="122"/>
  <c r="BB50" i="122"/>
  <c r="BC50" i="122"/>
  <c r="BD50" i="122"/>
  <c r="AK50" i="122"/>
  <c r="BE50" i="122"/>
  <c r="BN50" i="122"/>
  <c r="AL50" i="122"/>
  <c r="AM50" i="122"/>
  <c r="AN50" i="122"/>
  <c r="AO50" i="122"/>
  <c r="AP50" i="122"/>
  <c r="AQ50" i="122"/>
  <c r="AS50" i="122"/>
  <c r="BF50" i="122"/>
  <c r="BJ50" i="122"/>
  <c r="BK50" i="122"/>
  <c r="BM50" i="122"/>
  <c r="AN45" i="122"/>
  <c r="BH45" i="122"/>
  <c r="AS45" i="122"/>
  <c r="BM45" i="122"/>
  <c r="AU45" i="122"/>
  <c r="AV45" i="122"/>
  <c r="AZ45" i="122"/>
  <c r="BA45" i="122"/>
  <c r="BB45" i="122"/>
  <c r="BC45" i="122"/>
  <c r="BD45" i="122"/>
  <c r="BE45" i="122"/>
  <c r="BF45" i="122"/>
  <c r="BG45" i="122"/>
  <c r="BI45" i="122"/>
  <c r="AK45" i="122"/>
  <c r="BJ45" i="122"/>
  <c r="AL45" i="122"/>
  <c r="BK45" i="122"/>
  <c r="BL45" i="122"/>
  <c r="BN45" i="122"/>
  <c r="AO45" i="122"/>
  <c r="AP45" i="122"/>
  <c r="AQ45" i="122"/>
  <c r="AT45" i="122"/>
  <c r="AW45" i="122"/>
  <c r="AX45" i="122"/>
  <c r="AY45" i="122"/>
  <c r="AM45" i="122"/>
  <c r="AR45" i="122"/>
  <c r="AO40" i="122"/>
  <c r="BI40" i="122"/>
  <c r="AU40" i="122"/>
  <c r="AV40" i="122"/>
  <c r="AX40" i="122"/>
  <c r="AY40" i="122"/>
  <c r="AZ40" i="122"/>
  <c r="BA40" i="122"/>
  <c r="BB40" i="122"/>
  <c r="BC40" i="122"/>
  <c r="BD40" i="122"/>
  <c r="BE40" i="122"/>
  <c r="AK40" i="122"/>
  <c r="BF40" i="122"/>
  <c r="BL40" i="122"/>
  <c r="BM40" i="122"/>
  <c r="BN40" i="122"/>
  <c r="AL40" i="122"/>
  <c r="AM40" i="122"/>
  <c r="AN40" i="122"/>
  <c r="AP40" i="122"/>
  <c r="AW40" i="122"/>
  <c r="BG40" i="122"/>
  <c r="BH40" i="122"/>
  <c r="BJ40" i="122"/>
  <c r="BK40" i="122"/>
  <c r="AQ40" i="122"/>
  <c r="AR40" i="122"/>
  <c r="AS40" i="122"/>
  <c r="AT40" i="122"/>
  <c r="AO35" i="122"/>
  <c r="BI35" i="122"/>
  <c r="AP35" i="122"/>
  <c r="BJ35" i="122"/>
  <c r="AR35" i="122"/>
  <c r="BL35" i="122"/>
  <c r="AS35" i="122"/>
  <c r="BM35" i="122"/>
  <c r="AT35" i="122"/>
  <c r="BN35" i="122"/>
  <c r="AU35" i="122"/>
  <c r="AV35" i="122"/>
  <c r="AW35" i="122"/>
  <c r="AX35" i="122"/>
  <c r="AY35" i="122"/>
  <c r="AQ35" i="122"/>
  <c r="AZ35" i="122"/>
  <c r="BB35" i="122"/>
  <c r="BC35" i="122"/>
  <c r="BD35" i="122"/>
  <c r="BE35" i="122"/>
  <c r="BF35" i="122"/>
  <c r="BG35" i="122"/>
  <c r="BH35" i="122"/>
  <c r="BK35" i="122"/>
  <c r="AK35" i="122"/>
  <c r="AL35" i="122"/>
  <c r="AM35" i="122"/>
  <c r="BA35" i="122"/>
  <c r="AN35" i="122"/>
  <c r="AS30" i="122"/>
  <c r="BM30" i="122"/>
  <c r="BA30" i="122"/>
  <c r="BC30" i="122"/>
  <c r="BE30" i="122"/>
  <c r="AO30" i="122"/>
  <c r="BJ30" i="122"/>
  <c r="BG30" i="122"/>
  <c r="BH30" i="122"/>
  <c r="AK30" i="122"/>
  <c r="BK30" i="122"/>
  <c r="AL30" i="122"/>
  <c r="BL30" i="122"/>
  <c r="AM30" i="122"/>
  <c r="BN30" i="122"/>
  <c r="AN30" i="122"/>
  <c r="AP30" i="122"/>
  <c r="AQ30" i="122"/>
  <c r="AR30" i="122"/>
  <c r="AT30" i="122"/>
  <c r="AU30" i="122"/>
  <c r="AW30" i="122"/>
  <c r="AX30" i="122"/>
  <c r="AY30" i="122"/>
  <c r="AZ30" i="122"/>
  <c r="BB30" i="122"/>
  <c r="BD30" i="122"/>
  <c r="BF30" i="122"/>
  <c r="BI30" i="122"/>
  <c r="AV30" i="122"/>
  <c r="AS25" i="122"/>
  <c r="BM25" i="122"/>
  <c r="AX25" i="122"/>
  <c r="BA25" i="122"/>
  <c r="AL25" i="122"/>
  <c r="BI25" i="122"/>
  <c r="AM25" i="122"/>
  <c r="BJ25" i="122"/>
  <c r="AN25" i="122"/>
  <c r="BK25" i="122"/>
  <c r="AO25" i="122"/>
  <c r="BL25" i="122"/>
  <c r="AP25" i="122"/>
  <c r="BN25" i="122"/>
  <c r="AQ25" i="122"/>
  <c r="AR25" i="122"/>
  <c r="AV25" i="122"/>
  <c r="AY25" i="122"/>
  <c r="AT25" i="122"/>
  <c r="AU25" i="122"/>
  <c r="AW25" i="122"/>
  <c r="AZ25" i="122"/>
  <c r="BB25" i="122"/>
  <c r="BC25" i="122"/>
  <c r="BD25" i="122"/>
  <c r="BE25" i="122"/>
  <c r="AK25" i="122"/>
  <c r="BF25" i="122"/>
  <c r="BG25" i="122"/>
  <c r="BH25" i="122"/>
  <c r="AW20" i="122"/>
  <c r="AY20" i="122"/>
  <c r="AO20" i="122"/>
  <c r="BK20" i="122"/>
  <c r="AR20" i="122"/>
  <c r="BN20" i="122"/>
  <c r="AS20" i="122"/>
  <c r="AT20" i="122"/>
  <c r="AU20" i="122"/>
  <c r="AV20" i="122"/>
  <c r="AX20" i="122"/>
  <c r="AZ20" i="122"/>
  <c r="BA20" i="122"/>
  <c r="AN20" i="122"/>
  <c r="AP20" i="122"/>
  <c r="AQ20" i="122"/>
  <c r="BB20" i="122"/>
  <c r="BC20" i="122"/>
  <c r="BD20" i="122"/>
  <c r="BE20" i="122"/>
  <c r="BH20" i="122"/>
  <c r="BJ20" i="122"/>
  <c r="AK20" i="122"/>
  <c r="AM20" i="122"/>
  <c r="BF20" i="122"/>
  <c r="BG20" i="122"/>
  <c r="BI20" i="122"/>
  <c r="BL20" i="122"/>
  <c r="BM20" i="122"/>
  <c r="AL20" i="122"/>
  <c r="AV15" i="122"/>
  <c r="AZ15" i="122"/>
  <c r="BA15" i="122"/>
  <c r="BB15" i="122"/>
  <c r="BG15" i="122"/>
  <c r="BH15" i="122"/>
  <c r="AM15" i="122"/>
  <c r="BK15" i="122"/>
  <c r="AN15" i="122"/>
  <c r="BL15" i="122"/>
  <c r="AX15" i="122"/>
  <c r="BD15" i="122"/>
  <c r="BE15" i="122"/>
  <c r="BF15" i="122"/>
  <c r="BI15" i="122"/>
  <c r="BJ15" i="122"/>
  <c r="BN15" i="122"/>
  <c r="AK15" i="122"/>
  <c r="AS15" i="122"/>
  <c r="AW15" i="122"/>
  <c r="AY15" i="122"/>
  <c r="BC15" i="122"/>
  <c r="BM15" i="122"/>
  <c r="AR15" i="122"/>
  <c r="AT15" i="122"/>
  <c r="AU15" i="122"/>
  <c r="AL15" i="122"/>
  <c r="AO15" i="122"/>
  <c r="AP15" i="122"/>
  <c r="AQ15" i="122"/>
  <c r="AV10" i="122"/>
  <c r="AZ10" i="122"/>
  <c r="BA10" i="122"/>
  <c r="BB10" i="122"/>
  <c r="BG10" i="122"/>
  <c r="BH10" i="122"/>
  <c r="AL10" i="122"/>
  <c r="BJ10" i="122"/>
  <c r="AM10" i="122"/>
  <c r="BK10" i="122"/>
  <c r="AN10" i="122"/>
  <c r="BL10" i="122"/>
  <c r="AO10" i="122"/>
  <c r="BM10" i="122"/>
  <c r="AU10" i="122"/>
  <c r="AY10" i="122"/>
  <c r="BC10" i="122"/>
  <c r="BD10" i="122"/>
  <c r="BE10" i="122"/>
  <c r="BF10" i="122"/>
  <c r="BN10" i="122"/>
  <c r="AW10" i="122"/>
  <c r="AK10" i="122"/>
  <c r="AP10" i="122"/>
  <c r="AS10" i="122"/>
  <c r="AX10" i="122"/>
  <c r="AQ10" i="122"/>
  <c r="AR10" i="122"/>
  <c r="AT10" i="122"/>
  <c r="BI10" i="122"/>
  <c r="AV5" i="122"/>
  <c r="AZ5" i="122"/>
  <c r="BA5" i="122"/>
  <c r="BB5" i="122"/>
  <c r="AL5" i="122"/>
  <c r="BF5" i="122"/>
  <c r="AM5" i="122"/>
  <c r="BG5" i="122"/>
  <c r="AN5" i="122"/>
  <c r="BH5" i="122"/>
  <c r="AW5" i="122"/>
  <c r="AX5" i="122"/>
  <c r="BC5" i="122"/>
  <c r="BD5" i="122"/>
  <c r="BE5" i="122"/>
  <c r="BI5" i="122"/>
  <c r="AQ5" i="122"/>
  <c r="AY5" i="122"/>
  <c r="BL5" i="122"/>
  <c r="BM5" i="122"/>
  <c r="BN5" i="122"/>
  <c r="AK5" i="122"/>
  <c r="AO5" i="122"/>
  <c r="AP5" i="122"/>
  <c r="AR5" i="122"/>
  <c r="AS5" i="122"/>
  <c r="AT5" i="122"/>
  <c r="AU5" i="122"/>
  <c r="BJ5" i="122"/>
  <c r="BK5" i="122"/>
  <c r="AM234" i="122"/>
  <c r="BG234" i="122"/>
  <c r="AX234" i="122"/>
  <c r="BB234" i="122"/>
  <c r="AV234" i="122"/>
  <c r="AZ234" i="122"/>
  <c r="BA234" i="122"/>
  <c r="BC234" i="122"/>
  <c r="BD234" i="122"/>
  <c r="BE234" i="122"/>
  <c r="BF234" i="122"/>
  <c r="BH234" i="122"/>
  <c r="AK234" i="122"/>
  <c r="BI234" i="122"/>
  <c r="AT234" i="122"/>
  <c r="AU234" i="122"/>
  <c r="AW234" i="122"/>
  <c r="AY234" i="122"/>
  <c r="BJ234" i="122"/>
  <c r="BK234" i="122"/>
  <c r="BL234" i="122"/>
  <c r="BN234" i="122"/>
  <c r="AP234" i="122"/>
  <c r="AQ234" i="122"/>
  <c r="AR234" i="122"/>
  <c r="AS234" i="122"/>
  <c r="BM234" i="122"/>
  <c r="AL234" i="122"/>
  <c r="AN234" i="122"/>
  <c r="AO234" i="122"/>
  <c r="AW259" i="122"/>
  <c r="AX259" i="122"/>
  <c r="AZ259" i="122"/>
  <c r="BA259" i="122"/>
  <c r="BB259" i="122"/>
  <c r="BC259" i="122"/>
  <c r="BD259" i="122"/>
  <c r="AK259" i="122"/>
  <c r="BE259" i="122"/>
  <c r="AL259" i="122"/>
  <c r="BF259" i="122"/>
  <c r="AN259" i="122"/>
  <c r="BH259" i="122"/>
  <c r="AM259" i="122"/>
  <c r="AO259" i="122"/>
  <c r="AP259" i="122"/>
  <c r="AQ259" i="122"/>
  <c r="AR259" i="122"/>
  <c r="AS259" i="122"/>
  <c r="AT259" i="122"/>
  <c r="AU259" i="122"/>
  <c r="BI259" i="122"/>
  <c r="BJ259" i="122"/>
  <c r="BK259" i="122"/>
  <c r="BL259" i="122"/>
  <c r="BM259" i="122"/>
  <c r="BN259" i="122"/>
  <c r="AX284" i="122"/>
  <c r="AL284" i="122"/>
  <c r="BF284" i="122"/>
  <c r="AN284" i="122"/>
  <c r="BJ284" i="122"/>
  <c r="AU284" i="122"/>
  <c r="AW284" i="122"/>
  <c r="AZ284" i="122"/>
  <c r="BL284" i="122"/>
  <c r="AK284" i="122"/>
  <c r="BM284" i="122"/>
  <c r="AM284" i="122"/>
  <c r="BN284" i="122"/>
  <c r="AO284" i="122"/>
  <c r="AP284" i="122"/>
  <c r="AQ284" i="122"/>
  <c r="AR284" i="122"/>
  <c r="AS284" i="122"/>
  <c r="AT284" i="122"/>
  <c r="AV284" i="122"/>
  <c r="AY284" i="122"/>
  <c r="BI284" i="122"/>
  <c r="BN290" i="122"/>
  <c r="AZ74" i="122"/>
  <c r="AN289" i="122"/>
  <c r="AO145" i="122"/>
  <c r="BB144" i="122"/>
  <c r="BM287" i="122"/>
  <c r="AR215" i="122"/>
  <c r="AP70" i="122"/>
  <c r="AP214" i="122"/>
  <c r="BA141" i="122"/>
  <c r="BB284" i="122"/>
  <c r="BF66" i="122"/>
  <c r="AP281" i="122"/>
  <c r="BK136" i="122"/>
  <c r="AV277" i="122"/>
  <c r="AW196" i="122"/>
  <c r="AL39" i="122"/>
  <c r="BE63" i="122"/>
  <c r="AY254" i="122"/>
  <c r="AT254" i="122"/>
  <c r="AU254" i="122"/>
  <c r="AW254" i="122"/>
  <c r="AX254" i="122"/>
  <c r="AZ254" i="122"/>
  <c r="BA254" i="122"/>
  <c r="BB254" i="122"/>
  <c r="BC254" i="122"/>
  <c r="BD254" i="122"/>
  <c r="BE254" i="122"/>
  <c r="AK254" i="122"/>
  <c r="BF254" i="122"/>
  <c r="AO254" i="122"/>
  <c r="AP254" i="122"/>
  <c r="AQ254" i="122"/>
  <c r="AR254" i="122"/>
  <c r="AS254" i="122"/>
  <c r="AV254" i="122"/>
  <c r="BG254" i="122"/>
  <c r="BH254" i="122"/>
  <c r="BI254" i="122"/>
  <c r="BJ254" i="122"/>
  <c r="BK254" i="122"/>
  <c r="BL254" i="122"/>
  <c r="BM254" i="122"/>
  <c r="BN254" i="122"/>
  <c r="AL254" i="122"/>
  <c r="AM254" i="122"/>
  <c r="AN254" i="122"/>
  <c r="AY109" i="122"/>
  <c r="AZ109" i="122"/>
  <c r="BB109" i="122"/>
  <c r="BC109" i="122"/>
  <c r="BD109" i="122"/>
  <c r="AK109" i="122"/>
  <c r="BE109" i="122"/>
  <c r="AL109" i="122"/>
  <c r="BF109" i="122"/>
  <c r="AM109" i="122"/>
  <c r="BG109" i="122"/>
  <c r="AN109" i="122"/>
  <c r="BH109" i="122"/>
  <c r="AO109" i="122"/>
  <c r="BI109" i="122"/>
  <c r="AP109" i="122"/>
  <c r="AR109" i="122"/>
  <c r="AS109" i="122"/>
  <c r="AT109" i="122"/>
  <c r="AU109" i="122"/>
  <c r="AV109" i="122"/>
  <c r="AW109" i="122"/>
  <c r="AX109" i="122"/>
  <c r="BA109" i="122"/>
  <c r="BJ109" i="122"/>
  <c r="AQ109" i="122"/>
  <c r="BK109" i="122"/>
  <c r="BL109" i="122"/>
  <c r="BM109" i="122"/>
  <c r="BN109" i="122"/>
  <c r="BD147" i="122"/>
  <c r="AX282" i="122"/>
  <c r="BD282" i="122"/>
  <c r="AL282" i="122"/>
  <c r="BF282" i="122"/>
  <c r="AW282" i="122"/>
  <c r="AY282" i="122"/>
  <c r="BA282" i="122"/>
  <c r="BB282" i="122"/>
  <c r="BC282" i="122"/>
  <c r="BE282" i="122"/>
  <c r="BG282" i="122"/>
  <c r="BH282" i="122"/>
  <c r="AK282" i="122"/>
  <c r="BI282" i="122"/>
  <c r="AM282" i="122"/>
  <c r="BJ282" i="122"/>
  <c r="AO282" i="122"/>
  <c r="BL282" i="122"/>
  <c r="AR282" i="122"/>
  <c r="AS282" i="122"/>
  <c r="AT282" i="122"/>
  <c r="AU282" i="122"/>
  <c r="AV282" i="122"/>
  <c r="AZ282" i="122"/>
  <c r="BK282" i="122"/>
  <c r="BM282" i="122"/>
  <c r="BN282" i="122"/>
  <c r="AP282" i="122"/>
  <c r="AS28" i="122"/>
  <c r="BM28" i="122"/>
  <c r="AL28" i="122"/>
  <c r="BG28" i="122"/>
  <c r="AM28" i="122"/>
  <c r="BH28" i="122"/>
  <c r="AN28" i="122"/>
  <c r="BI28" i="122"/>
  <c r="AO28" i="122"/>
  <c r="BJ28" i="122"/>
  <c r="AP28" i="122"/>
  <c r="BK28" i="122"/>
  <c r="AQ28" i="122"/>
  <c r="BL28" i="122"/>
  <c r="AR28" i="122"/>
  <c r="BN28" i="122"/>
  <c r="AV28" i="122"/>
  <c r="AX28" i="122"/>
  <c r="AU28" i="122"/>
  <c r="AW28" i="122"/>
  <c r="AZ28" i="122"/>
  <c r="BA28" i="122"/>
  <c r="BB28" i="122"/>
  <c r="BC28" i="122"/>
  <c r="BD28" i="122"/>
  <c r="BE28" i="122"/>
  <c r="BF28" i="122"/>
  <c r="AY28" i="122"/>
  <c r="AK28" i="122"/>
  <c r="AT28" i="122"/>
  <c r="AN61" i="122"/>
  <c r="BH61" i="122"/>
  <c r="AO61" i="122"/>
  <c r="BI61" i="122"/>
  <c r="AP61" i="122"/>
  <c r="BJ61" i="122"/>
  <c r="AR61" i="122"/>
  <c r="AS61" i="122"/>
  <c r="AT61" i="122"/>
  <c r="BN61" i="122"/>
  <c r="AU61" i="122"/>
  <c r="AV61" i="122"/>
  <c r="AZ61" i="122"/>
  <c r="BD61" i="122"/>
  <c r="BE61" i="122"/>
  <c r="BG61" i="122"/>
  <c r="BK61" i="122"/>
  <c r="BL61" i="122"/>
  <c r="BM61" i="122"/>
  <c r="AK61" i="122"/>
  <c r="AM61" i="122"/>
  <c r="AL61" i="122"/>
  <c r="AQ61" i="122"/>
  <c r="BF61" i="122"/>
  <c r="AW61" i="122"/>
  <c r="AX61" i="122"/>
  <c r="AY61" i="122"/>
  <c r="BA61" i="122"/>
  <c r="BB61" i="122"/>
  <c r="BC61" i="122"/>
  <c r="AS26" i="122"/>
  <c r="BM26" i="122"/>
  <c r="AX26" i="122"/>
  <c r="BA26" i="122"/>
  <c r="BG26" i="122"/>
  <c r="AK26" i="122"/>
  <c r="BH26" i="122"/>
  <c r="AL26" i="122"/>
  <c r="BI26" i="122"/>
  <c r="AM26" i="122"/>
  <c r="BJ26" i="122"/>
  <c r="AN26" i="122"/>
  <c r="BK26" i="122"/>
  <c r="AO26" i="122"/>
  <c r="BL26" i="122"/>
  <c r="AP26" i="122"/>
  <c r="BN26" i="122"/>
  <c r="AT26" i="122"/>
  <c r="AV26" i="122"/>
  <c r="AU26" i="122"/>
  <c r="AW26" i="122"/>
  <c r="AZ26" i="122"/>
  <c r="BB26" i="122"/>
  <c r="BC26" i="122"/>
  <c r="BD26" i="122"/>
  <c r="BE26" i="122"/>
  <c r="BF26" i="122"/>
  <c r="AY26" i="122"/>
  <c r="AQ26" i="122"/>
  <c r="AR26" i="122"/>
  <c r="BA147" i="122"/>
  <c r="AM143" i="122"/>
  <c r="BG143" i="122"/>
  <c r="AT143" i="122"/>
  <c r="BN143" i="122"/>
  <c r="AS143" i="122"/>
  <c r="AU143" i="122"/>
  <c r="AV143" i="122"/>
  <c r="AW143" i="122"/>
  <c r="AX143" i="122"/>
  <c r="AY143" i="122"/>
  <c r="AZ143" i="122"/>
  <c r="BA143" i="122"/>
  <c r="BB143" i="122"/>
  <c r="BC143" i="122"/>
  <c r="BD143" i="122"/>
  <c r="AQ143" i="122"/>
  <c r="BM143" i="122"/>
  <c r="AL88" i="122"/>
  <c r="BF88" i="122"/>
  <c r="AP88" i="122"/>
  <c r="BJ88" i="122"/>
  <c r="AQ88" i="122"/>
  <c r="BK88" i="122"/>
  <c r="AR88" i="122"/>
  <c r="BL88" i="122"/>
  <c r="AS88" i="122"/>
  <c r="AT88" i="122"/>
  <c r="AW88" i="122"/>
  <c r="AX88" i="122"/>
  <c r="BC88" i="122"/>
  <c r="BG88" i="122"/>
  <c r="BH88" i="122"/>
  <c r="BI88" i="122"/>
  <c r="BM88" i="122"/>
  <c r="BN88" i="122"/>
  <c r="AK88" i="122"/>
  <c r="BD88" i="122"/>
  <c r="AZ88" i="122"/>
  <c r="BA88" i="122"/>
  <c r="BB88" i="122"/>
  <c r="BE88" i="122"/>
  <c r="AO88" i="122"/>
  <c r="AU88" i="122"/>
  <c r="AY88" i="122"/>
  <c r="AM88" i="122"/>
  <c r="AN88" i="122"/>
  <c r="AV88" i="122"/>
  <c r="BC277" i="122"/>
  <c r="AX142" i="122"/>
  <c r="AK142" i="122"/>
  <c r="BF142" i="122"/>
  <c r="AR142" i="122"/>
  <c r="BM142" i="122"/>
  <c r="AT142" i="122"/>
  <c r="AV142" i="122"/>
  <c r="AY142" i="122"/>
  <c r="AZ142" i="122"/>
  <c r="BA142" i="122"/>
  <c r="BB142" i="122"/>
  <c r="BC142" i="122"/>
  <c r="BD142" i="122"/>
  <c r="BE142" i="122"/>
  <c r="BG142" i="122"/>
  <c r="BH142" i="122"/>
  <c r="BI142" i="122"/>
  <c r="BJ142" i="122"/>
  <c r="AU142" i="122"/>
  <c r="AX137" i="122"/>
  <c r="BD137" i="122"/>
  <c r="AL137" i="122"/>
  <c r="BF137" i="122"/>
  <c r="AP137" i="122"/>
  <c r="BM137" i="122"/>
  <c r="AQ137" i="122"/>
  <c r="BN137" i="122"/>
  <c r="AS137" i="122"/>
  <c r="AT137" i="122"/>
  <c r="AU137" i="122"/>
  <c r="AV137" i="122"/>
  <c r="AW137" i="122"/>
  <c r="AY137" i="122"/>
  <c r="AZ137" i="122"/>
  <c r="BA137" i="122"/>
  <c r="BC137" i="122"/>
  <c r="BK137" i="122"/>
  <c r="BL137" i="122"/>
  <c r="AN137" i="122"/>
  <c r="AK137" i="122"/>
  <c r="AM137" i="122"/>
  <c r="BI137" i="122"/>
  <c r="AX132" i="122"/>
  <c r="AY132" i="122"/>
  <c r="AZ132" i="122"/>
  <c r="BB132" i="122"/>
  <c r="BC132" i="122"/>
  <c r="BD132" i="122"/>
  <c r="AK132" i="122"/>
  <c r="BE132" i="122"/>
  <c r="AL132" i="122"/>
  <c r="BF132" i="122"/>
  <c r="AP132" i="122"/>
  <c r="BJ132" i="122"/>
  <c r="BK132" i="122"/>
  <c r="BL132" i="122"/>
  <c r="BN132" i="122"/>
  <c r="AM132" i="122"/>
  <c r="AN132" i="122"/>
  <c r="AO132" i="122"/>
  <c r="AQ132" i="122"/>
  <c r="AR132" i="122"/>
  <c r="AT132" i="122"/>
  <c r="BA132" i="122"/>
  <c r="AS132" i="122"/>
  <c r="AU132" i="122"/>
  <c r="AV132" i="122"/>
  <c r="AW132" i="122"/>
  <c r="AK127" i="122"/>
  <c r="BE127" i="122"/>
  <c r="AQ127" i="122"/>
  <c r="BK127" i="122"/>
  <c r="AS127" i="122"/>
  <c r="BM127" i="122"/>
  <c r="AO127" i="122"/>
  <c r="BN127" i="122"/>
  <c r="AP127" i="122"/>
  <c r="AR127" i="122"/>
  <c r="AT127" i="122"/>
  <c r="AU127" i="122"/>
  <c r="AV127" i="122"/>
  <c r="AW127" i="122"/>
  <c r="AX127" i="122"/>
  <c r="AY127" i="122"/>
  <c r="BC127" i="122"/>
  <c r="AL127" i="122"/>
  <c r="AM127" i="122"/>
  <c r="AN127" i="122"/>
  <c r="AZ127" i="122"/>
  <c r="BA127" i="122"/>
  <c r="BB127" i="122"/>
  <c r="BD127" i="122"/>
  <c r="BG127" i="122"/>
  <c r="BH127" i="122"/>
  <c r="BF127" i="122"/>
  <c r="AK122" i="122"/>
  <c r="BE122" i="122"/>
  <c r="AL122" i="122"/>
  <c r="BF122" i="122"/>
  <c r="AM122" i="122"/>
  <c r="BG122" i="122"/>
  <c r="AN122" i="122"/>
  <c r="BH122" i="122"/>
  <c r="AO122" i="122"/>
  <c r="BI122" i="122"/>
  <c r="AP122" i="122"/>
  <c r="BJ122" i="122"/>
  <c r="AQ122" i="122"/>
  <c r="BK122" i="122"/>
  <c r="AR122" i="122"/>
  <c r="BL122" i="122"/>
  <c r="AS122" i="122"/>
  <c r="BM122" i="122"/>
  <c r="AT122" i="122"/>
  <c r="BN122" i="122"/>
  <c r="AU122" i="122"/>
  <c r="BB122" i="122"/>
  <c r="BC122" i="122"/>
  <c r="BD122" i="122"/>
  <c r="AV122" i="122"/>
  <c r="AW122" i="122"/>
  <c r="AY122" i="122"/>
  <c r="BA122" i="122"/>
  <c r="AX122" i="122"/>
  <c r="AZ122" i="122"/>
  <c r="AX117" i="122"/>
  <c r="BC117" i="122"/>
  <c r="AK117" i="122"/>
  <c r="BE117" i="122"/>
  <c r="AL117" i="122"/>
  <c r="BF117" i="122"/>
  <c r="BD117" i="122"/>
  <c r="BG117" i="122"/>
  <c r="BH117" i="122"/>
  <c r="BI117" i="122"/>
  <c r="BJ117" i="122"/>
  <c r="AM117" i="122"/>
  <c r="BK117" i="122"/>
  <c r="AN117" i="122"/>
  <c r="BL117" i="122"/>
  <c r="AO117" i="122"/>
  <c r="BM117" i="122"/>
  <c r="AP117" i="122"/>
  <c r="BN117" i="122"/>
  <c r="AQ117" i="122"/>
  <c r="AR117" i="122"/>
  <c r="AS117" i="122"/>
  <c r="AT117" i="122"/>
  <c r="AU117" i="122"/>
  <c r="AV117" i="122"/>
  <c r="AW117" i="122"/>
  <c r="AY117" i="122"/>
  <c r="AZ117" i="122"/>
  <c r="BB117" i="122"/>
  <c r="BA117" i="122"/>
  <c r="AY112" i="122"/>
  <c r="BD112" i="122"/>
  <c r="BE112" i="122"/>
  <c r="AL112" i="122"/>
  <c r="BG112" i="122"/>
  <c r="AM112" i="122"/>
  <c r="BH112" i="122"/>
  <c r="AN112" i="122"/>
  <c r="BI112" i="122"/>
  <c r="AO112" i="122"/>
  <c r="BJ112" i="122"/>
  <c r="AP112" i="122"/>
  <c r="BK112" i="122"/>
  <c r="AQ112" i="122"/>
  <c r="BL112" i="122"/>
  <c r="AR112" i="122"/>
  <c r="BM112" i="122"/>
  <c r="AS112" i="122"/>
  <c r="BN112" i="122"/>
  <c r="AT112" i="122"/>
  <c r="AW112" i="122"/>
  <c r="AX112" i="122"/>
  <c r="AZ112" i="122"/>
  <c r="BA112" i="122"/>
  <c r="BB112" i="122"/>
  <c r="BC112" i="122"/>
  <c r="BF112" i="122"/>
  <c r="AK112" i="122"/>
  <c r="AV112" i="122"/>
  <c r="AY107" i="122"/>
  <c r="AZ107" i="122"/>
  <c r="BB107" i="122"/>
  <c r="BC107" i="122"/>
  <c r="BD107" i="122"/>
  <c r="AK107" i="122"/>
  <c r="BE107" i="122"/>
  <c r="AL107" i="122"/>
  <c r="BF107" i="122"/>
  <c r="AM107" i="122"/>
  <c r="BG107" i="122"/>
  <c r="AN107" i="122"/>
  <c r="BH107" i="122"/>
  <c r="AO107" i="122"/>
  <c r="BI107" i="122"/>
  <c r="AP107" i="122"/>
  <c r="AR107" i="122"/>
  <c r="AS107" i="122"/>
  <c r="AT107" i="122"/>
  <c r="AU107" i="122"/>
  <c r="AV107" i="122"/>
  <c r="AW107" i="122"/>
  <c r="AX107" i="122"/>
  <c r="BA107" i="122"/>
  <c r="BJ107" i="122"/>
  <c r="AQ107" i="122"/>
  <c r="BK107" i="122"/>
  <c r="BL107" i="122"/>
  <c r="BM107" i="122"/>
  <c r="BN107" i="122"/>
  <c r="BC102" i="122"/>
  <c r="AM102" i="122"/>
  <c r="BH102" i="122"/>
  <c r="AN102" i="122"/>
  <c r="AO102" i="122"/>
  <c r="BJ102" i="122"/>
  <c r="AP102" i="122"/>
  <c r="BK102" i="122"/>
  <c r="AQ102" i="122"/>
  <c r="BL102" i="122"/>
  <c r="AS102" i="122"/>
  <c r="BN102" i="122"/>
  <c r="AV102" i="122"/>
  <c r="AX102" i="122"/>
  <c r="BG102" i="122"/>
  <c r="BI102" i="122"/>
  <c r="AK102" i="122"/>
  <c r="AL102" i="122"/>
  <c r="AR102" i="122"/>
  <c r="AT102" i="122"/>
  <c r="BM102" i="122"/>
  <c r="AU102" i="122"/>
  <c r="AW102" i="122"/>
  <c r="AY102" i="122"/>
  <c r="AZ102" i="122"/>
  <c r="BA102" i="122"/>
  <c r="BB102" i="122"/>
  <c r="BD102" i="122"/>
  <c r="BE102" i="122"/>
  <c r="BF102" i="122"/>
  <c r="BC97" i="122"/>
  <c r="AN97" i="122"/>
  <c r="BH97" i="122"/>
  <c r="AQ97" i="122"/>
  <c r="BK97" i="122"/>
  <c r="AS97" i="122"/>
  <c r="AT97" i="122"/>
  <c r="AU97" i="122"/>
  <c r="AV97" i="122"/>
  <c r="AW97" i="122"/>
  <c r="AX97" i="122"/>
  <c r="AY97" i="122"/>
  <c r="BB97" i="122"/>
  <c r="BE97" i="122"/>
  <c r="BM97" i="122"/>
  <c r="BN97" i="122"/>
  <c r="AK97" i="122"/>
  <c r="AL97" i="122"/>
  <c r="AM97" i="122"/>
  <c r="AO97" i="122"/>
  <c r="AP97" i="122"/>
  <c r="AR97" i="122"/>
  <c r="BA97" i="122"/>
  <c r="BD97" i="122"/>
  <c r="BF97" i="122"/>
  <c r="BG97" i="122"/>
  <c r="BI97" i="122"/>
  <c r="BJ97" i="122"/>
  <c r="BL97" i="122"/>
  <c r="AZ97" i="122"/>
  <c r="AM92" i="122"/>
  <c r="BG92" i="122"/>
  <c r="AL92" i="122"/>
  <c r="BH92" i="122"/>
  <c r="AW92" i="122"/>
  <c r="AZ92" i="122"/>
  <c r="BA92" i="122"/>
  <c r="BB92" i="122"/>
  <c r="BC92" i="122"/>
  <c r="BD92" i="122"/>
  <c r="BE92" i="122"/>
  <c r="BF92" i="122"/>
  <c r="AK92" i="122"/>
  <c r="BI92" i="122"/>
  <c r="AN92" i="122"/>
  <c r="AO92" i="122"/>
  <c r="AP92" i="122"/>
  <c r="AQ92" i="122"/>
  <c r="AR92" i="122"/>
  <c r="AS92" i="122"/>
  <c r="AV92" i="122"/>
  <c r="AY92" i="122"/>
  <c r="AT92" i="122"/>
  <c r="AU92" i="122"/>
  <c r="AX92" i="122"/>
  <c r="BJ92" i="122"/>
  <c r="BK92" i="122"/>
  <c r="BL92" i="122"/>
  <c r="BM92" i="122"/>
  <c r="BN92" i="122"/>
  <c r="AL87" i="122"/>
  <c r="BF87" i="122"/>
  <c r="AP87" i="122"/>
  <c r="BJ87" i="122"/>
  <c r="AQ87" i="122"/>
  <c r="BK87" i="122"/>
  <c r="AR87" i="122"/>
  <c r="BL87" i="122"/>
  <c r="AK87" i="122"/>
  <c r="BM87" i="122"/>
  <c r="AM87" i="122"/>
  <c r="BN87" i="122"/>
  <c r="AO87" i="122"/>
  <c r="AS87" i="122"/>
  <c r="AT87" i="122"/>
  <c r="AU87" i="122"/>
  <c r="AY87" i="122"/>
  <c r="BB87" i="122"/>
  <c r="BC87" i="122"/>
  <c r="BD87" i="122"/>
  <c r="BE87" i="122"/>
  <c r="BG87" i="122"/>
  <c r="BI87" i="122"/>
  <c r="AN87" i="122"/>
  <c r="AV87" i="122"/>
  <c r="AW87" i="122"/>
  <c r="AX87" i="122"/>
  <c r="AZ87" i="122"/>
  <c r="BA87" i="122"/>
  <c r="BH87" i="122"/>
  <c r="AL82" i="122"/>
  <c r="BF82" i="122"/>
  <c r="AP82" i="122"/>
  <c r="BJ82" i="122"/>
  <c r="AQ82" i="122"/>
  <c r="BK82" i="122"/>
  <c r="AR82" i="122"/>
  <c r="BL82" i="122"/>
  <c r="AK82" i="122"/>
  <c r="BM82" i="122"/>
  <c r="AM82" i="122"/>
  <c r="BN82" i="122"/>
  <c r="AO82" i="122"/>
  <c r="AS82" i="122"/>
  <c r="AT82" i="122"/>
  <c r="AU82" i="122"/>
  <c r="AN82" i="122"/>
  <c r="AX82" i="122"/>
  <c r="AY82" i="122"/>
  <c r="AZ82" i="122"/>
  <c r="BA82" i="122"/>
  <c r="BB82" i="122"/>
  <c r="BD82" i="122"/>
  <c r="BE82" i="122"/>
  <c r="AV82" i="122"/>
  <c r="AW82" i="122"/>
  <c r="BC82" i="122"/>
  <c r="BG82" i="122"/>
  <c r="BH82" i="122"/>
  <c r="BI82" i="122"/>
  <c r="AL77" i="122"/>
  <c r="BF77" i="122"/>
  <c r="AP77" i="122"/>
  <c r="BJ77" i="122"/>
  <c r="AQ77" i="122"/>
  <c r="BK77" i="122"/>
  <c r="AR77" i="122"/>
  <c r="BL77" i="122"/>
  <c r="AV77" i="122"/>
  <c r="AW77" i="122"/>
  <c r="AX77" i="122"/>
  <c r="AY77" i="122"/>
  <c r="AZ77" i="122"/>
  <c r="BB77" i="122"/>
  <c r="BC77" i="122"/>
  <c r="BD77" i="122"/>
  <c r="BE77" i="122"/>
  <c r="AN77" i="122"/>
  <c r="AO77" i="122"/>
  <c r="AS77" i="122"/>
  <c r="AT77" i="122"/>
  <c r="AU77" i="122"/>
  <c r="BA77" i="122"/>
  <c r="BH77" i="122"/>
  <c r="BI77" i="122"/>
  <c r="AK77" i="122"/>
  <c r="BM77" i="122"/>
  <c r="BN77" i="122"/>
  <c r="AM77" i="122"/>
  <c r="BG77" i="122"/>
  <c r="BM290" i="122"/>
  <c r="AY74" i="122"/>
  <c r="AN145" i="122"/>
  <c r="BA144" i="122"/>
  <c r="BL287" i="122"/>
  <c r="BJ143" i="122"/>
  <c r="AQ215" i="122"/>
  <c r="AO70" i="122"/>
  <c r="AZ141" i="122"/>
  <c r="BA284" i="122"/>
  <c r="BC66" i="122"/>
  <c r="BJ137" i="122"/>
  <c r="AU277" i="122"/>
  <c r="BN59" i="122"/>
  <c r="AT196" i="122"/>
  <c r="AS171" i="122"/>
  <c r="BM171" i="122"/>
  <c r="BA171" i="122"/>
  <c r="AR171" i="122"/>
  <c r="AT171" i="122"/>
  <c r="AU171" i="122"/>
  <c r="AV171" i="122"/>
  <c r="AW171" i="122"/>
  <c r="AX171" i="122"/>
  <c r="AY171" i="122"/>
  <c r="BC171" i="122"/>
  <c r="BE171" i="122"/>
  <c r="BL171" i="122"/>
  <c r="BN171" i="122"/>
  <c r="AK171" i="122"/>
  <c r="AL171" i="122"/>
  <c r="AM171" i="122"/>
  <c r="AN171" i="122"/>
  <c r="AO171" i="122"/>
  <c r="AP171" i="122"/>
  <c r="AQ171" i="122"/>
  <c r="AZ171" i="122"/>
  <c r="BF171" i="122"/>
  <c r="BG171" i="122"/>
  <c r="BH171" i="122"/>
  <c r="BI171" i="122"/>
  <c r="BJ171" i="122"/>
  <c r="BK171" i="122"/>
  <c r="BB171" i="122"/>
  <c r="BD171" i="122"/>
  <c r="AL229" i="122"/>
  <c r="BF229" i="122"/>
  <c r="AP229" i="122"/>
  <c r="BJ229" i="122"/>
  <c r="AQ229" i="122"/>
  <c r="BK229" i="122"/>
  <c r="AR229" i="122"/>
  <c r="BL229" i="122"/>
  <c r="AS229" i="122"/>
  <c r="AT229" i="122"/>
  <c r="AV229" i="122"/>
  <c r="AW229" i="122"/>
  <c r="AX229" i="122"/>
  <c r="AY229" i="122"/>
  <c r="BA229" i="122"/>
  <c r="BD229" i="122"/>
  <c r="BE229" i="122"/>
  <c r="BG229" i="122"/>
  <c r="BH229" i="122"/>
  <c r="BI229" i="122"/>
  <c r="BN229" i="122"/>
  <c r="AK229" i="122"/>
  <c r="AM229" i="122"/>
  <c r="AN229" i="122"/>
  <c r="AO229" i="122"/>
  <c r="AU229" i="122"/>
  <c r="BB229" i="122"/>
  <c r="BC229" i="122"/>
  <c r="BM229" i="122"/>
  <c r="AZ229" i="122"/>
  <c r="BD63" i="122"/>
  <c r="BC104" i="122"/>
  <c r="BD104" i="122"/>
  <c r="AK104" i="122"/>
  <c r="BF104" i="122"/>
  <c r="AN104" i="122"/>
  <c r="BK104" i="122"/>
  <c r="AO104" i="122"/>
  <c r="BL104" i="122"/>
  <c r="AQ104" i="122"/>
  <c r="BN104" i="122"/>
  <c r="AR104" i="122"/>
  <c r="AS104" i="122"/>
  <c r="AT104" i="122"/>
  <c r="AU104" i="122"/>
  <c r="AV104" i="122"/>
  <c r="AW104" i="122"/>
  <c r="AX104" i="122"/>
  <c r="BM104" i="122"/>
  <c r="AL104" i="122"/>
  <c r="AM104" i="122"/>
  <c r="AP104" i="122"/>
  <c r="AY104" i="122"/>
  <c r="AZ104" i="122"/>
  <c r="BA104" i="122"/>
  <c r="BB104" i="122"/>
  <c r="BE104" i="122"/>
  <c r="BH104" i="122"/>
  <c r="BG104" i="122"/>
  <c r="BC147" i="122"/>
  <c r="BC247" i="122"/>
  <c r="AZ247" i="122"/>
  <c r="BB247" i="122"/>
  <c r="AY247" i="122"/>
  <c r="BA247" i="122"/>
  <c r="BE247" i="122"/>
  <c r="BF247" i="122"/>
  <c r="BG247" i="122"/>
  <c r="AK247" i="122"/>
  <c r="BH247" i="122"/>
  <c r="AL247" i="122"/>
  <c r="BI247" i="122"/>
  <c r="AM247" i="122"/>
  <c r="BJ247" i="122"/>
  <c r="AN247" i="122"/>
  <c r="BK247" i="122"/>
  <c r="AO247" i="122"/>
  <c r="BL247" i="122"/>
  <c r="AP247" i="122"/>
  <c r="AR247" i="122"/>
  <c r="AS247" i="122"/>
  <c r="AT247" i="122"/>
  <c r="AU247" i="122"/>
  <c r="AV247" i="122"/>
  <c r="AW247" i="122"/>
  <c r="AX247" i="122"/>
  <c r="BD247" i="122"/>
  <c r="BM247" i="122"/>
  <c r="AQ247" i="122"/>
  <c r="BN247" i="122"/>
  <c r="AW71" i="122"/>
  <c r="BD71" i="122"/>
  <c r="AL71" i="122"/>
  <c r="BH71" i="122"/>
  <c r="AM71" i="122"/>
  <c r="BI71" i="122"/>
  <c r="AN71" i="122"/>
  <c r="BJ71" i="122"/>
  <c r="AO71" i="122"/>
  <c r="BK71" i="122"/>
  <c r="AP71" i="122"/>
  <c r="BL71" i="122"/>
  <c r="AQ71" i="122"/>
  <c r="BM71" i="122"/>
  <c r="AR71" i="122"/>
  <c r="BN71" i="122"/>
  <c r="AS71" i="122"/>
  <c r="AT71" i="122"/>
  <c r="AU71" i="122"/>
  <c r="AV71" i="122"/>
  <c r="BF71" i="122"/>
  <c r="AS31" i="122"/>
  <c r="BM31" i="122"/>
  <c r="AN31" i="122"/>
  <c r="BI31" i="122"/>
  <c r="AP31" i="122"/>
  <c r="BK31" i="122"/>
  <c r="BF31" i="122"/>
  <c r="BG31" i="122"/>
  <c r="AL31" i="122"/>
  <c r="BJ31" i="122"/>
  <c r="AM31" i="122"/>
  <c r="BL31" i="122"/>
  <c r="AO31" i="122"/>
  <c r="BN31" i="122"/>
  <c r="AQ31" i="122"/>
  <c r="AR31" i="122"/>
  <c r="AT31" i="122"/>
  <c r="AU31" i="122"/>
  <c r="AV31" i="122"/>
  <c r="BH31" i="122"/>
  <c r="AK31" i="122"/>
  <c r="AW31" i="122"/>
  <c r="AX31" i="122"/>
  <c r="AY31" i="122"/>
  <c r="AZ31" i="122"/>
  <c r="BA31" i="122"/>
  <c r="BB31" i="122"/>
  <c r="BC31" i="122"/>
  <c r="BD31" i="122"/>
  <c r="BE31" i="122"/>
  <c r="AK123" i="122"/>
  <c r="BE123" i="122"/>
  <c r="AL123" i="122"/>
  <c r="BF123" i="122"/>
  <c r="AM123" i="122"/>
  <c r="BG123" i="122"/>
  <c r="AN123" i="122"/>
  <c r="BH123" i="122"/>
  <c r="AO123" i="122"/>
  <c r="BI123" i="122"/>
  <c r="AP123" i="122"/>
  <c r="BJ123" i="122"/>
  <c r="AQ123" i="122"/>
  <c r="BK123" i="122"/>
  <c r="AR123" i="122"/>
  <c r="BL123" i="122"/>
  <c r="AS123" i="122"/>
  <c r="BM123" i="122"/>
  <c r="AT123" i="122"/>
  <c r="BN123" i="122"/>
  <c r="AU123" i="122"/>
  <c r="AV123" i="122"/>
  <c r="AX123" i="122"/>
  <c r="AZ123" i="122"/>
  <c r="AY123" i="122"/>
  <c r="BA123" i="122"/>
  <c r="BB123" i="122"/>
  <c r="BC123" i="122"/>
  <c r="BD123" i="122"/>
  <c r="AS173" i="122"/>
  <c r="BM173" i="122"/>
  <c r="AO173" i="122"/>
  <c r="BJ173" i="122"/>
  <c r="AP173" i="122"/>
  <c r="BK173" i="122"/>
  <c r="AQ173" i="122"/>
  <c r="BL173" i="122"/>
  <c r="AR173" i="122"/>
  <c r="BN173" i="122"/>
  <c r="AT173" i="122"/>
  <c r="AU173" i="122"/>
  <c r="AV173" i="122"/>
  <c r="AY173" i="122"/>
  <c r="BA173" i="122"/>
  <c r="BG173" i="122"/>
  <c r="BH173" i="122"/>
  <c r="AK173" i="122"/>
  <c r="AL173" i="122"/>
  <c r="AM173" i="122"/>
  <c r="BI173" i="122"/>
  <c r="AN173" i="122"/>
  <c r="AW173" i="122"/>
  <c r="AX173" i="122"/>
  <c r="AZ173" i="122"/>
  <c r="BB173" i="122"/>
  <c r="BC173" i="122"/>
  <c r="BD173" i="122"/>
  <c r="BE173" i="122"/>
  <c r="BF173" i="122"/>
  <c r="BD145" i="122"/>
  <c r="AN214" i="122"/>
  <c r="BH214" i="122"/>
  <c r="AV214" i="122"/>
  <c r="AS214" i="122"/>
  <c r="BA214" i="122"/>
  <c r="BC214" i="122"/>
  <c r="BE214" i="122"/>
  <c r="AZ214" i="122"/>
  <c r="BB214" i="122"/>
  <c r="BD214" i="122"/>
  <c r="BF214" i="122"/>
  <c r="BG214" i="122"/>
  <c r="BI214" i="122"/>
  <c r="BJ214" i="122"/>
  <c r="BK214" i="122"/>
  <c r="AK214" i="122"/>
  <c r="BL214" i="122"/>
  <c r="AL214" i="122"/>
  <c r="BM214" i="122"/>
  <c r="AM214" i="122"/>
  <c r="BN214" i="122"/>
  <c r="AX214" i="122"/>
  <c r="AN209" i="122"/>
  <c r="BH209" i="122"/>
  <c r="AT209" i="122"/>
  <c r="BN209" i="122"/>
  <c r="AV209" i="122"/>
  <c r="AW209" i="122"/>
  <c r="AX209" i="122"/>
  <c r="AZ209" i="122"/>
  <c r="BA209" i="122"/>
  <c r="BB209" i="122"/>
  <c r="BC209" i="122"/>
  <c r="BD209" i="122"/>
  <c r="BE209" i="122"/>
  <c r="BF209" i="122"/>
  <c r="BG209" i="122"/>
  <c r="AL209" i="122"/>
  <c r="BJ209" i="122"/>
  <c r="AQ209" i="122"/>
  <c r="AR209" i="122"/>
  <c r="AS209" i="122"/>
  <c r="AU209" i="122"/>
  <c r="AY209" i="122"/>
  <c r="BI209" i="122"/>
  <c r="BK209" i="122"/>
  <c r="BL209" i="122"/>
  <c r="BM209" i="122"/>
  <c r="AO209" i="122"/>
  <c r="AU204" i="122"/>
  <c r="BA204" i="122"/>
  <c r="BC204" i="122"/>
  <c r="AK204" i="122"/>
  <c r="BH204" i="122"/>
  <c r="AL204" i="122"/>
  <c r="BI204" i="122"/>
  <c r="AM204" i="122"/>
  <c r="BJ204" i="122"/>
  <c r="AO204" i="122"/>
  <c r="BL204" i="122"/>
  <c r="AP204" i="122"/>
  <c r="BM204" i="122"/>
  <c r="AQ204" i="122"/>
  <c r="BN204" i="122"/>
  <c r="AR204" i="122"/>
  <c r="AS204" i="122"/>
  <c r="AX204" i="122"/>
  <c r="BB204" i="122"/>
  <c r="BD204" i="122"/>
  <c r="BF204" i="122"/>
  <c r="BG204" i="122"/>
  <c r="BK204" i="122"/>
  <c r="AN204" i="122"/>
  <c r="AT204" i="122"/>
  <c r="AV204" i="122"/>
  <c r="AW204" i="122"/>
  <c r="AY204" i="122"/>
  <c r="AZ204" i="122"/>
  <c r="BE204" i="122"/>
  <c r="AU199" i="122"/>
  <c r="BA199" i="122"/>
  <c r="BC199" i="122"/>
  <c r="AV199" i="122"/>
  <c r="AW199" i="122"/>
  <c r="AX199" i="122"/>
  <c r="AY199" i="122"/>
  <c r="AZ199" i="122"/>
  <c r="BB199" i="122"/>
  <c r="BD199" i="122"/>
  <c r="BE199" i="122"/>
  <c r="BF199" i="122"/>
  <c r="AK199" i="122"/>
  <c r="AM199" i="122"/>
  <c r="BJ199" i="122"/>
  <c r="BK199" i="122"/>
  <c r="BL199" i="122"/>
  <c r="BN199" i="122"/>
  <c r="AL199" i="122"/>
  <c r="AN199" i="122"/>
  <c r="AP199" i="122"/>
  <c r="AO199" i="122"/>
  <c r="AQ199" i="122"/>
  <c r="AR199" i="122"/>
  <c r="AS199" i="122"/>
  <c r="AT199" i="122"/>
  <c r="BG199" i="122"/>
  <c r="BH199" i="122"/>
  <c r="BI199" i="122"/>
  <c r="BM199" i="122"/>
  <c r="AU194" i="122"/>
  <c r="AV194" i="122"/>
  <c r="AW194" i="122"/>
  <c r="AX194" i="122"/>
  <c r="AY194" i="122"/>
  <c r="AZ194" i="122"/>
  <c r="BA194" i="122"/>
  <c r="BB194" i="122"/>
  <c r="BC194" i="122"/>
  <c r="BD194" i="122"/>
  <c r="AK194" i="122"/>
  <c r="BE194" i="122"/>
  <c r="AP194" i="122"/>
  <c r="AQ194" i="122"/>
  <c r="AR194" i="122"/>
  <c r="AS194" i="122"/>
  <c r="AT194" i="122"/>
  <c r="BF194" i="122"/>
  <c r="BG194" i="122"/>
  <c r="BH194" i="122"/>
  <c r="BI194" i="122"/>
  <c r="BK194" i="122"/>
  <c r="BM194" i="122"/>
  <c r="AM194" i="122"/>
  <c r="AN194" i="122"/>
  <c r="AO194" i="122"/>
  <c r="BJ194" i="122"/>
  <c r="BL194" i="122"/>
  <c r="BN194" i="122"/>
  <c r="AL194" i="122"/>
  <c r="AM189" i="122"/>
  <c r="AN189" i="122"/>
  <c r="BH189" i="122"/>
  <c r="AQ189" i="122"/>
  <c r="AR189" i="122"/>
  <c r="BL189" i="122"/>
  <c r="AS189" i="122"/>
  <c r="BM189" i="122"/>
  <c r="AU189" i="122"/>
  <c r="AV189" i="122"/>
  <c r="BG189" i="122"/>
  <c r="BI189" i="122"/>
  <c r="BJ189" i="122"/>
  <c r="BK189" i="122"/>
  <c r="BN189" i="122"/>
  <c r="AK189" i="122"/>
  <c r="AL189" i="122"/>
  <c r="AO189" i="122"/>
  <c r="AP189" i="122"/>
  <c r="AT189" i="122"/>
  <c r="AW189" i="122"/>
  <c r="BE189" i="122"/>
  <c r="BF189" i="122"/>
  <c r="AY189" i="122"/>
  <c r="BD189" i="122"/>
  <c r="BB189" i="122"/>
  <c r="AO184" i="122"/>
  <c r="BI184" i="122"/>
  <c r="AR184" i="122"/>
  <c r="BM184" i="122"/>
  <c r="AS184" i="122"/>
  <c r="BN184" i="122"/>
  <c r="AU184" i="122"/>
  <c r="AV184" i="122"/>
  <c r="AW184" i="122"/>
  <c r="AX184" i="122"/>
  <c r="AY184" i="122"/>
  <c r="AZ184" i="122"/>
  <c r="BA184" i="122"/>
  <c r="BB184" i="122"/>
  <c r="BC184" i="122"/>
  <c r="AK184" i="122"/>
  <c r="AL184" i="122"/>
  <c r="AM184" i="122"/>
  <c r="AN184" i="122"/>
  <c r="AP184" i="122"/>
  <c r="AQ184" i="122"/>
  <c r="AT184" i="122"/>
  <c r="BD184" i="122"/>
  <c r="BE184" i="122"/>
  <c r="BF184" i="122"/>
  <c r="BG184" i="122"/>
  <c r="BH184" i="122"/>
  <c r="BJ184" i="122"/>
  <c r="BL184" i="122"/>
  <c r="BK184" i="122"/>
  <c r="AO179" i="122"/>
  <c r="BI179" i="122"/>
  <c r="AP179" i="122"/>
  <c r="BJ179" i="122"/>
  <c r="AR179" i="122"/>
  <c r="BL179" i="122"/>
  <c r="AS179" i="122"/>
  <c r="BM179" i="122"/>
  <c r="AT179" i="122"/>
  <c r="BN179" i="122"/>
  <c r="AU179" i="122"/>
  <c r="AV179" i="122"/>
  <c r="AW179" i="122"/>
  <c r="AX179" i="122"/>
  <c r="AY179" i="122"/>
  <c r="BK179" i="122"/>
  <c r="AK179" i="122"/>
  <c r="AL179" i="122"/>
  <c r="AM179" i="122"/>
  <c r="AN179" i="122"/>
  <c r="AQ179" i="122"/>
  <c r="AZ179" i="122"/>
  <c r="BA179" i="122"/>
  <c r="BB179" i="122"/>
  <c r="BC179" i="122"/>
  <c r="BD179" i="122"/>
  <c r="BE179" i="122"/>
  <c r="BF179" i="122"/>
  <c r="BG179" i="122"/>
  <c r="BH179" i="122"/>
  <c r="AS174" i="122"/>
  <c r="BM174" i="122"/>
  <c r="AV174" i="122"/>
  <c r="AW174" i="122"/>
  <c r="AX174" i="122"/>
  <c r="AY174" i="122"/>
  <c r="AZ174" i="122"/>
  <c r="BA174" i="122"/>
  <c r="BB174" i="122"/>
  <c r="BE174" i="122"/>
  <c r="AL174" i="122"/>
  <c r="BG174" i="122"/>
  <c r="BF174" i="122"/>
  <c r="BH174" i="122"/>
  <c r="BJ174" i="122"/>
  <c r="BK174" i="122"/>
  <c r="BL174" i="122"/>
  <c r="BN174" i="122"/>
  <c r="AK174" i="122"/>
  <c r="AM174" i="122"/>
  <c r="AN174" i="122"/>
  <c r="AP174" i="122"/>
  <c r="AQ174" i="122"/>
  <c r="AR174" i="122"/>
  <c r="AT174" i="122"/>
  <c r="AU174" i="122"/>
  <c r="BC174" i="122"/>
  <c r="BD174" i="122"/>
  <c r="BI174" i="122"/>
  <c r="AO174" i="122"/>
  <c r="AS169" i="122"/>
  <c r="BM169" i="122"/>
  <c r="AX169" i="122"/>
  <c r="BA169" i="122"/>
  <c r="AY169" i="122"/>
  <c r="AZ169" i="122"/>
  <c r="BB169" i="122"/>
  <c r="BC169" i="122"/>
  <c r="BD169" i="122"/>
  <c r="BE169" i="122"/>
  <c r="BF169" i="122"/>
  <c r="AL169" i="122"/>
  <c r="BI169" i="122"/>
  <c r="AN169" i="122"/>
  <c r="BK169" i="122"/>
  <c r="AW169" i="122"/>
  <c r="BG169" i="122"/>
  <c r="BJ169" i="122"/>
  <c r="BL169" i="122"/>
  <c r="BN169" i="122"/>
  <c r="BH169" i="122"/>
  <c r="AK169" i="122"/>
  <c r="AR169" i="122"/>
  <c r="AT169" i="122"/>
  <c r="AU169" i="122"/>
  <c r="AV169" i="122"/>
  <c r="AM169" i="122"/>
  <c r="AO169" i="122"/>
  <c r="AP169" i="122"/>
  <c r="AQ169" i="122"/>
  <c r="AW164" i="122"/>
  <c r="AU164" i="122"/>
  <c r="BE164" i="122"/>
  <c r="AL164" i="122"/>
  <c r="BH164" i="122"/>
  <c r="AM164" i="122"/>
  <c r="BI164" i="122"/>
  <c r="AN164" i="122"/>
  <c r="BJ164" i="122"/>
  <c r="AO164" i="122"/>
  <c r="BK164" i="122"/>
  <c r="AP164" i="122"/>
  <c r="BL164" i="122"/>
  <c r="AQ164" i="122"/>
  <c r="BM164" i="122"/>
  <c r="AR164" i="122"/>
  <c r="BN164" i="122"/>
  <c r="AS164" i="122"/>
  <c r="BG164" i="122"/>
  <c r="AK164" i="122"/>
  <c r="AV164" i="122"/>
  <c r="BC164" i="122"/>
  <c r="BD164" i="122"/>
  <c r="BF164" i="122"/>
  <c r="AT164" i="122"/>
  <c r="AX164" i="122"/>
  <c r="AY164" i="122"/>
  <c r="BB164" i="122"/>
  <c r="AZ164" i="122"/>
  <c r="BA164" i="122"/>
  <c r="AV159" i="122"/>
  <c r="AZ159" i="122"/>
  <c r="BA159" i="122"/>
  <c r="BB159" i="122"/>
  <c r="AQ159" i="122"/>
  <c r="AR159" i="122"/>
  <c r="AT159" i="122"/>
  <c r="AU159" i="122"/>
  <c r="AW159" i="122"/>
  <c r="AX159" i="122"/>
  <c r="AO159" i="122"/>
  <c r="AY159" i="122"/>
  <c r="BC159" i="122"/>
  <c r="BD159" i="122"/>
  <c r="BE159" i="122"/>
  <c r="BF159" i="122"/>
  <c r="BH159" i="122"/>
  <c r="BI159" i="122"/>
  <c r="AP159" i="122"/>
  <c r="BJ159" i="122"/>
  <c r="BK159" i="122"/>
  <c r="BL159" i="122"/>
  <c r="BM159" i="122"/>
  <c r="BN159" i="122"/>
  <c r="AK159" i="122"/>
  <c r="AN159" i="122"/>
  <c r="BG159" i="122"/>
  <c r="AM159" i="122"/>
  <c r="AS159" i="122"/>
  <c r="AL159" i="122"/>
  <c r="AV154" i="122"/>
  <c r="AZ154" i="122"/>
  <c r="BA154" i="122"/>
  <c r="BB154" i="122"/>
  <c r="AQ154" i="122"/>
  <c r="AR154" i="122"/>
  <c r="AT154" i="122"/>
  <c r="AU154" i="122"/>
  <c r="AW154" i="122"/>
  <c r="AX154" i="122"/>
  <c r="AL154" i="122"/>
  <c r="BJ154" i="122"/>
  <c r="AM154" i="122"/>
  <c r="AN154" i="122"/>
  <c r="AO154" i="122"/>
  <c r="AP154" i="122"/>
  <c r="AS154" i="122"/>
  <c r="BC154" i="122"/>
  <c r="BD154" i="122"/>
  <c r="BF154" i="122"/>
  <c r="BI154" i="122"/>
  <c r="BK154" i="122"/>
  <c r="BL154" i="122"/>
  <c r="BM154" i="122"/>
  <c r="BN154" i="122"/>
  <c r="BG154" i="122"/>
  <c r="BH154" i="122"/>
  <c r="AK154" i="122"/>
  <c r="AY154" i="122"/>
  <c r="BE154" i="122"/>
  <c r="AV149" i="122"/>
  <c r="AZ149" i="122"/>
  <c r="BA149" i="122"/>
  <c r="BB149" i="122"/>
  <c r="AL149" i="122"/>
  <c r="BF149" i="122"/>
  <c r="AM149" i="122"/>
  <c r="BG149" i="122"/>
  <c r="AN149" i="122"/>
  <c r="BH149" i="122"/>
  <c r="AU149" i="122"/>
  <c r="AW149" i="122"/>
  <c r="AY149" i="122"/>
  <c r="BC149" i="122"/>
  <c r="BD149" i="122"/>
  <c r="BE149" i="122"/>
  <c r="AP149" i="122"/>
  <c r="BN149" i="122"/>
  <c r="AO149" i="122"/>
  <c r="AQ149" i="122"/>
  <c r="AK149" i="122"/>
  <c r="AR149" i="122"/>
  <c r="AS149" i="122"/>
  <c r="AT149" i="122"/>
  <c r="AX149" i="122"/>
  <c r="BK149" i="122"/>
  <c r="BM149" i="122"/>
  <c r="BJ149" i="122"/>
  <c r="BL149" i="122"/>
  <c r="BI149" i="122"/>
  <c r="AL80" i="122"/>
  <c r="BF80" i="122"/>
  <c r="AP80" i="122"/>
  <c r="BJ80" i="122"/>
  <c r="AQ80" i="122"/>
  <c r="BK80" i="122"/>
  <c r="AR80" i="122"/>
  <c r="BL80" i="122"/>
  <c r="AV80" i="122"/>
  <c r="AW80" i="122"/>
  <c r="AX80" i="122"/>
  <c r="AZ80" i="122"/>
  <c r="BA80" i="122"/>
  <c r="BB80" i="122"/>
  <c r="BC80" i="122"/>
  <c r="AN80" i="122"/>
  <c r="AS80" i="122"/>
  <c r="AY80" i="122"/>
  <c r="BD80" i="122"/>
  <c r="BE80" i="122"/>
  <c r="BG80" i="122"/>
  <c r="BH80" i="122"/>
  <c r="BM80" i="122"/>
  <c r="BN80" i="122"/>
  <c r="AK80" i="122"/>
  <c r="AM80" i="122"/>
  <c r="AO80" i="122"/>
  <c r="AT80" i="122"/>
  <c r="AU80" i="122"/>
  <c r="BI80" i="122"/>
  <c r="AY105" i="122"/>
  <c r="AZ105" i="122"/>
  <c r="BB105" i="122"/>
  <c r="BC105" i="122"/>
  <c r="BD105" i="122"/>
  <c r="AK105" i="122"/>
  <c r="BE105" i="122"/>
  <c r="AL105" i="122"/>
  <c r="BF105" i="122"/>
  <c r="AM105" i="122"/>
  <c r="BG105" i="122"/>
  <c r="AN105" i="122"/>
  <c r="BH105" i="122"/>
  <c r="AO105" i="122"/>
  <c r="BI105" i="122"/>
  <c r="AP105" i="122"/>
  <c r="AR105" i="122"/>
  <c r="AS105" i="122"/>
  <c r="AT105" i="122"/>
  <c r="AU105" i="122"/>
  <c r="AV105" i="122"/>
  <c r="AW105" i="122"/>
  <c r="AX105" i="122"/>
  <c r="BA105" i="122"/>
  <c r="BJ105" i="122"/>
  <c r="AQ105" i="122"/>
  <c r="BK105" i="122"/>
  <c r="BL105" i="122"/>
  <c r="BM105" i="122"/>
  <c r="BN105" i="122"/>
  <c r="AK130" i="122"/>
  <c r="BE130" i="122"/>
  <c r="AQ130" i="122"/>
  <c r="BK130" i="122"/>
  <c r="AS130" i="122"/>
  <c r="BM130" i="122"/>
  <c r="BF130" i="122"/>
  <c r="BG130" i="122"/>
  <c r="BH130" i="122"/>
  <c r="AL130" i="122"/>
  <c r="BI130" i="122"/>
  <c r="AM130" i="122"/>
  <c r="BJ130" i="122"/>
  <c r="AN130" i="122"/>
  <c r="BL130" i="122"/>
  <c r="AO130" i="122"/>
  <c r="BN130" i="122"/>
  <c r="AP130" i="122"/>
  <c r="AR130" i="122"/>
  <c r="AW130" i="122"/>
  <c r="AX130" i="122"/>
  <c r="AY130" i="122"/>
  <c r="BA130" i="122"/>
  <c r="BB130" i="122"/>
  <c r="BC130" i="122"/>
  <c r="BD130" i="122"/>
  <c r="AV130" i="122"/>
  <c r="AZ130" i="122"/>
  <c r="AT130" i="122"/>
  <c r="AM74" i="122"/>
  <c r="BD73" i="122"/>
  <c r="AL145" i="122"/>
  <c r="AZ144" i="122"/>
  <c r="AY287" i="122"/>
  <c r="BI143" i="122"/>
  <c r="BH286" i="122"/>
  <c r="AL70" i="122"/>
  <c r="AY141" i="122"/>
  <c r="BB66" i="122"/>
  <c r="BH137" i="122"/>
  <c r="BA208" i="122"/>
  <c r="AT277" i="122"/>
  <c r="BM59" i="122"/>
  <c r="BG54" i="122"/>
  <c r="AS196" i="122"/>
  <c r="AV13" i="122"/>
  <c r="AZ13" i="122"/>
  <c r="BA13" i="122"/>
  <c r="BB13" i="122"/>
  <c r="AU13" i="122"/>
  <c r="AW13" i="122"/>
  <c r="AY13" i="122"/>
  <c r="BC13" i="122"/>
  <c r="BD13" i="122"/>
  <c r="BE13" i="122"/>
  <c r="AQ13" i="122"/>
  <c r="AT13" i="122"/>
  <c r="AX13" i="122"/>
  <c r="BF13" i="122"/>
  <c r="BG13" i="122"/>
  <c r="BH13" i="122"/>
  <c r="BJ13" i="122"/>
  <c r="BK13" i="122"/>
  <c r="AR13" i="122"/>
  <c r="BL13" i="122"/>
  <c r="BM13" i="122"/>
  <c r="BN13" i="122"/>
  <c r="AK13" i="122"/>
  <c r="AL13" i="122"/>
  <c r="AM13" i="122"/>
  <c r="AN13" i="122"/>
  <c r="AO13" i="122"/>
  <c r="AP13" i="122"/>
  <c r="AS13" i="122"/>
  <c r="BI13" i="122"/>
  <c r="AX119" i="122"/>
  <c r="AS119" i="122"/>
  <c r="BN119" i="122"/>
  <c r="AT119" i="122"/>
  <c r="AU119" i="122"/>
  <c r="AV119" i="122"/>
  <c r="AW119" i="122"/>
  <c r="AY119" i="122"/>
  <c r="AZ119" i="122"/>
  <c r="BA119" i="122"/>
  <c r="BB119" i="122"/>
  <c r="BC119" i="122"/>
  <c r="BD119" i="122"/>
  <c r="AR119" i="122"/>
  <c r="BE119" i="122"/>
  <c r="BF119" i="122"/>
  <c r="BG119" i="122"/>
  <c r="BH119" i="122"/>
  <c r="BI119" i="122"/>
  <c r="BJ119" i="122"/>
  <c r="BK119" i="122"/>
  <c r="BL119" i="122"/>
  <c r="AO119" i="122"/>
  <c r="AP119" i="122"/>
  <c r="BM119" i="122"/>
  <c r="AN119" i="122"/>
  <c r="AQ119" i="122"/>
  <c r="AL119" i="122"/>
  <c r="AV158" i="122"/>
  <c r="AZ158" i="122"/>
  <c r="BA158" i="122"/>
  <c r="BB158" i="122"/>
  <c r="AM158" i="122"/>
  <c r="BK158" i="122"/>
  <c r="AN158" i="122"/>
  <c r="BL158" i="122"/>
  <c r="AP158" i="122"/>
  <c r="BN158" i="122"/>
  <c r="AQ158" i="122"/>
  <c r="AR158" i="122"/>
  <c r="AS158" i="122"/>
  <c r="BE158" i="122"/>
  <c r="BH158" i="122"/>
  <c r="BI158" i="122"/>
  <c r="BJ158" i="122"/>
  <c r="BM158" i="122"/>
  <c r="AK158" i="122"/>
  <c r="AX158" i="122"/>
  <c r="BD158" i="122"/>
  <c r="BF158" i="122"/>
  <c r="BG158" i="122"/>
  <c r="AL158" i="122"/>
  <c r="AO158" i="122"/>
  <c r="AT158" i="122"/>
  <c r="AU158" i="122"/>
  <c r="BC158" i="122"/>
  <c r="AW158" i="122"/>
  <c r="AY158" i="122"/>
  <c r="AK272" i="122"/>
  <c r="BE272" i="122"/>
  <c r="AQ272" i="122"/>
  <c r="BK272" i="122"/>
  <c r="AS272" i="122"/>
  <c r="BM272" i="122"/>
  <c r="AX272" i="122"/>
  <c r="AY272" i="122"/>
  <c r="AZ272" i="122"/>
  <c r="BA272" i="122"/>
  <c r="BB272" i="122"/>
  <c r="BC272" i="122"/>
  <c r="BD272" i="122"/>
  <c r="BF272" i="122"/>
  <c r="BG272" i="122"/>
  <c r="AN272" i="122"/>
  <c r="BL272" i="122"/>
  <c r="AO272" i="122"/>
  <c r="AP272" i="122"/>
  <c r="AT272" i="122"/>
  <c r="AU272" i="122"/>
  <c r="AV272" i="122"/>
  <c r="AW272" i="122"/>
  <c r="BH272" i="122"/>
  <c r="BI272" i="122"/>
  <c r="BJ272" i="122"/>
  <c r="BN272" i="122"/>
  <c r="AL272" i="122"/>
  <c r="AM272" i="122"/>
  <c r="AR272" i="122"/>
  <c r="AO36" i="122"/>
  <c r="BI36" i="122"/>
  <c r="AP36" i="122"/>
  <c r="BJ36" i="122"/>
  <c r="AR36" i="122"/>
  <c r="BL36" i="122"/>
  <c r="AS36" i="122"/>
  <c r="BM36" i="122"/>
  <c r="AT36" i="122"/>
  <c r="BN36" i="122"/>
  <c r="AU36" i="122"/>
  <c r="AV36" i="122"/>
  <c r="AW36" i="122"/>
  <c r="AX36" i="122"/>
  <c r="AY36" i="122"/>
  <c r="AQ36" i="122"/>
  <c r="AZ36" i="122"/>
  <c r="BB36" i="122"/>
  <c r="BC36" i="122"/>
  <c r="BD36" i="122"/>
  <c r="BE36" i="122"/>
  <c r="BF36" i="122"/>
  <c r="BG36" i="122"/>
  <c r="BH36" i="122"/>
  <c r="BK36" i="122"/>
  <c r="AK36" i="122"/>
  <c r="AL36" i="122"/>
  <c r="AM36" i="122"/>
  <c r="AN36" i="122"/>
  <c r="BA36" i="122"/>
  <c r="AY113" i="122"/>
  <c r="AO113" i="122"/>
  <c r="BJ113" i="122"/>
  <c r="AP113" i="122"/>
  <c r="BK113" i="122"/>
  <c r="AR113" i="122"/>
  <c r="BM113" i="122"/>
  <c r="AS113" i="122"/>
  <c r="BN113" i="122"/>
  <c r="AT113" i="122"/>
  <c r="AU113" i="122"/>
  <c r="AV113" i="122"/>
  <c r="AW113" i="122"/>
  <c r="AX113" i="122"/>
  <c r="AZ113" i="122"/>
  <c r="BA113" i="122"/>
  <c r="BL113" i="122"/>
  <c r="AK113" i="122"/>
  <c r="AL113" i="122"/>
  <c r="AM113" i="122"/>
  <c r="AN113" i="122"/>
  <c r="BG113" i="122"/>
  <c r="BH113" i="122"/>
  <c r="BI113" i="122"/>
  <c r="AQ113" i="122"/>
  <c r="BC113" i="122"/>
  <c r="BF113" i="122"/>
  <c r="BD113" i="122"/>
  <c r="AX290" i="122"/>
  <c r="AY290" i="122"/>
  <c r="AZ290" i="122"/>
  <c r="BA290" i="122"/>
  <c r="BB290" i="122"/>
  <c r="BC290" i="122"/>
  <c r="BD290" i="122"/>
  <c r="AK290" i="122"/>
  <c r="BE290" i="122"/>
  <c r="AL290" i="122"/>
  <c r="BF290" i="122"/>
  <c r="AM290" i="122"/>
  <c r="BG290" i="122"/>
  <c r="AN290" i="122"/>
  <c r="BH290" i="122"/>
  <c r="AV290" i="122"/>
  <c r="AX285" i="122"/>
  <c r="AL285" i="122"/>
  <c r="BF285" i="122"/>
  <c r="BA285" i="122"/>
  <c r="AM285" i="122"/>
  <c r="BI285" i="122"/>
  <c r="AO285" i="122"/>
  <c r="BK285" i="122"/>
  <c r="AQ285" i="122"/>
  <c r="BM285" i="122"/>
  <c r="BC285" i="122"/>
  <c r="BD285" i="122"/>
  <c r="BE285" i="122"/>
  <c r="BG285" i="122"/>
  <c r="BH285" i="122"/>
  <c r="BJ285" i="122"/>
  <c r="BL285" i="122"/>
  <c r="BN285" i="122"/>
  <c r="AK285" i="122"/>
  <c r="AN285" i="122"/>
  <c r="AP285" i="122"/>
  <c r="AZ285" i="122"/>
  <c r="AX280" i="122"/>
  <c r="BD280" i="122"/>
  <c r="AL280" i="122"/>
  <c r="BF280" i="122"/>
  <c r="BB280" i="122"/>
  <c r="BC280" i="122"/>
  <c r="BG280" i="122"/>
  <c r="BH280" i="122"/>
  <c r="AK280" i="122"/>
  <c r="BI280" i="122"/>
  <c r="AM280" i="122"/>
  <c r="BJ280" i="122"/>
  <c r="AN280" i="122"/>
  <c r="BK280" i="122"/>
  <c r="AO280" i="122"/>
  <c r="BL280" i="122"/>
  <c r="AP280" i="122"/>
  <c r="BM280" i="122"/>
  <c r="AQ280" i="122"/>
  <c r="BN280" i="122"/>
  <c r="AS280" i="122"/>
  <c r="AW280" i="122"/>
  <c r="AR280" i="122"/>
  <c r="AT280" i="122"/>
  <c r="AU280" i="122"/>
  <c r="AV280" i="122"/>
  <c r="AK275" i="122"/>
  <c r="BE275" i="122"/>
  <c r="AQ275" i="122"/>
  <c r="BK275" i="122"/>
  <c r="AS275" i="122"/>
  <c r="BM275" i="122"/>
  <c r="AP275" i="122"/>
  <c r="AR275" i="122"/>
  <c r="AT275" i="122"/>
  <c r="AV275" i="122"/>
  <c r="AW275" i="122"/>
  <c r="AX275" i="122"/>
  <c r="AY275" i="122"/>
  <c r="AZ275" i="122"/>
  <c r="BD275" i="122"/>
  <c r="AM275" i="122"/>
  <c r="AN275" i="122"/>
  <c r="AU275" i="122"/>
  <c r="BA275" i="122"/>
  <c r="BB275" i="122"/>
  <c r="BC275" i="122"/>
  <c r="BF275" i="122"/>
  <c r="BG275" i="122"/>
  <c r="BH275" i="122"/>
  <c r="BI275" i="122"/>
  <c r="BL275" i="122"/>
  <c r="BJ275" i="122"/>
  <c r="AK270" i="122"/>
  <c r="BE270" i="122"/>
  <c r="AQ270" i="122"/>
  <c r="BK270" i="122"/>
  <c r="AS270" i="122"/>
  <c r="BM270" i="122"/>
  <c r="BB270" i="122"/>
  <c r="BC270" i="122"/>
  <c r="BD270" i="122"/>
  <c r="BF270" i="122"/>
  <c r="BG270" i="122"/>
  <c r="BH270" i="122"/>
  <c r="AL270" i="122"/>
  <c r="BI270" i="122"/>
  <c r="AM270" i="122"/>
  <c r="BJ270" i="122"/>
  <c r="AN270" i="122"/>
  <c r="BL270" i="122"/>
  <c r="AP270" i="122"/>
  <c r="AT270" i="122"/>
  <c r="AR270" i="122"/>
  <c r="AU270" i="122"/>
  <c r="AW270" i="122"/>
  <c r="AX270" i="122"/>
  <c r="AY270" i="122"/>
  <c r="AZ270" i="122"/>
  <c r="BA270" i="122"/>
  <c r="BN270" i="122"/>
  <c r="AV270" i="122"/>
  <c r="AK265" i="122"/>
  <c r="BE265" i="122"/>
  <c r="AL265" i="122"/>
  <c r="BF265" i="122"/>
  <c r="AM265" i="122"/>
  <c r="BG265" i="122"/>
  <c r="AN265" i="122"/>
  <c r="BH265" i="122"/>
  <c r="AO265" i="122"/>
  <c r="BI265" i="122"/>
  <c r="AP265" i="122"/>
  <c r="BJ265" i="122"/>
  <c r="AQ265" i="122"/>
  <c r="BK265" i="122"/>
  <c r="AR265" i="122"/>
  <c r="BL265" i="122"/>
  <c r="AS265" i="122"/>
  <c r="BM265" i="122"/>
  <c r="AT265" i="122"/>
  <c r="BN265" i="122"/>
  <c r="AU265" i="122"/>
  <c r="AV265" i="122"/>
  <c r="AW265" i="122"/>
  <c r="AY265" i="122"/>
  <c r="BA265" i="122"/>
  <c r="BC265" i="122"/>
  <c r="BD265" i="122"/>
  <c r="AX265" i="122"/>
  <c r="AZ265" i="122"/>
  <c r="BB265" i="122"/>
  <c r="AW260" i="122"/>
  <c r="AX260" i="122"/>
  <c r="BA260" i="122"/>
  <c r="BB260" i="122"/>
  <c r="BC260" i="122"/>
  <c r="AK260" i="122"/>
  <c r="BE260" i="122"/>
  <c r="AL260" i="122"/>
  <c r="BF260" i="122"/>
  <c r="BJ260" i="122"/>
  <c r="BK260" i="122"/>
  <c r="BL260" i="122"/>
  <c r="BM260" i="122"/>
  <c r="AM260" i="122"/>
  <c r="BN260" i="122"/>
  <c r="AN260" i="122"/>
  <c r="AO260" i="122"/>
  <c r="AP260" i="122"/>
  <c r="AQ260" i="122"/>
  <c r="AR260" i="122"/>
  <c r="AS260" i="122"/>
  <c r="AT260" i="122"/>
  <c r="AU260" i="122"/>
  <c r="AV260" i="122"/>
  <c r="AY260" i="122"/>
  <c r="AZ260" i="122"/>
  <c r="BG260" i="122"/>
  <c r="BI260" i="122"/>
  <c r="BD260" i="122"/>
  <c r="BH260" i="122"/>
  <c r="AY255" i="122"/>
  <c r="BA255" i="122"/>
  <c r="BB255" i="122"/>
  <c r="BD255" i="122"/>
  <c r="BE255" i="122"/>
  <c r="AK255" i="122"/>
  <c r="BF255" i="122"/>
  <c r="AL255" i="122"/>
  <c r="BG255" i="122"/>
  <c r="AM255" i="122"/>
  <c r="BH255" i="122"/>
  <c r="AN255" i="122"/>
  <c r="BI255" i="122"/>
  <c r="AO255" i="122"/>
  <c r="BJ255" i="122"/>
  <c r="AP255" i="122"/>
  <c r="BK255" i="122"/>
  <c r="AQ255" i="122"/>
  <c r="BL255" i="122"/>
  <c r="BM255" i="122"/>
  <c r="BN255" i="122"/>
  <c r="AT255" i="122"/>
  <c r="AU255" i="122"/>
  <c r="AV255" i="122"/>
  <c r="AW255" i="122"/>
  <c r="AX255" i="122"/>
  <c r="AZ255" i="122"/>
  <c r="BC255" i="122"/>
  <c r="AY250" i="122"/>
  <c r="AZ250" i="122"/>
  <c r="BB250" i="122"/>
  <c r="BC250" i="122"/>
  <c r="BD250" i="122"/>
  <c r="AK250" i="122"/>
  <c r="BE250" i="122"/>
  <c r="AL250" i="122"/>
  <c r="BF250" i="122"/>
  <c r="AM250" i="122"/>
  <c r="BG250" i="122"/>
  <c r="AN250" i="122"/>
  <c r="BH250" i="122"/>
  <c r="AO250" i="122"/>
  <c r="BI250" i="122"/>
  <c r="BA250" i="122"/>
  <c r="BJ250" i="122"/>
  <c r="BL250" i="122"/>
  <c r="BM250" i="122"/>
  <c r="BN250" i="122"/>
  <c r="AP250" i="122"/>
  <c r="AT250" i="122"/>
  <c r="AU250" i="122"/>
  <c r="AV250" i="122"/>
  <c r="AW250" i="122"/>
  <c r="AX250" i="122"/>
  <c r="BK250" i="122"/>
  <c r="AQ250" i="122"/>
  <c r="AR250" i="122"/>
  <c r="AS250" i="122"/>
  <c r="BC245" i="122"/>
  <c r="BE245" i="122"/>
  <c r="AK245" i="122"/>
  <c r="BF245" i="122"/>
  <c r="AL245" i="122"/>
  <c r="BG245" i="122"/>
  <c r="AM245" i="122"/>
  <c r="BH245" i="122"/>
  <c r="AN245" i="122"/>
  <c r="BI245" i="122"/>
  <c r="AO245" i="122"/>
  <c r="BJ245" i="122"/>
  <c r="AP245" i="122"/>
  <c r="BK245" i="122"/>
  <c r="AS245" i="122"/>
  <c r="BN245" i="122"/>
  <c r="AU245" i="122"/>
  <c r="AW245" i="122"/>
  <c r="AX245" i="122"/>
  <c r="AZ245" i="122"/>
  <c r="BA245" i="122"/>
  <c r="BB245" i="122"/>
  <c r="BD245" i="122"/>
  <c r="BL245" i="122"/>
  <c r="BM245" i="122"/>
  <c r="AY245" i="122"/>
  <c r="AT245" i="122"/>
  <c r="AV245" i="122"/>
  <c r="AQ245" i="122"/>
  <c r="AR245" i="122"/>
  <c r="BC240" i="122"/>
  <c r="AN240" i="122"/>
  <c r="BH240" i="122"/>
  <c r="AQ240" i="122"/>
  <c r="BK240" i="122"/>
  <c r="BE240" i="122"/>
  <c r="BF240" i="122"/>
  <c r="BG240" i="122"/>
  <c r="AK240" i="122"/>
  <c r="BI240" i="122"/>
  <c r="AL240" i="122"/>
  <c r="BJ240" i="122"/>
  <c r="AM240" i="122"/>
  <c r="BL240" i="122"/>
  <c r="AO240" i="122"/>
  <c r="BM240" i="122"/>
  <c r="AS240" i="122"/>
  <c r="AU240" i="122"/>
  <c r="AR240" i="122"/>
  <c r="AT240" i="122"/>
  <c r="AW240" i="122"/>
  <c r="AX240" i="122"/>
  <c r="AY240" i="122"/>
  <c r="AZ240" i="122"/>
  <c r="BA240" i="122"/>
  <c r="BB240" i="122"/>
  <c r="BD240" i="122"/>
  <c r="BN240" i="122"/>
  <c r="AP240" i="122"/>
  <c r="AV240" i="122"/>
  <c r="AM235" i="122"/>
  <c r="BG235" i="122"/>
  <c r="BD235" i="122"/>
  <c r="AQ235" i="122"/>
  <c r="BM235" i="122"/>
  <c r="AT235" i="122"/>
  <c r="AU235" i="122"/>
  <c r="AV235" i="122"/>
  <c r="AW235" i="122"/>
  <c r="AX235" i="122"/>
  <c r="AY235" i="122"/>
  <c r="AZ235" i="122"/>
  <c r="BA235" i="122"/>
  <c r="BC235" i="122"/>
  <c r="BE235" i="122"/>
  <c r="BF235" i="122"/>
  <c r="BH235" i="122"/>
  <c r="BI235" i="122"/>
  <c r="BJ235" i="122"/>
  <c r="BK235" i="122"/>
  <c r="AK235" i="122"/>
  <c r="AL235" i="122"/>
  <c r="AN235" i="122"/>
  <c r="AO235" i="122"/>
  <c r="AP235" i="122"/>
  <c r="AR235" i="122"/>
  <c r="AS235" i="122"/>
  <c r="BB235" i="122"/>
  <c r="BL235" i="122"/>
  <c r="BN235" i="122"/>
  <c r="AL230" i="122"/>
  <c r="BF230" i="122"/>
  <c r="AP230" i="122"/>
  <c r="BJ230" i="122"/>
  <c r="AQ230" i="122"/>
  <c r="BK230" i="122"/>
  <c r="AR230" i="122"/>
  <c r="BL230" i="122"/>
  <c r="AW230" i="122"/>
  <c r="AX230" i="122"/>
  <c r="AZ230" i="122"/>
  <c r="BA230" i="122"/>
  <c r="BB230" i="122"/>
  <c r="BC230" i="122"/>
  <c r="AK230" i="122"/>
  <c r="AO230" i="122"/>
  <c r="AS230" i="122"/>
  <c r="AT230" i="122"/>
  <c r="AU230" i="122"/>
  <c r="AV230" i="122"/>
  <c r="BD230" i="122"/>
  <c r="BE230" i="122"/>
  <c r="AM230" i="122"/>
  <c r="AN230" i="122"/>
  <c r="AY230" i="122"/>
  <c r="BG230" i="122"/>
  <c r="BH230" i="122"/>
  <c r="BI230" i="122"/>
  <c r="BM230" i="122"/>
  <c r="BN230" i="122"/>
  <c r="AL225" i="122"/>
  <c r="BF225" i="122"/>
  <c r="AP225" i="122"/>
  <c r="BJ225" i="122"/>
  <c r="AQ225" i="122"/>
  <c r="BK225" i="122"/>
  <c r="AR225" i="122"/>
  <c r="BL225" i="122"/>
  <c r="AW225" i="122"/>
  <c r="AX225" i="122"/>
  <c r="AZ225" i="122"/>
  <c r="BA225" i="122"/>
  <c r="BB225" i="122"/>
  <c r="BC225" i="122"/>
  <c r="AO225" i="122"/>
  <c r="BM225" i="122"/>
  <c r="AK225" i="122"/>
  <c r="AN225" i="122"/>
  <c r="AS225" i="122"/>
  <c r="AM225" i="122"/>
  <c r="AT225" i="122"/>
  <c r="AU225" i="122"/>
  <c r="AV225" i="122"/>
  <c r="AY225" i="122"/>
  <c r="BD225" i="122"/>
  <c r="BG225" i="122"/>
  <c r="BH225" i="122"/>
  <c r="BN225" i="122"/>
  <c r="BE225" i="122"/>
  <c r="BI225" i="122"/>
  <c r="AL220" i="122"/>
  <c r="BF220" i="122"/>
  <c r="AP220" i="122"/>
  <c r="BJ220" i="122"/>
  <c r="AQ220" i="122"/>
  <c r="BK220" i="122"/>
  <c r="AR220" i="122"/>
  <c r="BL220" i="122"/>
  <c r="AV220" i="122"/>
  <c r="AW220" i="122"/>
  <c r="AX220" i="122"/>
  <c r="AU220" i="122"/>
  <c r="AY220" i="122"/>
  <c r="BA220" i="122"/>
  <c r="BB220" i="122"/>
  <c r="BC220" i="122"/>
  <c r="BD220" i="122"/>
  <c r="AM220" i="122"/>
  <c r="AT220" i="122"/>
  <c r="BG220" i="122"/>
  <c r="BH220" i="122"/>
  <c r="BI220" i="122"/>
  <c r="BM220" i="122"/>
  <c r="BN220" i="122"/>
  <c r="AK220" i="122"/>
  <c r="AN220" i="122"/>
  <c r="AO220" i="122"/>
  <c r="AS220" i="122"/>
  <c r="AZ220" i="122"/>
  <c r="BE220" i="122"/>
  <c r="BK290" i="122"/>
  <c r="BB73" i="122"/>
  <c r="AY144" i="122"/>
  <c r="AW287" i="122"/>
  <c r="BH143" i="122"/>
  <c r="BE286" i="122"/>
  <c r="BN142" i="122"/>
  <c r="AY285" i="122"/>
  <c r="AW141" i="122"/>
  <c r="BL139" i="122"/>
  <c r="BA66" i="122"/>
  <c r="BG137" i="122"/>
  <c r="AW208" i="122"/>
  <c r="AR196" i="122"/>
  <c r="BF262" i="122"/>
  <c r="AX135" i="122"/>
  <c r="BD135" i="122"/>
  <c r="AL135" i="122"/>
  <c r="BF135" i="122"/>
  <c r="AT135" i="122"/>
  <c r="AU135" i="122"/>
  <c r="AW135" i="122"/>
  <c r="AY135" i="122"/>
  <c r="AZ135" i="122"/>
  <c r="BA135" i="122"/>
  <c r="BB135" i="122"/>
  <c r="BC135" i="122"/>
  <c r="BE135" i="122"/>
  <c r="BG135" i="122"/>
  <c r="AK135" i="122"/>
  <c r="BI135" i="122"/>
  <c r="AQ135" i="122"/>
  <c r="AR135" i="122"/>
  <c r="AS135" i="122"/>
  <c r="AV135" i="122"/>
  <c r="BH135" i="122"/>
  <c r="BJ135" i="122"/>
  <c r="BK135" i="122"/>
  <c r="BL135" i="122"/>
  <c r="BM135" i="122"/>
  <c r="BN135" i="122"/>
  <c r="AO135" i="122"/>
  <c r="BF147" i="122"/>
  <c r="AY114" i="122"/>
  <c r="AU114" i="122"/>
  <c r="AV114" i="122"/>
  <c r="AX114" i="122"/>
  <c r="AZ114" i="122"/>
  <c r="BA114" i="122"/>
  <c r="BB114" i="122"/>
  <c r="BC114" i="122"/>
  <c r="BD114" i="122"/>
  <c r="BE114" i="122"/>
  <c r="AK114" i="122"/>
  <c r="BF114" i="122"/>
  <c r="AL114" i="122"/>
  <c r="BG114" i="122"/>
  <c r="AP114" i="122"/>
  <c r="AQ114" i="122"/>
  <c r="AR114" i="122"/>
  <c r="AS114" i="122"/>
  <c r="AT114" i="122"/>
  <c r="AW114" i="122"/>
  <c r="BH114" i="122"/>
  <c r="BI114" i="122"/>
  <c r="BJ114" i="122"/>
  <c r="BK114" i="122"/>
  <c r="BL114" i="122"/>
  <c r="AO114" i="122"/>
  <c r="BM114" i="122"/>
  <c r="BN114" i="122"/>
  <c r="AN114" i="122"/>
  <c r="AM114" i="122"/>
  <c r="AP237" i="122"/>
  <c r="BJ237" i="122"/>
  <c r="AN237" i="122"/>
  <c r="BI237" i="122"/>
  <c r="AR237" i="122"/>
  <c r="BM237" i="122"/>
  <c r="AS237" i="122"/>
  <c r="BN237" i="122"/>
  <c r="AT237" i="122"/>
  <c r="AU237" i="122"/>
  <c r="AV237" i="122"/>
  <c r="AW237" i="122"/>
  <c r="AX237" i="122"/>
  <c r="AY237" i="122"/>
  <c r="AZ237" i="122"/>
  <c r="BA237" i="122"/>
  <c r="BB237" i="122"/>
  <c r="BC237" i="122"/>
  <c r="BD237" i="122"/>
  <c r="BE237" i="122"/>
  <c r="BF237" i="122"/>
  <c r="BK237" i="122"/>
  <c r="BL237" i="122"/>
  <c r="AK237" i="122"/>
  <c r="AL237" i="122"/>
  <c r="AM237" i="122"/>
  <c r="AO237" i="122"/>
  <c r="AQ237" i="122"/>
  <c r="BG237" i="122"/>
  <c r="BH237" i="122"/>
  <c r="AK269" i="122"/>
  <c r="BE269" i="122"/>
  <c r="AQ269" i="122"/>
  <c r="BK269" i="122"/>
  <c r="AS269" i="122"/>
  <c r="BM269" i="122"/>
  <c r="BD269" i="122"/>
  <c r="BF269" i="122"/>
  <c r="BG269" i="122"/>
  <c r="BH269" i="122"/>
  <c r="AL269" i="122"/>
  <c r="BI269" i="122"/>
  <c r="AM269" i="122"/>
  <c r="BJ269" i="122"/>
  <c r="AN269" i="122"/>
  <c r="BL269" i="122"/>
  <c r="AO269" i="122"/>
  <c r="BN269" i="122"/>
  <c r="AP269" i="122"/>
  <c r="AT269" i="122"/>
  <c r="AV269" i="122"/>
  <c r="BA269" i="122"/>
  <c r="BB269" i="122"/>
  <c r="AY269" i="122"/>
  <c r="AZ269" i="122"/>
  <c r="BC269" i="122"/>
  <c r="AW269" i="122"/>
  <c r="AK128" i="122"/>
  <c r="BE128" i="122"/>
  <c r="AQ128" i="122"/>
  <c r="BK128" i="122"/>
  <c r="AS128" i="122"/>
  <c r="BM128" i="122"/>
  <c r="AM128" i="122"/>
  <c r="BJ128" i="122"/>
  <c r="AN128" i="122"/>
  <c r="BL128" i="122"/>
  <c r="AO128" i="122"/>
  <c r="BN128" i="122"/>
  <c r="AP128" i="122"/>
  <c r="AR128" i="122"/>
  <c r="AT128" i="122"/>
  <c r="AU128" i="122"/>
  <c r="AV128" i="122"/>
  <c r="AW128" i="122"/>
  <c r="BA128" i="122"/>
  <c r="BB128" i="122"/>
  <c r="BC128" i="122"/>
  <c r="BF128" i="122"/>
  <c r="BG128" i="122"/>
  <c r="BH128" i="122"/>
  <c r="BI128" i="122"/>
  <c r="BC98" i="122"/>
  <c r="AN98" i="122"/>
  <c r="BH98" i="122"/>
  <c r="AQ98" i="122"/>
  <c r="BK98" i="122"/>
  <c r="AP98" i="122"/>
  <c r="BN98" i="122"/>
  <c r="AR98" i="122"/>
  <c r="AS98" i="122"/>
  <c r="AT98" i="122"/>
  <c r="AU98" i="122"/>
  <c r="AV98" i="122"/>
  <c r="AW98" i="122"/>
  <c r="AZ98" i="122"/>
  <c r="BB98" i="122"/>
  <c r="AK98" i="122"/>
  <c r="AL98" i="122"/>
  <c r="AM98" i="122"/>
  <c r="AO98" i="122"/>
  <c r="AX98" i="122"/>
  <c r="AY98" i="122"/>
  <c r="BA98" i="122"/>
  <c r="BD98" i="122"/>
  <c r="BE98" i="122"/>
  <c r="BF98" i="122"/>
  <c r="BG98" i="122"/>
  <c r="BI98" i="122"/>
  <c r="BJ98" i="122"/>
  <c r="BL98" i="122"/>
  <c r="BM98" i="122"/>
  <c r="AZ147" i="122"/>
  <c r="AX71" i="122"/>
  <c r="AN74" i="122"/>
  <c r="BH74" i="122"/>
  <c r="AO74" i="122"/>
  <c r="BI74" i="122"/>
  <c r="AP74" i="122"/>
  <c r="BJ74" i="122"/>
  <c r="AQ74" i="122"/>
  <c r="BK74" i="122"/>
  <c r="AR74" i="122"/>
  <c r="BL74" i="122"/>
  <c r="AS74" i="122"/>
  <c r="BM74" i="122"/>
  <c r="AT74" i="122"/>
  <c r="BN74" i="122"/>
  <c r="AU74" i="122"/>
  <c r="AV74" i="122"/>
  <c r="AW74" i="122"/>
  <c r="AX74" i="122"/>
  <c r="AL74" i="122"/>
  <c r="BF74" i="122"/>
  <c r="AN69" i="122"/>
  <c r="BH69" i="122"/>
  <c r="AV69" i="122"/>
  <c r="AL69" i="122"/>
  <c r="BI69" i="122"/>
  <c r="AT69" i="122"/>
  <c r="AW69" i="122"/>
  <c r="AY69" i="122"/>
  <c r="BE69" i="122"/>
  <c r="BF69" i="122"/>
  <c r="BG69" i="122"/>
  <c r="BJ69" i="122"/>
  <c r="BK69" i="122"/>
  <c r="BL69" i="122"/>
  <c r="AK69" i="122"/>
  <c r="BM69" i="122"/>
  <c r="AM69" i="122"/>
  <c r="BN69" i="122"/>
  <c r="AO69" i="122"/>
  <c r="AP69" i="122"/>
  <c r="AQ69" i="122"/>
  <c r="BC69" i="122"/>
  <c r="AN64" i="122"/>
  <c r="BH64" i="122"/>
  <c r="AT64" i="122"/>
  <c r="BN64" i="122"/>
  <c r="AV64" i="122"/>
  <c r="AK64" i="122"/>
  <c r="BI64" i="122"/>
  <c r="AL64" i="122"/>
  <c r="BJ64" i="122"/>
  <c r="AO64" i="122"/>
  <c r="BL64" i="122"/>
  <c r="AP64" i="122"/>
  <c r="BM64" i="122"/>
  <c r="AQ64" i="122"/>
  <c r="AR64" i="122"/>
  <c r="AS64" i="122"/>
  <c r="AU64" i="122"/>
  <c r="AW64" i="122"/>
  <c r="AX64" i="122"/>
  <c r="AZ64" i="122"/>
  <c r="BB64" i="122"/>
  <c r="BC64" i="122"/>
  <c r="BD64" i="122"/>
  <c r="BE64" i="122"/>
  <c r="BF64" i="122"/>
  <c r="BG64" i="122"/>
  <c r="BK64" i="122"/>
  <c r="AY64" i="122"/>
  <c r="AU59" i="122"/>
  <c r="BA59" i="122"/>
  <c r="BC59" i="122"/>
  <c r="AW59" i="122"/>
  <c r="AX59" i="122"/>
  <c r="AY59" i="122"/>
  <c r="BB59" i="122"/>
  <c r="BD59" i="122"/>
  <c r="BE59" i="122"/>
  <c r="BF59" i="122"/>
  <c r="BG59" i="122"/>
  <c r="AN59" i="122"/>
  <c r="BK59" i="122"/>
  <c r="AL59" i="122"/>
  <c r="AM59" i="122"/>
  <c r="AO59" i="122"/>
  <c r="AP59" i="122"/>
  <c r="AQ59" i="122"/>
  <c r="AR59" i="122"/>
  <c r="AS59" i="122"/>
  <c r="AT59" i="122"/>
  <c r="AZ59" i="122"/>
  <c r="BI59" i="122"/>
  <c r="AK59" i="122"/>
  <c r="AV59" i="122"/>
  <c r="BH59" i="122"/>
  <c r="AU54" i="122"/>
  <c r="BA54" i="122"/>
  <c r="BC54" i="122"/>
  <c r="AL54" i="122"/>
  <c r="BI54" i="122"/>
  <c r="AM54" i="122"/>
  <c r="BJ54" i="122"/>
  <c r="AN54" i="122"/>
  <c r="BK54" i="122"/>
  <c r="AO54" i="122"/>
  <c r="BL54" i="122"/>
  <c r="AP54" i="122"/>
  <c r="BM54" i="122"/>
  <c r="AQ54" i="122"/>
  <c r="BN54" i="122"/>
  <c r="AR54" i="122"/>
  <c r="AS54" i="122"/>
  <c r="AT54" i="122"/>
  <c r="AW54" i="122"/>
  <c r="AY54" i="122"/>
  <c r="AK54" i="122"/>
  <c r="AV54" i="122"/>
  <c r="AZ54" i="122"/>
  <c r="BH54" i="122"/>
  <c r="AU49" i="122"/>
  <c r="AV49" i="122"/>
  <c r="AW49" i="122"/>
  <c r="AX49" i="122"/>
  <c r="AY49" i="122"/>
  <c r="AZ49" i="122"/>
  <c r="BA49" i="122"/>
  <c r="BB49" i="122"/>
  <c r="BC49" i="122"/>
  <c r="BD49" i="122"/>
  <c r="AK49" i="122"/>
  <c r="BE49" i="122"/>
  <c r="BH49" i="122"/>
  <c r="BI49" i="122"/>
  <c r="BJ49" i="122"/>
  <c r="BK49" i="122"/>
  <c r="BL49" i="122"/>
  <c r="BM49" i="122"/>
  <c r="BN49" i="122"/>
  <c r="AM49" i="122"/>
  <c r="AO49" i="122"/>
  <c r="AL49" i="122"/>
  <c r="AN49" i="122"/>
  <c r="AP49" i="122"/>
  <c r="AR49" i="122"/>
  <c r="AQ49" i="122"/>
  <c r="AS49" i="122"/>
  <c r="AT49" i="122"/>
  <c r="BF49" i="122"/>
  <c r="BG49" i="122"/>
  <c r="AM44" i="122"/>
  <c r="BG44" i="122"/>
  <c r="AN44" i="122"/>
  <c r="BH44" i="122"/>
  <c r="AP44" i="122"/>
  <c r="AQ44" i="122"/>
  <c r="BK44" i="122"/>
  <c r="AR44" i="122"/>
  <c r="BL44" i="122"/>
  <c r="AS44" i="122"/>
  <c r="BM44" i="122"/>
  <c r="AT44" i="122"/>
  <c r="BN44" i="122"/>
  <c r="AU44" i="122"/>
  <c r="AV44" i="122"/>
  <c r="AX44" i="122"/>
  <c r="BE44" i="122"/>
  <c r="BF44" i="122"/>
  <c r="BI44" i="122"/>
  <c r="BJ44" i="122"/>
  <c r="AK44" i="122"/>
  <c r="BA44" i="122"/>
  <c r="BB44" i="122"/>
  <c r="BC44" i="122"/>
  <c r="BD44" i="122"/>
  <c r="AL44" i="122"/>
  <c r="AO44" i="122"/>
  <c r="AW44" i="122"/>
  <c r="AY44" i="122"/>
  <c r="AZ44" i="122"/>
  <c r="AO39" i="122"/>
  <c r="BI39" i="122"/>
  <c r="AN39" i="122"/>
  <c r="BJ39" i="122"/>
  <c r="AP39" i="122"/>
  <c r="BK39" i="122"/>
  <c r="AR39" i="122"/>
  <c r="BM39" i="122"/>
  <c r="AS39" i="122"/>
  <c r="BN39" i="122"/>
  <c r="AT39" i="122"/>
  <c r="AU39" i="122"/>
  <c r="AV39" i="122"/>
  <c r="AW39" i="122"/>
  <c r="AX39" i="122"/>
  <c r="AY39" i="122"/>
  <c r="AZ39" i="122"/>
  <c r="AM39" i="122"/>
  <c r="AQ39" i="122"/>
  <c r="BA39" i="122"/>
  <c r="BB39" i="122"/>
  <c r="BC39" i="122"/>
  <c r="BD39" i="122"/>
  <c r="BE39" i="122"/>
  <c r="BF39" i="122"/>
  <c r="BG39" i="122"/>
  <c r="BH39" i="122"/>
  <c r="BL39" i="122"/>
  <c r="AO34" i="122"/>
  <c r="BI34" i="122"/>
  <c r="AP34" i="122"/>
  <c r="BJ34" i="122"/>
  <c r="AR34" i="122"/>
  <c r="BL34" i="122"/>
  <c r="AS34" i="122"/>
  <c r="BM34" i="122"/>
  <c r="AT34" i="122"/>
  <c r="BN34" i="122"/>
  <c r="AU34" i="122"/>
  <c r="AV34" i="122"/>
  <c r="AW34" i="122"/>
  <c r="AX34" i="122"/>
  <c r="AY34" i="122"/>
  <c r="AQ34" i="122"/>
  <c r="AZ34" i="122"/>
  <c r="BB34" i="122"/>
  <c r="BC34" i="122"/>
  <c r="BD34" i="122"/>
  <c r="BE34" i="122"/>
  <c r="BF34" i="122"/>
  <c r="BG34" i="122"/>
  <c r="BH34" i="122"/>
  <c r="BK34" i="122"/>
  <c r="AK34" i="122"/>
  <c r="AL34" i="122"/>
  <c r="AM34" i="122"/>
  <c r="AN34" i="122"/>
  <c r="BA34" i="122"/>
  <c r="AS29" i="122"/>
  <c r="BM29" i="122"/>
  <c r="AR29" i="122"/>
  <c r="BN29" i="122"/>
  <c r="AT29" i="122"/>
  <c r="AU29" i="122"/>
  <c r="AV29" i="122"/>
  <c r="AW29" i="122"/>
  <c r="AX29" i="122"/>
  <c r="AY29" i="122"/>
  <c r="BB29" i="122"/>
  <c r="BD29" i="122"/>
  <c r="AM29" i="122"/>
  <c r="AN29" i="122"/>
  <c r="AP29" i="122"/>
  <c r="AQ29" i="122"/>
  <c r="AZ29" i="122"/>
  <c r="BA29" i="122"/>
  <c r="BC29" i="122"/>
  <c r="BE29" i="122"/>
  <c r="BF29" i="122"/>
  <c r="BG29" i="122"/>
  <c r="AK29" i="122"/>
  <c r="AL29" i="122"/>
  <c r="AO29" i="122"/>
  <c r="BH29" i="122"/>
  <c r="BI29" i="122"/>
  <c r="BJ29" i="122"/>
  <c r="BK29" i="122"/>
  <c r="BL29" i="122"/>
  <c r="AS24" i="122"/>
  <c r="BM24" i="122"/>
  <c r="AX24" i="122"/>
  <c r="BA24" i="122"/>
  <c r="AN24" i="122"/>
  <c r="BK24" i="122"/>
  <c r="AO24" i="122"/>
  <c r="BL24" i="122"/>
  <c r="AP24" i="122"/>
  <c r="BN24" i="122"/>
  <c r="AQ24" i="122"/>
  <c r="AR24" i="122"/>
  <c r="AT24" i="122"/>
  <c r="AU24" i="122"/>
  <c r="AY24" i="122"/>
  <c r="BB24" i="122"/>
  <c r="AK24" i="122"/>
  <c r="AL24" i="122"/>
  <c r="AM24" i="122"/>
  <c r="AV24" i="122"/>
  <c r="AW24" i="122"/>
  <c r="AZ24" i="122"/>
  <c r="BC24" i="122"/>
  <c r="BE24" i="122"/>
  <c r="BF24" i="122"/>
  <c r="BG24" i="122"/>
  <c r="BH24" i="122"/>
  <c r="BI24" i="122"/>
  <c r="BJ24" i="122"/>
  <c r="BD24" i="122"/>
  <c r="AW19" i="122"/>
  <c r="AR19" i="122"/>
  <c r="BM19" i="122"/>
  <c r="AY19" i="122"/>
  <c r="BB19" i="122"/>
  <c r="BC19" i="122"/>
  <c r="BD19" i="122"/>
  <c r="BE19" i="122"/>
  <c r="BF19" i="122"/>
  <c r="AK19" i="122"/>
  <c r="BG19" i="122"/>
  <c r="AL19" i="122"/>
  <c r="BH19" i="122"/>
  <c r="AM19" i="122"/>
  <c r="BI19" i="122"/>
  <c r="AQ19" i="122"/>
  <c r="AS19" i="122"/>
  <c r="AT19" i="122"/>
  <c r="AU19" i="122"/>
  <c r="AV19" i="122"/>
  <c r="AX19" i="122"/>
  <c r="AZ19" i="122"/>
  <c r="BK19" i="122"/>
  <c r="BN19" i="122"/>
  <c r="AP19" i="122"/>
  <c r="BA19" i="122"/>
  <c r="BL19" i="122"/>
  <c r="AN19" i="122"/>
  <c r="AO19" i="122"/>
  <c r="BJ19" i="122"/>
  <c r="AV14" i="122"/>
  <c r="AZ14" i="122"/>
  <c r="BA14" i="122"/>
  <c r="BB14" i="122"/>
  <c r="BC14" i="122"/>
  <c r="BD14" i="122"/>
  <c r="BF14" i="122"/>
  <c r="BG14" i="122"/>
  <c r="BH14" i="122"/>
  <c r="AK14" i="122"/>
  <c r="BI14" i="122"/>
  <c r="AN14" i="122"/>
  <c r="AO14" i="122"/>
  <c r="AP14" i="122"/>
  <c r="AQ14" i="122"/>
  <c r="AR14" i="122"/>
  <c r="AT14" i="122"/>
  <c r="AU14" i="122"/>
  <c r="AX14" i="122"/>
  <c r="BJ14" i="122"/>
  <c r="BK14" i="122"/>
  <c r="BL14" i="122"/>
  <c r="BM14" i="122"/>
  <c r="BN14" i="122"/>
  <c r="BE14" i="122"/>
  <c r="AW14" i="122"/>
  <c r="AY14" i="122"/>
  <c r="AL14" i="122"/>
  <c r="AM14" i="122"/>
  <c r="AS14" i="122"/>
  <c r="AV9" i="122"/>
  <c r="AZ9" i="122"/>
  <c r="BA9" i="122"/>
  <c r="BB9" i="122"/>
  <c r="BC9" i="122"/>
  <c r="BD9" i="122"/>
  <c r="BF9" i="122"/>
  <c r="BG9" i="122"/>
  <c r="BH9" i="122"/>
  <c r="AK9" i="122"/>
  <c r="BI9" i="122"/>
  <c r="AT9" i="122"/>
  <c r="AY9" i="122"/>
  <c r="BK9" i="122"/>
  <c r="BL9" i="122"/>
  <c r="BM9" i="122"/>
  <c r="BN9" i="122"/>
  <c r="AL9" i="122"/>
  <c r="AM9" i="122"/>
  <c r="AS9" i="122"/>
  <c r="AX9" i="122"/>
  <c r="BE9" i="122"/>
  <c r="BJ9" i="122"/>
  <c r="AN9" i="122"/>
  <c r="AO9" i="122"/>
  <c r="AP9" i="122"/>
  <c r="AU9" i="122"/>
  <c r="AQ9" i="122"/>
  <c r="AR9" i="122"/>
  <c r="AW9" i="122"/>
  <c r="AV4" i="122"/>
  <c r="AZ4" i="122"/>
  <c r="BA4" i="122"/>
  <c r="BB4" i="122"/>
  <c r="AL4" i="122"/>
  <c r="BF4" i="122"/>
  <c r="AM4" i="122"/>
  <c r="BG4" i="122"/>
  <c r="AN4" i="122"/>
  <c r="BH4" i="122"/>
  <c r="AT4" i="122"/>
  <c r="AU4" i="122"/>
  <c r="AX4" i="122"/>
  <c r="AY4" i="122"/>
  <c r="BC4" i="122"/>
  <c r="BD4" i="122"/>
  <c r="AO4" i="122"/>
  <c r="AK4" i="122"/>
  <c r="AP4" i="122"/>
  <c r="AQ4" i="122"/>
  <c r="AR4" i="122"/>
  <c r="AS4" i="122"/>
  <c r="BE4" i="122"/>
  <c r="BI4" i="122"/>
  <c r="BK4" i="122"/>
  <c r="BN4" i="122"/>
  <c r="BJ4" i="122"/>
  <c r="BL4" i="122"/>
  <c r="BM4" i="122"/>
  <c r="AW4" i="122"/>
  <c r="AL224" i="122"/>
  <c r="BF224" i="122"/>
  <c r="AP224" i="122"/>
  <c r="BJ224" i="122"/>
  <c r="AQ224" i="122"/>
  <c r="BK224" i="122"/>
  <c r="AR224" i="122"/>
  <c r="BL224" i="122"/>
  <c r="AV224" i="122"/>
  <c r="AN224" i="122"/>
  <c r="AO224" i="122"/>
  <c r="AT224" i="122"/>
  <c r="AU224" i="122"/>
  <c r="AW224" i="122"/>
  <c r="AX224" i="122"/>
  <c r="BH224" i="122"/>
  <c r="BN224" i="122"/>
  <c r="AK224" i="122"/>
  <c r="AS224" i="122"/>
  <c r="AY224" i="122"/>
  <c r="AM224" i="122"/>
  <c r="AZ224" i="122"/>
  <c r="BB224" i="122"/>
  <c r="BA224" i="122"/>
  <c r="BC224" i="122"/>
  <c r="BD224" i="122"/>
  <c r="BE224" i="122"/>
  <c r="BG224" i="122"/>
  <c r="BM224" i="122"/>
  <c r="BI224" i="122"/>
  <c r="AY249" i="122"/>
  <c r="AZ249" i="122"/>
  <c r="BB249" i="122"/>
  <c r="BC249" i="122"/>
  <c r="BD249" i="122"/>
  <c r="AK249" i="122"/>
  <c r="BE249" i="122"/>
  <c r="AL249" i="122"/>
  <c r="BF249" i="122"/>
  <c r="AM249" i="122"/>
  <c r="BG249" i="122"/>
  <c r="AN249" i="122"/>
  <c r="BH249" i="122"/>
  <c r="AO249" i="122"/>
  <c r="BI249" i="122"/>
  <c r="BA249" i="122"/>
  <c r="BJ249" i="122"/>
  <c r="BL249" i="122"/>
  <c r="BM249" i="122"/>
  <c r="BN249" i="122"/>
  <c r="AP249" i="122"/>
  <c r="AQ249" i="122"/>
  <c r="AR249" i="122"/>
  <c r="AS249" i="122"/>
  <c r="AT249" i="122"/>
  <c r="AU249" i="122"/>
  <c r="AV249" i="122"/>
  <c r="AW249" i="122"/>
  <c r="AX249" i="122"/>
  <c r="BK249" i="122"/>
  <c r="AK274" i="122"/>
  <c r="BE274" i="122"/>
  <c r="AQ274" i="122"/>
  <c r="BK274" i="122"/>
  <c r="AS274" i="122"/>
  <c r="BM274" i="122"/>
  <c r="AT274" i="122"/>
  <c r="AU274" i="122"/>
  <c r="AV274" i="122"/>
  <c r="AX274" i="122"/>
  <c r="AY274" i="122"/>
  <c r="AZ274" i="122"/>
  <c r="BA274" i="122"/>
  <c r="BB274" i="122"/>
  <c r="BG274" i="122"/>
  <c r="AM274" i="122"/>
  <c r="AN274" i="122"/>
  <c r="AO274" i="122"/>
  <c r="AP274" i="122"/>
  <c r="AR274" i="122"/>
  <c r="AW274" i="122"/>
  <c r="BC274" i="122"/>
  <c r="BD274" i="122"/>
  <c r="BH274" i="122"/>
  <c r="BF274" i="122"/>
  <c r="AL274" i="122"/>
  <c r="BJ290" i="122"/>
  <c r="BA73" i="122"/>
  <c r="AX144" i="122"/>
  <c r="AV287" i="122"/>
  <c r="BF143" i="122"/>
  <c r="BD286" i="122"/>
  <c r="BL142" i="122"/>
  <c r="AW285" i="122"/>
  <c r="BK139" i="122"/>
  <c r="AZ66" i="122"/>
  <c r="BE137" i="122"/>
  <c r="AU208" i="122"/>
  <c r="AS133" i="122"/>
  <c r="BJ59" i="122"/>
  <c r="BE54" i="122"/>
  <c r="AW123" i="122"/>
  <c r="AX134" i="122"/>
  <c r="BD134" i="122"/>
  <c r="AL134" i="122"/>
  <c r="BF134" i="122"/>
  <c r="AV134" i="122"/>
  <c r="AW134" i="122"/>
  <c r="AZ134" i="122"/>
  <c r="BA134" i="122"/>
  <c r="BB134" i="122"/>
  <c r="BC134" i="122"/>
  <c r="BE134" i="122"/>
  <c r="BG134" i="122"/>
  <c r="BH134" i="122"/>
  <c r="AK134" i="122"/>
  <c r="BI134" i="122"/>
  <c r="AN134" i="122"/>
  <c r="BK134" i="122"/>
  <c r="BL134" i="122"/>
  <c r="BM134" i="122"/>
  <c r="BN134" i="122"/>
  <c r="AO134" i="122"/>
  <c r="AM134" i="122"/>
  <c r="AY134" i="122"/>
  <c r="AL89" i="122"/>
  <c r="AR89" i="122"/>
  <c r="AK89" i="122"/>
  <c r="BG89" i="122"/>
  <c r="AN89" i="122"/>
  <c r="BJ89" i="122"/>
  <c r="AQ89" i="122"/>
  <c r="BM89" i="122"/>
  <c r="AS89" i="122"/>
  <c r="BN89" i="122"/>
  <c r="AT89" i="122"/>
  <c r="AU89" i="122"/>
  <c r="AV89" i="122"/>
  <c r="AX89" i="122"/>
  <c r="BF89" i="122"/>
  <c r="BK89" i="122"/>
  <c r="BL89" i="122"/>
  <c r="AM89" i="122"/>
  <c r="AO89" i="122"/>
  <c r="AY89" i="122"/>
  <c r="BA89" i="122"/>
  <c r="BD89" i="122"/>
  <c r="BE89" i="122"/>
  <c r="BI89" i="122"/>
  <c r="BH89" i="122"/>
  <c r="AP89" i="122"/>
  <c r="AW89" i="122"/>
  <c r="BB89" i="122"/>
  <c r="AZ89" i="122"/>
  <c r="BC89" i="122"/>
  <c r="AV148" i="122"/>
  <c r="AZ148" i="122"/>
  <c r="BA148" i="122"/>
  <c r="BB148" i="122"/>
  <c r="AL148" i="122"/>
  <c r="BF148" i="122"/>
  <c r="AM148" i="122"/>
  <c r="BG148" i="122"/>
  <c r="AN148" i="122"/>
  <c r="BH148" i="122"/>
  <c r="AS148" i="122"/>
  <c r="AT148" i="122"/>
  <c r="AW148" i="122"/>
  <c r="AX148" i="122"/>
  <c r="AY148" i="122"/>
  <c r="BC148" i="122"/>
  <c r="AK148" i="122"/>
  <c r="AQ148" i="122"/>
  <c r="BD148" i="122"/>
  <c r="BE148" i="122"/>
  <c r="BI148" i="122"/>
  <c r="BJ148" i="122"/>
  <c r="BK148" i="122"/>
  <c r="BM148" i="122"/>
  <c r="BN148" i="122"/>
  <c r="AP148" i="122"/>
  <c r="AR148" i="122"/>
  <c r="AU148" i="122"/>
  <c r="BL148" i="122"/>
  <c r="AO148" i="122"/>
  <c r="AR134" i="122"/>
  <c r="AX262" i="122"/>
  <c r="BC262" i="122"/>
  <c r="AN262" i="122"/>
  <c r="BJ262" i="122"/>
  <c r="AO262" i="122"/>
  <c r="BK262" i="122"/>
  <c r="AP262" i="122"/>
  <c r="BL262" i="122"/>
  <c r="AQ262" i="122"/>
  <c r="BM262" i="122"/>
  <c r="AR262" i="122"/>
  <c r="BN262" i="122"/>
  <c r="AS262" i="122"/>
  <c r="AT262" i="122"/>
  <c r="AU262" i="122"/>
  <c r="AV262" i="122"/>
  <c r="AW262" i="122"/>
  <c r="AY262" i="122"/>
  <c r="BG262" i="122"/>
  <c r="BH262" i="122"/>
  <c r="BI262" i="122"/>
  <c r="AL262" i="122"/>
  <c r="AK262" i="122"/>
  <c r="AM262" i="122"/>
  <c r="AZ262" i="122"/>
  <c r="BA262" i="122"/>
  <c r="BB262" i="122"/>
  <c r="BE262" i="122"/>
  <c r="AQ134" i="122"/>
  <c r="AO41" i="122"/>
  <c r="BI41" i="122"/>
  <c r="BA41" i="122"/>
  <c r="BB41" i="122"/>
  <c r="BD41" i="122"/>
  <c r="BE41" i="122"/>
  <c r="AK41" i="122"/>
  <c r="BF41" i="122"/>
  <c r="AL41" i="122"/>
  <c r="BG41" i="122"/>
  <c r="AM41" i="122"/>
  <c r="BH41" i="122"/>
  <c r="AN41" i="122"/>
  <c r="BJ41" i="122"/>
  <c r="AP41" i="122"/>
  <c r="BK41" i="122"/>
  <c r="AQ41" i="122"/>
  <c r="BL41" i="122"/>
  <c r="AR41" i="122"/>
  <c r="BM41" i="122"/>
  <c r="AS41" i="122"/>
  <c r="AT41" i="122"/>
  <c r="AU41" i="122"/>
  <c r="AV41" i="122"/>
  <c r="AW41" i="122"/>
  <c r="AX41" i="122"/>
  <c r="AY41" i="122"/>
  <c r="AZ41" i="122"/>
  <c r="BC41" i="122"/>
  <c r="BN41" i="122"/>
  <c r="BC103" i="122"/>
  <c r="AW103" i="122"/>
  <c r="AY103" i="122"/>
  <c r="AP103" i="122"/>
  <c r="BM103" i="122"/>
  <c r="AQ103" i="122"/>
  <c r="BN103" i="122"/>
  <c r="AS103" i="122"/>
  <c r="AT103" i="122"/>
  <c r="AU103" i="122"/>
  <c r="AV103" i="122"/>
  <c r="AX103" i="122"/>
  <c r="AZ103" i="122"/>
  <c r="BA103" i="122"/>
  <c r="BB103" i="122"/>
  <c r="AR103" i="122"/>
  <c r="BD103" i="122"/>
  <c r="BF103" i="122"/>
  <c r="BG103" i="122"/>
  <c r="BH103" i="122"/>
  <c r="BI103" i="122"/>
  <c r="BJ103" i="122"/>
  <c r="BK103" i="122"/>
  <c r="BL103" i="122"/>
  <c r="AK103" i="122"/>
  <c r="AL103" i="122"/>
  <c r="AM103" i="122"/>
  <c r="AN103" i="122"/>
  <c r="AO103" i="122"/>
  <c r="BE103" i="122"/>
  <c r="AN135" i="122"/>
  <c r="AX146" i="122"/>
  <c r="AY146" i="122"/>
  <c r="AZ146" i="122"/>
  <c r="BA146" i="122"/>
  <c r="BB146" i="122"/>
  <c r="BC146" i="122"/>
  <c r="BD146" i="122"/>
  <c r="AK146" i="122"/>
  <c r="BE146" i="122"/>
  <c r="AL146" i="122"/>
  <c r="BF146" i="122"/>
  <c r="AM146" i="122"/>
  <c r="BG146" i="122"/>
  <c r="AN146" i="122"/>
  <c r="BH146" i="122"/>
  <c r="AV146" i="122"/>
  <c r="AX141" i="122"/>
  <c r="AL141" i="122"/>
  <c r="BF141" i="122"/>
  <c r="AT141" i="122"/>
  <c r="BB141" i="122"/>
  <c r="BD141" i="122"/>
  <c r="BG141" i="122"/>
  <c r="BI141" i="122"/>
  <c r="BJ141" i="122"/>
  <c r="BK141" i="122"/>
  <c r="AK141" i="122"/>
  <c r="BL141" i="122"/>
  <c r="AM141" i="122"/>
  <c r="BM141" i="122"/>
  <c r="AN141" i="122"/>
  <c r="BN141" i="122"/>
  <c r="AO141" i="122"/>
  <c r="AP141" i="122"/>
  <c r="AQ141" i="122"/>
  <c r="AR141" i="122"/>
  <c r="AS141" i="122"/>
  <c r="BE141" i="122"/>
  <c r="AX136" i="122"/>
  <c r="BD136" i="122"/>
  <c r="AL136" i="122"/>
  <c r="BF136" i="122"/>
  <c r="AR136" i="122"/>
  <c r="AS136" i="122"/>
  <c r="AU136" i="122"/>
  <c r="AV136" i="122"/>
  <c r="AW136" i="122"/>
  <c r="AY136" i="122"/>
  <c r="AZ136" i="122"/>
  <c r="BA136" i="122"/>
  <c r="BB136" i="122"/>
  <c r="BC136" i="122"/>
  <c r="BG136" i="122"/>
  <c r="AK136" i="122"/>
  <c r="AM136" i="122"/>
  <c r="AN136" i="122"/>
  <c r="BI136" i="122"/>
  <c r="AO136" i="122"/>
  <c r="AP136" i="122"/>
  <c r="AQ136" i="122"/>
  <c r="AT136" i="122"/>
  <c r="BE136" i="122"/>
  <c r="BH136" i="122"/>
  <c r="AK131" i="122"/>
  <c r="BE131" i="122"/>
  <c r="AQ131" i="122"/>
  <c r="BK131" i="122"/>
  <c r="AS131" i="122"/>
  <c r="BM131" i="122"/>
  <c r="BC131" i="122"/>
  <c r="BD131" i="122"/>
  <c r="BF131" i="122"/>
  <c r="BH131" i="122"/>
  <c r="AL131" i="122"/>
  <c r="BI131" i="122"/>
  <c r="AM131" i="122"/>
  <c r="BJ131" i="122"/>
  <c r="AN131" i="122"/>
  <c r="BL131" i="122"/>
  <c r="AO131" i="122"/>
  <c r="BN131" i="122"/>
  <c r="AU131" i="122"/>
  <c r="BB131" i="122"/>
  <c r="BG131" i="122"/>
  <c r="AR131" i="122"/>
  <c r="AP131" i="122"/>
  <c r="AT131" i="122"/>
  <c r="AV131" i="122"/>
  <c r="AW131" i="122"/>
  <c r="AX131" i="122"/>
  <c r="AY131" i="122"/>
  <c r="AZ131" i="122"/>
  <c r="BA131" i="122"/>
  <c r="AK126" i="122"/>
  <c r="BE126" i="122"/>
  <c r="AQ126" i="122"/>
  <c r="BK126" i="122"/>
  <c r="AS126" i="122"/>
  <c r="BM126" i="122"/>
  <c r="AR126" i="122"/>
  <c r="AT126" i="122"/>
  <c r="AU126" i="122"/>
  <c r="AV126" i="122"/>
  <c r="AW126" i="122"/>
  <c r="AX126" i="122"/>
  <c r="AY126" i="122"/>
  <c r="AZ126" i="122"/>
  <c r="BA126" i="122"/>
  <c r="BC126" i="122"/>
  <c r="BF126" i="122"/>
  <c r="AP126" i="122"/>
  <c r="BB126" i="122"/>
  <c r="BG126" i="122"/>
  <c r="BH126" i="122"/>
  <c r="BI126" i="122"/>
  <c r="BJ126" i="122"/>
  <c r="BL126" i="122"/>
  <c r="BN126" i="122"/>
  <c r="BD126" i="122"/>
  <c r="AL126" i="122"/>
  <c r="AM126" i="122"/>
  <c r="AN126" i="122"/>
  <c r="AO126" i="122"/>
  <c r="AK121" i="122"/>
  <c r="BE121" i="122"/>
  <c r="AL121" i="122"/>
  <c r="BF121" i="122"/>
  <c r="AM121" i="122"/>
  <c r="BG121" i="122"/>
  <c r="AN121" i="122"/>
  <c r="BH121" i="122"/>
  <c r="AO121" i="122"/>
  <c r="BI121" i="122"/>
  <c r="AP121" i="122"/>
  <c r="BJ121" i="122"/>
  <c r="AQ121" i="122"/>
  <c r="BK121" i="122"/>
  <c r="AR121" i="122"/>
  <c r="BL121" i="122"/>
  <c r="AS121" i="122"/>
  <c r="BM121" i="122"/>
  <c r="AT121" i="122"/>
  <c r="BN121" i="122"/>
  <c r="AU121" i="122"/>
  <c r="AV121" i="122"/>
  <c r="AW121" i="122"/>
  <c r="AX121" i="122"/>
  <c r="AY121" i="122"/>
  <c r="AZ121" i="122"/>
  <c r="BA121" i="122"/>
  <c r="BB121" i="122"/>
  <c r="BC121" i="122"/>
  <c r="BD121" i="122"/>
  <c r="AW116" i="122"/>
  <c r="AX116" i="122"/>
  <c r="AZ116" i="122"/>
  <c r="BA116" i="122"/>
  <c r="BB116" i="122"/>
  <c r="BC116" i="122"/>
  <c r="BD116" i="122"/>
  <c r="AK116" i="122"/>
  <c r="BE116" i="122"/>
  <c r="AL116" i="122"/>
  <c r="BF116" i="122"/>
  <c r="AN116" i="122"/>
  <c r="BH116" i="122"/>
  <c r="AU116" i="122"/>
  <c r="AV116" i="122"/>
  <c r="AY116" i="122"/>
  <c r="BG116" i="122"/>
  <c r="BI116" i="122"/>
  <c r="BJ116" i="122"/>
  <c r="BK116" i="122"/>
  <c r="BL116" i="122"/>
  <c r="BM116" i="122"/>
  <c r="BN116" i="122"/>
  <c r="AM116" i="122"/>
  <c r="AP116" i="122"/>
  <c r="AR116" i="122"/>
  <c r="AO116" i="122"/>
  <c r="AQ116" i="122"/>
  <c r="AT116" i="122"/>
  <c r="AY111" i="122"/>
  <c r="AW111" i="122"/>
  <c r="AX111" i="122"/>
  <c r="BA111" i="122"/>
  <c r="BB111" i="122"/>
  <c r="BC111" i="122"/>
  <c r="BD111" i="122"/>
  <c r="BE111" i="122"/>
  <c r="AK111" i="122"/>
  <c r="BF111" i="122"/>
  <c r="AL111" i="122"/>
  <c r="BG111" i="122"/>
  <c r="AM111" i="122"/>
  <c r="BH111" i="122"/>
  <c r="AN111" i="122"/>
  <c r="BI111" i="122"/>
  <c r="AO111" i="122"/>
  <c r="AP111" i="122"/>
  <c r="AQ111" i="122"/>
  <c r="AR111" i="122"/>
  <c r="AS111" i="122"/>
  <c r="AT111" i="122"/>
  <c r="AU111" i="122"/>
  <c r="AV111" i="122"/>
  <c r="AZ111" i="122"/>
  <c r="BK111" i="122"/>
  <c r="BJ111" i="122"/>
  <c r="BL111" i="122"/>
  <c r="BM111" i="122"/>
  <c r="AY106" i="122"/>
  <c r="AZ106" i="122"/>
  <c r="BB106" i="122"/>
  <c r="BC106" i="122"/>
  <c r="BD106" i="122"/>
  <c r="AK106" i="122"/>
  <c r="BE106" i="122"/>
  <c r="AL106" i="122"/>
  <c r="BF106" i="122"/>
  <c r="AM106" i="122"/>
  <c r="BG106" i="122"/>
  <c r="AN106" i="122"/>
  <c r="BH106" i="122"/>
  <c r="AO106" i="122"/>
  <c r="BI106" i="122"/>
  <c r="AP106" i="122"/>
  <c r="AR106" i="122"/>
  <c r="AS106" i="122"/>
  <c r="AT106" i="122"/>
  <c r="AU106" i="122"/>
  <c r="AV106" i="122"/>
  <c r="AW106" i="122"/>
  <c r="AX106" i="122"/>
  <c r="BA106" i="122"/>
  <c r="BJ106" i="122"/>
  <c r="AQ106" i="122"/>
  <c r="BK106" i="122"/>
  <c r="BL106" i="122"/>
  <c r="BM106" i="122"/>
  <c r="BN106" i="122"/>
  <c r="BC101" i="122"/>
  <c r="BA101" i="122"/>
  <c r="BB101" i="122"/>
  <c r="BD101" i="122"/>
  <c r="BE101" i="122"/>
  <c r="AK101" i="122"/>
  <c r="BF101" i="122"/>
  <c r="AL101" i="122"/>
  <c r="BG101" i="122"/>
  <c r="AM101" i="122"/>
  <c r="BH101" i="122"/>
  <c r="AP101" i="122"/>
  <c r="BK101" i="122"/>
  <c r="AR101" i="122"/>
  <c r="BM101" i="122"/>
  <c r="AN101" i="122"/>
  <c r="AO101" i="122"/>
  <c r="AQ101" i="122"/>
  <c r="AS101" i="122"/>
  <c r="AT101" i="122"/>
  <c r="AU101" i="122"/>
  <c r="AV101" i="122"/>
  <c r="AW101" i="122"/>
  <c r="AX101" i="122"/>
  <c r="AZ101" i="122"/>
  <c r="BI101" i="122"/>
  <c r="BJ101" i="122"/>
  <c r="BL101" i="122"/>
  <c r="BN101" i="122"/>
  <c r="AY101" i="122"/>
  <c r="BC96" i="122"/>
  <c r="AN96" i="122"/>
  <c r="BH96" i="122"/>
  <c r="AQ96" i="122"/>
  <c r="BK96" i="122"/>
  <c r="AU96" i="122"/>
  <c r="AV96" i="122"/>
  <c r="AW96" i="122"/>
  <c r="AX96" i="122"/>
  <c r="AY96" i="122"/>
  <c r="AZ96" i="122"/>
  <c r="BA96" i="122"/>
  <c r="BE96" i="122"/>
  <c r="BG96" i="122"/>
  <c r="BI96" i="122"/>
  <c r="BJ96" i="122"/>
  <c r="BM96" i="122"/>
  <c r="BN96" i="122"/>
  <c r="AK96" i="122"/>
  <c r="AL96" i="122"/>
  <c r="BL96" i="122"/>
  <c r="AM96" i="122"/>
  <c r="AO96" i="122"/>
  <c r="AP96" i="122"/>
  <c r="AR96" i="122"/>
  <c r="AS96" i="122"/>
  <c r="AT96" i="122"/>
  <c r="BB96" i="122"/>
  <c r="BD96" i="122"/>
  <c r="BF96" i="122"/>
  <c r="AM91" i="122"/>
  <c r="BG91" i="122"/>
  <c r="BA91" i="122"/>
  <c r="BF91" i="122"/>
  <c r="AN91" i="122"/>
  <c r="BJ91" i="122"/>
  <c r="AO91" i="122"/>
  <c r="BK91" i="122"/>
  <c r="AP91" i="122"/>
  <c r="BL91" i="122"/>
  <c r="AQ91" i="122"/>
  <c r="BM91" i="122"/>
  <c r="AR91" i="122"/>
  <c r="BN91" i="122"/>
  <c r="AS91" i="122"/>
  <c r="AT91" i="122"/>
  <c r="AU91" i="122"/>
  <c r="AK91" i="122"/>
  <c r="AL91" i="122"/>
  <c r="AV91" i="122"/>
  <c r="AY91" i="122"/>
  <c r="BB91" i="122"/>
  <c r="AW91" i="122"/>
  <c r="AX91" i="122"/>
  <c r="BC91" i="122"/>
  <c r="BD91" i="122"/>
  <c r="BE91" i="122"/>
  <c r="BH91" i="122"/>
  <c r="BI91" i="122"/>
  <c r="AZ91" i="122"/>
  <c r="AL86" i="122"/>
  <c r="BF86" i="122"/>
  <c r="AP86" i="122"/>
  <c r="BJ86" i="122"/>
  <c r="AQ86" i="122"/>
  <c r="BK86" i="122"/>
  <c r="AR86" i="122"/>
  <c r="BL86" i="122"/>
  <c r="BE86" i="122"/>
  <c r="BG86" i="122"/>
  <c r="BI86" i="122"/>
  <c r="AK86" i="122"/>
  <c r="BM86" i="122"/>
  <c r="AM86" i="122"/>
  <c r="BN86" i="122"/>
  <c r="AN86" i="122"/>
  <c r="BH86" i="122"/>
  <c r="AO86" i="122"/>
  <c r="AT86" i="122"/>
  <c r="AU86" i="122"/>
  <c r="AS86" i="122"/>
  <c r="AV86" i="122"/>
  <c r="AW86" i="122"/>
  <c r="AX86" i="122"/>
  <c r="AY86" i="122"/>
  <c r="BA86" i="122"/>
  <c r="AZ86" i="122"/>
  <c r="BB86" i="122"/>
  <c r="BC86" i="122"/>
  <c r="BD86" i="122"/>
  <c r="AL81" i="122"/>
  <c r="BF81" i="122"/>
  <c r="AP81" i="122"/>
  <c r="BJ81" i="122"/>
  <c r="AQ81" i="122"/>
  <c r="BK81" i="122"/>
  <c r="AR81" i="122"/>
  <c r="BL81" i="122"/>
  <c r="BE81" i="122"/>
  <c r="BG81" i="122"/>
  <c r="BI81" i="122"/>
  <c r="AK81" i="122"/>
  <c r="BM81" i="122"/>
  <c r="AM81" i="122"/>
  <c r="BN81" i="122"/>
  <c r="AN81" i="122"/>
  <c r="AZ81" i="122"/>
  <c r="AV81" i="122"/>
  <c r="AY81" i="122"/>
  <c r="BA81" i="122"/>
  <c r="BB81" i="122"/>
  <c r="BC81" i="122"/>
  <c r="BD81" i="122"/>
  <c r="AO81" i="122"/>
  <c r="AS81" i="122"/>
  <c r="AT81" i="122"/>
  <c r="AU81" i="122"/>
  <c r="AW81" i="122"/>
  <c r="AX81" i="122"/>
  <c r="BH81" i="122"/>
  <c r="BI290" i="122"/>
  <c r="BM146" i="122"/>
  <c r="AZ73" i="122"/>
  <c r="AU287" i="122"/>
  <c r="BE143" i="122"/>
  <c r="BC286" i="122"/>
  <c r="BK142" i="122"/>
  <c r="AV285" i="122"/>
  <c r="AU141" i="122"/>
  <c r="BI139" i="122"/>
  <c r="AY66" i="122"/>
  <c r="BB137" i="122"/>
  <c r="AS208" i="122"/>
  <c r="AQ133" i="122"/>
  <c r="BD54" i="122"/>
  <c r="BL50" i="122"/>
  <c r="AL46" i="122"/>
  <c r="AS27" i="122"/>
  <c r="BM27" i="122"/>
  <c r="BA27" i="122"/>
  <c r="AY27" i="122"/>
  <c r="AZ27" i="122"/>
  <c r="BB27" i="122"/>
  <c r="BC27" i="122"/>
  <c r="BD27" i="122"/>
  <c r="BE27" i="122"/>
  <c r="BF27" i="122"/>
  <c r="AM27" i="122"/>
  <c r="BI27" i="122"/>
  <c r="AO27" i="122"/>
  <c r="BK27" i="122"/>
  <c r="AU27" i="122"/>
  <c r="AV27" i="122"/>
  <c r="AX27" i="122"/>
  <c r="BG27" i="122"/>
  <c r="BH27" i="122"/>
  <c r="BJ27" i="122"/>
  <c r="BL27" i="122"/>
  <c r="BN27" i="122"/>
  <c r="AK27" i="122"/>
  <c r="AL27" i="122"/>
  <c r="AN27" i="122"/>
  <c r="AP27" i="122"/>
  <c r="AQ27" i="122"/>
  <c r="AR27" i="122"/>
  <c r="AT27" i="122"/>
  <c r="AW27" i="122"/>
  <c r="AM144" i="122"/>
  <c r="BG144" i="122"/>
  <c r="AT144" i="122"/>
  <c r="BN144" i="122"/>
  <c r="BF144" i="122"/>
  <c r="AK144" i="122"/>
  <c r="BH144" i="122"/>
  <c r="AL144" i="122"/>
  <c r="BI144" i="122"/>
  <c r="AN144" i="122"/>
  <c r="BJ144" i="122"/>
  <c r="AO144" i="122"/>
  <c r="BK144" i="122"/>
  <c r="AP144" i="122"/>
  <c r="BL144" i="122"/>
  <c r="AQ144" i="122"/>
  <c r="BM144" i="122"/>
  <c r="AR144" i="122"/>
  <c r="AS144" i="122"/>
  <c r="AU144" i="122"/>
  <c r="AV144" i="122"/>
  <c r="BD144" i="122"/>
  <c r="BC99" i="122"/>
  <c r="AQ99" i="122"/>
  <c r="BK99" i="122"/>
  <c r="AK99" i="122"/>
  <c r="BG99" i="122"/>
  <c r="AL99" i="122"/>
  <c r="BH99" i="122"/>
  <c r="AM99" i="122"/>
  <c r="BI99" i="122"/>
  <c r="AN99" i="122"/>
  <c r="BJ99" i="122"/>
  <c r="AO99" i="122"/>
  <c r="BL99" i="122"/>
  <c r="AP99" i="122"/>
  <c r="BM99" i="122"/>
  <c r="AR99" i="122"/>
  <c r="BN99" i="122"/>
  <c r="AU99" i="122"/>
  <c r="AW99" i="122"/>
  <c r="AT99" i="122"/>
  <c r="AV99" i="122"/>
  <c r="AX99" i="122"/>
  <c r="AY99" i="122"/>
  <c r="AZ99" i="122"/>
  <c r="BA99" i="122"/>
  <c r="BB99" i="122"/>
  <c r="BD99" i="122"/>
  <c r="AS99" i="122"/>
  <c r="BE99" i="122"/>
  <c r="BF99" i="122"/>
  <c r="BC242" i="122"/>
  <c r="AN242" i="122"/>
  <c r="AQ242" i="122"/>
  <c r="BK242" i="122"/>
  <c r="AZ242" i="122"/>
  <c r="BA242" i="122"/>
  <c r="BB242" i="122"/>
  <c r="BD242" i="122"/>
  <c r="BE242" i="122"/>
  <c r="BF242" i="122"/>
  <c r="BG242" i="122"/>
  <c r="AM242" i="122"/>
  <c r="BJ242" i="122"/>
  <c r="AP242" i="122"/>
  <c r="BM242" i="122"/>
  <c r="BH242" i="122"/>
  <c r="BI242" i="122"/>
  <c r="BN242" i="122"/>
  <c r="AK242" i="122"/>
  <c r="AL242" i="122"/>
  <c r="AO242" i="122"/>
  <c r="AS242" i="122"/>
  <c r="AT242" i="122"/>
  <c r="AU242" i="122"/>
  <c r="AV242" i="122"/>
  <c r="AW242" i="122"/>
  <c r="AX242" i="122"/>
  <c r="AY242" i="122"/>
  <c r="BL242" i="122"/>
  <c r="AR242" i="122"/>
  <c r="AU51" i="122"/>
  <c r="AV51" i="122"/>
  <c r="AY51" i="122"/>
  <c r="AZ51" i="122"/>
  <c r="BA51" i="122"/>
  <c r="BB51" i="122"/>
  <c r="BC51" i="122"/>
  <c r="BD51" i="122"/>
  <c r="AK51" i="122"/>
  <c r="BE51" i="122"/>
  <c r="AO51" i="122"/>
  <c r="AP51" i="122"/>
  <c r="AQ51" i="122"/>
  <c r="AR51" i="122"/>
  <c r="AS51" i="122"/>
  <c r="AT51" i="122"/>
  <c r="AW51" i="122"/>
  <c r="AX51" i="122"/>
  <c r="BF51" i="122"/>
  <c r="BH51" i="122"/>
  <c r="BJ51" i="122"/>
  <c r="AM51" i="122"/>
  <c r="AN51" i="122"/>
  <c r="BI51" i="122"/>
  <c r="BK51" i="122"/>
  <c r="BL51" i="122"/>
  <c r="BM51" i="122"/>
  <c r="BN51" i="122"/>
  <c r="AL51" i="122"/>
  <c r="BG51" i="122"/>
  <c r="AV11" i="122"/>
  <c r="AZ11" i="122"/>
  <c r="BA11" i="122"/>
  <c r="BB11" i="122"/>
  <c r="AM11" i="122"/>
  <c r="BK11" i="122"/>
  <c r="AN11" i="122"/>
  <c r="BL11" i="122"/>
  <c r="AP11" i="122"/>
  <c r="BN11" i="122"/>
  <c r="AQ11" i="122"/>
  <c r="AR11" i="122"/>
  <c r="AS11" i="122"/>
  <c r="AL11" i="122"/>
  <c r="AO11" i="122"/>
  <c r="AT11" i="122"/>
  <c r="AU11" i="122"/>
  <c r="AW11" i="122"/>
  <c r="AY11" i="122"/>
  <c r="BC11" i="122"/>
  <c r="BE11" i="122"/>
  <c r="BH11" i="122"/>
  <c r="BI11" i="122"/>
  <c r="BJ11" i="122"/>
  <c r="BM11" i="122"/>
  <c r="AX11" i="122"/>
  <c r="AK11" i="122"/>
  <c r="BD11" i="122"/>
  <c r="BG11" i="122"/>
  <c r="BF11" i="122"/>
  <c r="BE145" i="122"/>
  <c r="AX138" i="122"/>
  <c r="BD138" i="122"/>
  <c r="AL138" i="122"/>
  <c r="BF138" i="122"/>
  <c r="AN138" i="122"/>
  <c r="BK138" i="122"/>
  <c r="AO138" i="122"/>
  <c r="BL138" i="122"/>
  <c r="AQ138" i="122"/>
  <c r="BN138" i="122"/>
  <c r="AR138" i="122"/>
  <c r="AS138" i="122"/>
  <c r="AT138" i="122"/>
  <c r="AU138" i="122"/>
  <c r="AV138" i="122"/>
  <c r="AW138" i="122"/>
  <c r="AY138" i="122"/>
  <c r="BA138" i="122"/>
  <c r="BB138" i="122"/>
  <c r="BC138" i="122"/>
  <c r="BE138" i="122"/>
  <c r="BG138" i="122"/>
  <c r="BH138" i="122"/>
  <c r="BI138" i="122"/>
  <c r="BJ138" i="122"/>
  <c r="BM138" i="122"/>
  <c r="AP138" i="122"/>
  <c r="AL78" i="122"/>
  <c r="BF78" i="122"/>
  <c r="AP78" i="122"/>
  <c r="BJ78" i="122"/>
  <c r="AQ78" i="122"/>
  <c r="BK78" i="122"/>
  <c r="AR78" i="122"/>
  <c r="BL78" i="122"/>
  <c r="AV78" i="122"/>
  <c r="AW78" i="122"/>
  <c r="AX78" i="122"/>
  <c r="BA78" i="122"/>
  <c r="BB78" i="122"/>
  <c r="BD78" i="122"/>
  <c r="BE78" i="122"/>
  <c r="BG78" i="122"/>
  <c r="BH78" i="122"/>
  <c r="AS78" i="122"/>
  <c r="BI78" i="122"/>
  <c r="AK78" i="122"/>
  <c r="AM78" i="122"/>
  <c r="AN78" i="122"/>
  <c r="AO78" i="122"/>
  <c r="AT78" i="122"/>
  <c r="AU78" i="122"/>
  <c r="BC78" i="122"/>
  <c r="BN78" i="122"/>
  <c r="AY78" i="122"/>
  <c r="AZ78" i="122"/>
  <c r="BM78" i="122"/>
  <c r="AP95" i="122"/>
  <c r="BJ95" i="122"/>
  <c r="AX95" i="122"/>
  <c r="BA95" i="122"/>
  <c r="BB95" i="122"/>
  <c r="BC95" i="122"/>
  <c r="BD95" i="122"/>
  <c r="BE95" i="122"/>
  <c r="AK95" i="122"/>
  <c r="BF95" i="122"/>
  <c r="AL95" i="122"/>
  <c r="BG95" i="122"/>
  <c r="AM95" i="122"/>
  <c r="BI95" i="122"/>
  <c r="BK95" i="122"/>
  <c r="BL95" i="122"/>
  <c r="BM95" i="122"/>
  <c r="BN95" i="122"/>
  <c r="AO95" i="122"/>
  <c r="AR95" i="122"/>
  <c r="AN95" i="122"/>
  <c r="AQ95" i="122"/>
  <c r="AS95" i="122"/>
  <c r="AT95" i="122"/>
  <c r="AU95" i="122"/>
  <c r="AV95" i="122"/>
  <c r="AW95" i="122"/>
  <c r="AY95" i="122"/>
  <c r="AZ95" i="122"/>
  <c r="BH95" i="122"/>
  <c r="AX120" i="122"/>
  <c r="AZ120" i="122"/>
  <c r="BA120" i="122"/>
  <c r="BB120" i="122"/>
  <c r="BC120" i="122"/>
  <c r="BD120" i="122"/>
  <c r="BE120" i="122"/>
  <c r="AK120" i="122"/>
  <c r="BF120" i="122"/>
  <c r="AL120" i="122"/>
  <c r="BG120" i="122"/>
  <c r="AM120" i="122"/>
  <c r="BH120" i="122"/>
  <c r="AN120" i="122"/>
  <c r="BI120" i="122"/>
  <c r="AO120" i="122"/>
  <c r="BJ120" i="122"/>
  <c r="AP120" i="122"/>
  <c r="AQ120" i="122"/>
  <c r="AR120" i="122"/>
  <c r="AT120" i="122"/>
  <c r="AV120" i="122"/>
  <c r="AS120" i="122"/>
  <c r="AW120" i="122"/>
  <c r="AY120" i="122"/>
  <c r="BK120" i="122"/>
  <c r="BL120" i="122"/>
  <c r="BM120" i="122"/>
  <c r="BN120" i="122"/>
  <c r="AU120" i="122"/>
  <c r="AM145" i="122"/>
  <c r="BG145" i="122"/>
  <c r="AS145" i="122"/>
  <c r="BN145" i="122"/>
  <c r="AT145" i="122"/>
  <c r="AU145" i="122"/>
  <c r="AV145" i="122"/>
  <c r="AW145" i="122"/>
  <c r="AX145" i="122"/>
  <c r="AY145" i="122"/>
  <c r="AZ145" i="122"/>
  <c r="BA145" i="122"/>
  <c r="BB145" i="122"/>
  <c r="BC145" i="122"/>
  <c r="AQ145" i="122"/>
  <c r="BL145" i="122"/>
  <c r="AW290" i="122"/>
  <c r="BL146" i="122"/>
  <c r="AR143" i="122"/>
  <c r="BB286" i="122"/>
  <c r="AW142" i="122"/>
  <c r="AU285" i="122"/>
  <c r="BH139" i="122"/>
  <c r="AZ138" i="122"/>
  <c r="AR137" i="122"/>
  <c r="AR208" i="122"/>
  <c r="AO133" i="122"/>
  <c r="AZ56" i="122"/>
  <c r="BB54" i="122"/>
  <c r="BI50" i="122"/>
  <c r="BA118" i="122"/>
  <c r="AO183" i="122"/>
  <c r="BI183" i="122"/>
  <c r="AK183" i="122"/>
  <c r="BF183" i="122"/>
  <c r="AL183" i="122"/>
  <c r="BG183" i="122"/>
  <c r="AN183" i="122"/>
  <c r="BJ183" i="122"/>
  <c r="AP183" i="122"/>
  <c r="BK183" i="122"/>
  <c r="AQ183" i="122"/>
  <c r="BL183" i="122"/>
  <c r="AR183" i="122"/>
  <c r="BM183" i="122"/>
  <c r="AS183" i="122"/>
  <c r="BN183" i="122"/>
  <c r="AT183" i="122"/>
  <c r="AU183" i="122"/>
  <c r="AV183" i="122"/>
  <c r="AW183" i="122"/>
  <c r="BC183" i="122"/>
  <c r="BD183" i="122"/>
  <c r="BE183" i="122"/>
  <c r="BH183" i="122"/>
  <c r="AM183" i="122"/>
  <c r="AX183" i="122"/>
  <c r="AY183" i="122"/>
  <c r="AZ183" i="122"/>
  <c r="BA183" i="122"/>
  <c r="BB183" i="122"/>
  <c r="AM287" i="122"/>
  <c r="BG287" i="122"/>
  <c r="AT287" i="122"/>
  <c r="BN287" i="122"/>
  <c r="AZ287" i="122"/>
  <c r="BA287" i="122"/>
  <c r="BB287" i="122"/>
  <c r="BC287" i="122"/>
  <c r="BD287" i="122"/>
  <c r="BE287" i="122"/>
  <c r="BF287" i="122"/>
  <c r="AK287" i="122"/>
  <c r="BH287" i="122"/>
  <c r="AL287" i="122"/>
  <c r="BI287" i="122"/>
  <c r="AN287" i="122"/>
  <c r="BJ287" i="122"/>
  <c r="AO287" i="122"/>
  <c r="BK287" i="122"/>
  <c r="AX287" i="122"/>
  <c r="AL232" i="122"/>
  <c r="BF232" i="122"/>
  <c r="AR232" i="122"/>
  <c r="BL232" i="122"/>
  <c r="BA232" i="122"/>
  <c r="BB232" i="122"/>
  <c r="AY232" i="122"/>
  <c r="BD232" i="122"/>
  <c r="BE232" i="122"/>
  <c r="BG232" i="122"/>
  <c r="BH232" i="122"/>
  <c r="BI232" i="122"/>
  <c r="AM232" i="122"/>
  <c r="BK232" i="122"/>
  <c r="AN232" i="122"/>
  <c r="AU232" i="122"/>
  <c r="AX232" i="122"/>
  <c r="AZ232" i="122"/>
  <c r="BC232" i="122"/>
  <c r="BJ232" i="122"/>
  <c r="BM232" i="122"/>
  <c r="BN232" i="122"/>
  <c r="AO232" i="122"/>
  <c r="AQ232" i="122"/>
  <c r="AK232" i="122"/>
  <c r="AP232" i="122"/>
  <c r="AS232" i="122"/>
  <c r="AT232" i="122"/>
  <c r="AV232" i="122"/>
  <c r="AW232" i="122"/>
  <c r="AN48" i="122"/>
  <c r="BH48" i="122"/>
  <c r="AQ48" i="122"/>
  <c r="BL48" i="122"/>
  <c r="AR48" i="122"/>
  <c r="BM48" i="122"/>
  <c r="AS48" i="122"/>
  <c r="BN48" i="122"/>
  <c r="AT48" i="122"/>
  <c r="AU48" i="122"/>
  <c r="AV48" i="122"/>
  <c r="AW48" i="122"/>
  <c r="AX48" i="122"/>
  <c r="AY48" i="122"/>
  <c r="AZ48" i="122"/>
  <c r="BA48" i="122"/>
  <c r="AL48" i="122"/>
  <c r="AM48" i="122"/>
  <c r="AO48" i="122"/>
  <c r="AP48" i="122"/>
  <c r="BB48" i="122"/>
  <c r="BC48" i="122"/>
  <c r="BD48" i="122"/>
  <c r="BE48" i="122"/>
  <c r="BF48" i="122"/>
  <c r="BI48" i="122"/>
  <c r="BK48" i="122"/>
  <c r="AK48" i="122"/>
  <c r="BG48" i="122"/>
  <c r="AN133" i="122"/>
  <c r="AW56" i="122"/>
  <c r="AY110" i="122"/>
  <c r="AK110" i="122"/>
  <c r="BE110" i="122"/>
  <c r="AO110" i="122"/>
  <c r="BK110" i="122"/>
  <c r="AP110" i="122"/>
  <c r="BL110" i="122"/>
  <c r="AR110" i="122"/>
  <c r="BN110" i="122"/>
  <c r="AS110" i="122"/>
  <c r="AT110" i="122"/>
  <c r="AU110" i="122"/>
  <c r="AV110" i="122"/>
  <c r="AW110" i="122"/>
  <c r="AX110" i="122"/>
  <c r="AZ110" i="122"/>
  <c r="BA110" i="122"/>
  <c r="BC110" i="122"/>
  <c r="BD110" i="122"/>
  <c r="BF110" i="122"/>
  <c r="BG110" i="122"/>
  <c r="BH110" i="122"/>
  <c r="BI110" i="122"/>
  <c r="BJ110" i="122"/>
  <c r="BM110" i="122"/>
  <c r="AL110" i="122"/>
  <c r="AM110" i="122"/>
  <c r="AN110" i="122"/>
  <c r="AQ110" i="122"/>
  <c r="BB110" i="122"/>
  <c r="AN63" i="122"/>
  <c r="BH63" i="122"/>
  <c r="AT63" i="122"/>
  <c r="BN63" i="122"/>
  <c r="AV63" i="122"/>
  <c r="AM63" i="122"/>
  <c r="BK63" i="122"/>
  <c r="AO63" i="122"/>
  <c r="BL63" i="122"/>
  <c r="AQ63" i="122"/>
  <c r="AR63" i="122"/>
  <c r="AS63" i="122"/>
  <c r="AU63" i="122"/>
  <c r="AW63" i="122"/>
  <c r="AX63" i="122"/>
  <c r="AY63" i="122"/>
  <c r="AZ63" i="122"/>
  <c r="BB63" i="122"/>
  <c r="BJ63" i="122"/>
  <c r="BM63" i="122"/>
  <c r="AL63" i="122"/>
  <c r="AK63" i="122"/>
  <c r="BG63" i="122"/>
  <c r="AL79" i="122"/>
  <c r="BF79" i="122"/>
  <c r="AP79" i="122"/>
  <c r="BJ79" i="122"/>
  <c r="AQ79" i="122"/>
  <c r="BK79" i="122"/>
  <c r="AR79" i="122"/>
  <c r="BL79" i="122"/>
  <c r="AV79" i="122"/>
  <c r="AW79" i="122"/>
  <c r="BB79" i="122"/>
  <c r="BC79" i="122"/>
  <c r="BE79" i="122"/>
  <c r="BG79" i="122"/>
  <c r="BH79" i="122"/>
  <c r="BI79" i="122"/>
  <c r="AU79" i="122"/>
  <c r="AN79" i="122"/>
  <c r="AO79" i="122"/>
  <c r="AS79" i="122"/>
  <c r="AT79" i="122"/>
  <c r="AX79" i="122"/>
  <c r="AZ79" i="122"/>
  <c r="BA79" i="122"/>
  <c r="AK79" i="122"/>
  <c r="BD79" i="122"/>
  <c r="BM79" i="122"/>
  <c r="BN79" i="122"/>
  <c r="AM79" i="122"/>
  <c r="AY79" i="122"/>
  <c r="BC63" i="122"/>
  <c r="AX277" i="122"/>
  <c r="AY277" i="122"/>
  <c r="AZ277" i="122"/>
  <c r="BD277" i="122"/>
  <c r="AK277" i="122"/>
  <c r="BE277" i="122"/>
  <c r="AL277" i="122"/>
  <c r="BF277" i="122"/>
  <c r="AP277" i="122"/>
  <c r="BJ277" i="122"/>
  <c r="BG277" i="122"/>
  <c r="BH277" i="122"/>
  <c r="BK277" i="122"/>
  <c r="BL277" i="122"/>
  <c r="BM277" i="122"/>
  <c r="BN277" i="122"/>
  <c r="AM277" i="122"/>
  <c r="AN277" i="122"/>
  <c r="AO277" i="122"/>
  <c r="AQ277" i="122"/>
  <c r="AS277" i="122"/>
  <c r="BI277" i="122"/>
  <c r="BB277" i="122"/>
  <c r="AL222" i="122"/>
  <c r="BF222" i="122"/>
  <c r="AP222" i="122"/>
  <c r="BJ222" i="122"/>
  <c r="AQ222" i="122"/>
  <c r="BK222" i="122"/>
  <c r="AR222" i="122"/>
  <c r="BL222" i="122"/>
  <c r="AV222" i="122"/>
  <c r="AW222" i="122"/>
  <c r="AX222" i="122"/>
  <c r="BB222" i="122"/>
  <c r="BC222" i="122"/>
  <c r="BE222" i="122"/>
  <c r="BG222" i="122"/>
  <c r="BH222" i="122"/>
  <c r="BI222" i="122"/>
  <c r="AT222" i="122"/>
  <c r="AS222" i="122"/>
  <c r="AZ222" i="122"/>
  <c r="BA222" i="122"/>
  <c r="BD222" i="122"/>
  <c r="BM222" i="122"/>
  <c r="BN222" i="122"/>
  <c r="AK222" i="122"/>
  <c r="AM222" i="122"/>
  <c r="AN222" i="122"/>
  <c r="AO222" i="122"/>
  <c r="AU222" i="122"/>
  <c r="AY222" i="122"/>
  <c r="AI292" i="122"/>
  <c r="AW73" i="122"/>
  <c r="BE73" i="122"/>
  <c r="AK73" i="122"/>
  <c r="BF73" i="122"/>
  <c r="AL73" i="122"/>
  <c r="BG73" i="122"/>
  <c r="AM73" i="122"/>
  <c r="BH73" i="122"/>
  <c r="AN73" i="122"/>
  <c r="BI73" i="122"/>
  <c r="AO73" i="122"/>
  <c r="BJ73" i="122"/>
  <c r="AP73" i="122"/>
  <c r="BK73" i="122"/>
  <c r="AQ73" i="122"/>
  <c r="BL73" i="122"/>
  <c r="AR73" i="122"/>
  <c r="BM73" i="122"/>
  <c r="AS73" i="122"/>
  <c r="BN73" i="122"/>
  <c r="AT73" i="122"/>
  <c r="BC73" i="122"/>
  <c r="AX73" i="122"/>
  <c r="AR287" i="122"/>
  <c r="AP143" i="122"/>
  <c r="BG139" i="122"/>
  <c r="AM138" i="122"/>
  <c r="AQ208" i="122"/>
  <c r="AP239" i="122"/>
  <c r="BJ239" i="122"/>
  <c r="BA239" i="122"/>
  <c r="AK239" i="122"/>
  <c r="BF239" i="122"/>
  <c r="AL239" i="122"/>
  <c r="AM239" i="122"/>
  <c r="AN239" i="122"/>
  <c r="BI239" i="122"/>
  <c r="AO239" i="122"/>
  <c r="BE239" i="122"/>
  <c r="BG239" i="122"/>
  <c r="BH239" i="122"/>
  <c r="BK239" i="122"/>
  <c r="BL239" i="122"/>
  <c r="BM239" i="122"/>
  <c r="BN239" i="122"/>
  <c r="AS239" i="122"/>
  <c r="AU239" i="122"/>
  <c r="AQ239" i="122"/>
  <c r="AR239" i="122"/>
  <c r="AT239" i="122"/>
  <c r="AV239" i="122"/>
  <c r="AW239" i="122"/>
  <c r="AX239" i="122"/>
  <c r="AY239" i="122"/>
  <c r="AZ239" i="122"/>
  <c r="BC239" i="122"/>
  <c r="BD239" i="122"/>
  <c r="BB239" i="122"/>
  <c r="AX264" i="122"/>
  <c r="BC264" i="122"/>
  <c r="BD264" i="122"/>
  <c r="BE264" i="122"/>
  <c r="AK264" i="122"/>
  <c r="BF264" i="122"/>
  <c r="AL264" i="122"/>
  <c r="BG264" i="122"/>
  <c r="AM264" i="122"/>
  <c r="BH264" i="122"/>
  <c r="AN264" i="122"/>
  <c r="BI264" i="122"/>
  <c r="AO264" i="122"/>
  <c r="BJ264" i="122"/>
  <c r="AP264" i="122"/>
  <c r="BK264" i="122"/>
  <c r="AQ264" i="122"/>
  <c r="BL264" i="122"/>
  <c r="AR264" i="122"/>
  <c r="BM264" i="122"/>
  <c r="BA264" i="122"/>
  <c r="BB264" i="122"/>
  <c r="BN264" i="122"/>
  <c r="AS264" i="122"/>
  <c r="AM289" i="122"/>
  <c r="BG289" i="122"/>
  <c r="AV289" i="122"/>
  <c r="AW289" i="122"/>
  <c r="AX289" i="122"/>
  <c r="AY289" i="122"/>
  <c r="AZ289" i="122"/>
  <c r="BA289" i="122"/>
  <c r="BB289" i="122"/>
  <c r="BC289" i="122"/>
  <c r="BD289" i="122"/>
  <c r="BE289" i="122"/>
  <c r="AK289" i="122"/>
  <c r="BF289" i="122"/>
  <c r="AT289" i="122"/>
  <c r="AT290" i="122"/>
  <c r="BJ146" i="122"/>
  <c r="BM289" i="122"/>
  <c r="AV73" i="122"/>
  <c r="AQ287" i="122"/>
  <c r="AO143" i="122"/>
  <c r="AZ286" i="122"/>
  <c r="AQ142" i="122"/>
  <c r="AS285" i="122"/>
  <c r="AK138" i="122"/>
  <c r="AP209" i="122"/>
  <c r="AP208" i="122"/>
  <c r="BK205" i="122"/>
  <c r="BN274" i="122"/>
  <c r="BD128" i="122"/>
  <c r="AX269" i="122"/>
  <c r="BG50" i="122"/>
  <c r="BA189" i="122"/>
  <c r="BJ104" i="122"/>
  <c r="AO147" i="122"/>
  <c r="BI147" i="122"/>
  <c r="AP147" i="122"/>
  <c r="BJ147" i="122"/>
  <c r="AQ147" i="122"/>
  <c r="BK147" i="122"/>
  <c r="AR147" i="122"/>
  <c r="BL147" i="122"/>
  <c r="AS147" i="122"/>
  <c r="BM147" i="122"/>
  <c r="AT147" i="122"/>
  <c r="BN147" i="122"/>
  <c r="AU147" i="122"/>
  <c r="AK147" i="122"/>
  <c r="AV147" i="122"/>
  <c r="AW147" i="122"/>
  <c r="AX147" i="122"/>
  <c r="AY147" i="122"/>
  <c r="AM147" i="122"/>
  <c r="BG147" i="122"/>
  <c r="AU52" i="122"/>
  <c r="AV52" i="122"/>
  <c r="AY52" i="122"/>
  <c r="AZ52" i="122"/>
  <c r="BA52" i="122"/>
  <c r="BB52" i="122"/>
  <c r="BC52" i="122"/>
  <c r="BD52" i="122"/>
  <c r="AK52" i="122"/>
  <c r="BE52" i="122"/>
  <c r="BL52" i="122"/>
  <c r="BM52" i="122"/>
  <c r="BN52" i="122"/>
  <c r="AL52" i="122"/>
  <c r="AM52" i="122"/>
  <c r="AN52" i="122"/>
  <c r="AO52" i="122"/>
  <c r="AP52" i="122"/>
  <c r="AQ52" i="122"/>
  <c r="AS52" i="122"/>
  <c r="AW52" i="122"/>
  <c r="AR52" i="122"/>
  <c r="AT52" i="122"/>
  <c r="BF52" i="122"/>
  <c r="BJ52" i="122"/>
  <c r="BK52" i="122"/>
  <c r="BH52" i="122"/>
  <c r="AV3" i="122"/>
  <c r="AZ3" i="122"/>
  <c r="BA3" i="122"/>
  <c r="BB3" i="122"/>
  <c r="AL3" i="122"/>
  <c r="BF3" i="122"/>
  <c r="AM3" i="122"/>
  <c r="BG3" i="122"/>
  <c r="AN3" i="122"/>
  <c r="BH3" i="122"/>
  <c r="AR3" i="122"/>
  <c r="AS3" i="122"/>
  <c r="AU3" i="122"/>
  <c r="AW3" i="122"/>
  <c r="AX3" i="122"/>
  <c r="AY3" i="122"/>
  <c r="BN3" i="122"/>
  <c r="BI3" i="122"/>
  <c r="BL3" i="122"/>
  <c r="BM3" i="122"/>
  <c r="AK3" i="122"/>
  <c r="AO3" i="122"/>
  <c r="AP3" i="122"/>
  <c r="AQ3" i="122"/>
  <c r="AT3" i="122"/>
  <c r="BC3" i="122"/>
  <c r="BD3" i="122"/>
  <c r="BE3" i="122"/>
  <c r="BJ3" i="122"/>
  <c r="BK3" i="122"/>
  <c r="AX139" i="122"/>
  <c r="BD139" i="122"/>
  <c r="AL139" i="122"/>
  <c r="BF139" i="122"/>
  <c r="AK139" i="122"/>
  <c r="AM139" i="122"/>
  <c r="BJ139" i="122"/>
  <c r="AP139" i="122"/>
  <c r="BM139" i="122"/>
  <c r="AQ139" i="122"/>
  <c r="BN139" i="122"/>
  <c r="AR139" i="122"/>
  <c r="AS139" i="122"/>
  <c r="AT139" i="122"/>
  <c r="AV139" i="122"/>
  <c r="AY139" i="122"/>
  <c r="AN139" i="122"/>
  <c r="AO139" i="122"/>
  <c r="AU139" i="122"/>
  <c r="AW139" i="122"/>
  <c r="AZ139" i="122"/>
  <c r="BA139" i="122"/>
  <c r="BB139" i="122"/>
  <c r="AL84" i="122"/>
  <c r="BF84" i="122"/>
  <c r="AP84" i="122"/>
  <c r="BJ84" i="122"/>
  <c r="AQ84" i="122"/>
  <c r="BK84" i="122"/>
  <c r="AR84" i="122"/>
  <c r="BL84" i="122"/>
  <c r="AW84" i="122"/>
  <c r="AX84" i="122"/>
  <c r="AZ84" i="122"/>
  <c r="BA84" i="122"/>
  <c r="BB84" i="122"/>
  <c r="BC84" i="122"/>
  <c r="AY84" i="122"/>
  <c r="BG84" i="122"/>
  <c r="BH84" i="122"/>
  <c r="BI84" i="122"/>
  <c r="BM84" i="122"/>
  <c r="BN84" i="122"/>
  <c r="AK84" i="122"/>
  <c r="AM84" i="122"/>
  <c r="AN84" i="122"/>
  <c r="AO84" i="122"/>
  <c r="AS84" i="122"/>
  <c r="AT84" i="122"/>
  <c r="AU84" i="122"/>
  <c r="AV84" i="122"/>
  <c r="BD84" i="122"/>
  <c r="BE84" i="122"/>
  <c r="AK125" i="122"/>
  <c r="BE125" i="122"/>
  <c r="AO125" i="122"/>
  <c r="AP125" i="122"/>
  <c r="AQ125" i="122"/>
  <c r="BK125" i="122"/>
  <c r="AR125" i="122"/>
  <c r="BL125" i="122"/>
  <c r="AS125" i="122"/>
  <c r="BM125" i="122"/>
  <c r="AT125" i="122"/>
  <c r="BN125" i="122"/>
  <c r="AM125" i="122"/>
  <c r="AN125" i="122"/>
  <c r="AU125" i="122"/>
  <c r="AV125" i="122"/>
  <c r="AW125" i="122"/>
  <c r="AX125" i="122"/>
  <c r="AY125" i="122"/>
  <c r="AZ125" i="122"/>
  <c r="BA125" i="122"/>
  <c r="BC125" i="122"/>
  <c r="BF125" i="122"/>
  <c r="BI125" i="122"/>
  <c r="BJ125" i="122"/>
  <c r="AL125" i="122"/>
  <c r="BB125" i="122"/>
  <c r="BD125" i="122"/>
  <c r="AY252" i="122"/>
  <c r="AZ252" i="122"/>
  <c r="BB252" i="122"/>
  <c r="BC252" i="122"/>
  <c r="BD252" i="122"/>
  <c r="AK252" i="122"/>
  <c r="BE252" i="122"/>
  <c r="AL252" i="122"/>
  <c r="BF252" i="122"/>
  <c r="AM252" i="122"/>
  <c r="BG252" i="122"/>
  <c r="AN252" i="122"/>
  <c r="BH252" i="122"/>
  <c r="AO252" i="122"/>
  <c r="BI252" i="122"/>
  <c r="BA252" i="122"/>
  <c r="BJ252" i="122"/>
  <c r="BL252" i="122"/>
  <c r="BM252" i="122"/>
  <c r="BN252" i="122"/>
  <c r="AP252" i="122"/>
  <c r="AQ252" i="122"/>
  <c r="AR252" i="122"/>
  <c r="AS252" i="122"/>
  <c r="AT252" i="122"/>
  <c r="AU252" i="122"/>
  <c r="AV252" i="122"/>
  <c r="AW252" i="122"/>
  <c r="AX252" i="122"/>
  <c r="BK252" i="122"/>
  <c r="AZ23" i="122"/>
  <c r="AO23" i="122"/>
  <c r="BJ23" i="122"/>
  <c r="AT23" i="122"/>
  <c r="AU23" i="122"/>
  <c r="AV23" i="122"/>
  <c r="AW23" i="122"/>
  <c r="AX23" i="122"/>
  <c r="BG23" i="122"/>
  <c r="BH23" i="122"/>
  <c r="BI23" i="122"/>
  <c r="BK23" i="122"/>
  <c r="BL23" i="122"/>
  <c r="AK23" i="122"/>
  <c r="BM23" i="122"/>
  <c r="AL23" i="122"/>
  <c r="BN23" i="122"/>
  <c r="AP23" i="122"/>
  <c r="AR23" i="122"/>
  <c r="BC23" i="122"/>
  <c r="BD23" i="122"/>
  <c r="BF23" i="122"/>
  <c r="BE23" i="122"/>
  <c r="BB23" i="122"/>
  <c r="AM23" i="122"/>
  <c r="AQ23" i="122"/>
  <c r="AN23" i="122"/>
  <c r="AS23" i="122"/>
  <c r="AY23" i="122"/>
  <c r="BA23" i="122"/>
  <c r="AS290" i="122"/>
  <c r="BI146" i="122"/>
  <c r="BL289" i="122"/>
  <c r="AU73" i="122"/>
  <c r="AP287" i="122"/>
  <c r="AN143" i="122"/>
  <c r="AY286" i="122"/>
  <c r="AP142" i="122"/>
  <c r="AR285" i="122"/>
  <c r="BC139" i="122"/>
  <c r="BM210" i="122"/>
  <c r="AM209" i="122"/>
  <c r="BI63" i="122"/>
  <c r="AX205" i="122"/>
  <c r="BL274" i="122"/>
  <c r="AZ128" i="122"/>
  <c r="AU269" i="122"/>
  <c r="AT50" i="122"/>
  <c r="AZ189" i="122"/>
  <c r="BI104" i="122"/>
  <c r="AL76" i="122"/>
  <c r="BF76" i="122"/>
  <c r="AP76" i="122"/>
  <c r="BJ76" i="122"/>
  <c r="AQ76" i="122"/>
  <c r="BK76" i="122"/>
  <c r="AR76" i="122"/>
  <c r="BL76" i="122"/>
  <c r="AV76" i="122"/>
  <c r="AW76" i="122"/>
  <c r="AX76" i="122"/>
  <c r="AT76" i="122"/>
  <c r="AU76" i="122"/>
  <c r="AZ76" i="122"/>
  <c r="BA76" i="122"/>
  <c r="BB76" i="122"/>
  <c r="BC76" i="122"/>
  <c r="AK76" i="122"/>
  <c r="BI76" i="122"/>
  <c r="AM76" i="122"/>
  <c r="AN76" i="122"/>
  <c r="AO76" i="122"/>
  <c r="AS76" i="122"/>
  <c r="AY76" i="122"/>
  <c r="BD76" i="122"/>
  <c r="BE76" i="122"/>
  <c r="BG76" i="122"/>
  <c r="BH76" i="122"/>
  <c r="BM76" i="122"/>
  <c r="BN76" i="122"/>
  <c r="AL221" i="122"/>
  <c r="BF221" i="122"/>
  <c r="AP221" i="122"/>
  <c r="BJ221" i="122"/>
  <c r="AQ221" i="122"/>
  <c r="BK221" i="122"/>
  <c r="AR221" i="122"/>
  <c r="BL221" i="122"/>
  <c r="AV221" i="122"/>
  <c r="AW221" i="122"/>
  <c r="AX221" i="122"/>
  <c r="AZ221" i="122"/>
  <c r="BA221" i="122"/>
  <c r="BC221" i="122"/>
  <c r="BD221" i="122"/>
  <c r="BE221" i="122"/>
  <c r="BG221" i="122"/>
  <c r="AO221" i="122"/>
  <c r="AK221" i="122"/>
  <c r="AM221" i="122"/>
  <c r="AS221" i="122"/>
  <c r="AT221" i="122"/>
  <c r="BM221" i="122"/>
  <c r="BB221" i="122"/>
  <c r="BH221" i="122"/>
  <c r="BI221" i="122"/>
  <c r="BN221" i="122"/>
  <c r="AN221" i="122"/>
  <c r="AU221" i="122"/>
  <c r="AY221" i="122"/>
  <c r="AV6" i="122"/>
  <c r="AZ6" i="122"/>
  <c r="BA6" i="122"/>
  <c r="BB6" i="122"/>
  <c r="AL6" i="122"/>
  <c r="BF6" i="122"/>
  <c r="AM6" i="122"/>
  <c r="BG6" i="122"/>
  <c r="AN6" i="122"/>
  <c r="BH6" i="122"/>
  <c r="AY6" i="122"/>
  <c r="BC6" i="122"/>
  <c r="BE6" i="122"/>
  <c r="BI6" i="122"/>
  <c r="BJ6" i="122"/>
  <c r="BK6" i="122"/>
  <c r="AS6" i="122"/>
  <c r="AK6" i="122"/>
  <c r="AO6" i="122"/>
  <c r="AP6" i="122"/>
  <c r="AQ6" i="122"/>
  <c r="AR6" i="122"/>
  <c r="AU6" i="122"/>
  <c r="AW6" i="122"/>
  <c r="BD6" i="122"/>
  <c r="BN6" i="122"/>
  <c r="AT6" i="122"/>
  <c r="AX6" i="122"/>
  <c r="BL6" i="122"/>
  <c r="BM6" i="122"/>
  <c r="BE292" i="122" l="1"/>
  <c r="AR292" i="122"/>
  <c r="BI292" i="122"/>
  <c r="AO292" i="122"/>
  <c r="BG292" i="122"/>
  <c r="BC292" i="122"/>
  <c r="AM292" i="122"/>
  <c r="AY292" i="122"/>
  <c r="AL292" i="122"/>
  <c r="BJ292" i="122"/>
  <c r="AP292" i="122"/>
  <c r="AW292" i="122"/>
  <c r="AQ292" i="122"/>
  <c r="AV292" i="122"/>
  <c r="BB292" i="122"/>
  <c r="AK292" i="122"/>
  <c r="BD292" i="122"/>
  <c r="BK292" i="122"/>
  <c r="AU292" i="122"/>
  <c r="BA292" i="122"/>
  <c r="AX292" i="122"/>
  <c r="BN292" i="122"/>
  <c r="AT292" i="122"/>
  <c r="AZ292" i="122"/>
  <c r="AN292" i="122"/>
  <c r="BM292" i="122"/>
  <c r="BH292" i="122"/>
  <c r="AS292" i="122"/>
  <c r="BL292" i="122"/>
  <c r="BF292" i="122"/>
  <c r="E7" i="82" l="1"/>
  <c r="E9" i="82" l="1"/>
  <c r="F3" i="82" s="1"/>
  <c r="E8" i="82"/>
  <c r="F2" i="82" l="1"/>
  <c r="F5" i="82"/>
  <c r="F4" i="82"/>
  <c r="E2" i="82"/>
  <c r="D5" i="82"/>
  <c r="D3" i="82" l="1"/>
  <c r="D4" i="82"/>
  <c r="D2" i="82"/>
  <c r="E5" i="82"/>
  <c r="E3" i="82"/>
  <c r="E4" i="82"/>
</calcChain>
</file>

<file path=xl/sharedStrings.xml><?xml version="1.0" encoding="utf-8"?>
<sst xmlns="http://schemas.openxmlformats.org/spreadsheetml/2006/main" count="2710" uniqueCount="100">
  <si>
    <t>Department</t>
  </si>
  <si>
    <t>RUAKA</t>
  </si>
  <si>
    <t>DELI</t>
  </si>
  <si>
    <t>BUTCHERY</t>
  </si>
  <si>
    <t>BAKERY</t>
  </si>
  <si>
    <t>VEGES</t>
  </si>
  <si>
    <t>RUAI</t>
  </si>
  <si>
    <t>KIAMBU</t>
  </si>
  <si>
    <t>KIKUYU</t>
  </si>
  <si>
    <t>EBP 1</t>
  </si>
  <si>
    <t>RUIRU</t>
  </si>
  <si>
    <t>LAVINGTON</t>
  </si>
  <si>
    <t>JIPANGE</t>
  </si>
  <si>
    <t>CHAKA</t>
  </si>
  <si>
    <t>EBP 2</t>
  </si>
  <si>
    <t>UTAWALA EXPRESS</t>
  </si>
  <si>
    <t>PIPELINE</t>
  </si>
  <si>
    <t>DONHOLM</t>
  </si>
  <si>
    <t>KAHAWA WEST</t>
  </si>
  <si>
    <t>OUTERING</t>
  </si>
  <si>
    <t>FEDHA</t>
  </si>
  <si>
    <t>RONGAI EXPRESS</t>
  </si>
  <si>
    <t>UTAWALA MAIN</t>
  </si>
  <si>
    <t>KONDELE</t>
  </si>
  <si>
    <t>NYALENDA</t>
  </si>
  <si>
    <t>MAYFAIR</t>
  </si>
  <si>
    <t>ROYSAMBU</t>
  </si>
  <si>
    <t>BURUBURU</t>
  </si>
  <si>
    <t>KERICHO</t>
  </si>
  <si>
    <t>MFANGANO</t>
  </si>
  <si>
    <t>TOM MBOYA</t>
  </si>
  <si>
    <t>KILIMANI</t>
  </si>
  <si>
    <t>OGINGA ODINGA</t>
  </si>
  <si>
    <t>EMBAKASI</t>
  </si>
  <si>
    <t>KISERIAN</t>
  </si>
  <si>
    <t>NANYUKI</t>
  </si>
  <si>
    <t>KAKAMEGA</t>
  </si>
  <si>
    <t>PIONEER</t>
  </si>
  <si>
    <t>ELDORET</t>
  </si>
  <si>
    <t>CHANIA</t>
  </si>
  <si>
    <t>OTC</t>
  </si>
  <si>
    <t>MTWAPA MALL</t>
  </si>
  <si>
    <t>KITALE</t>
  </si>
  <si>
    <t>KISII</t>
  </si>
  <si>
    <t>WESTLANDS</t>
  </si>
  <si>
    <t>BANDARI</t>
  </si>
  <si>
    <t>KITENGELA</t>
  </si>
  <si>
    <t>MACHAKOS EXPRESS</t>
  </si>
  <si>
    <t>MACHAKOS PIONEER</t>
  </si>
  <si>
    <t>MLOLONGO</t>
  </si>
  <si>
    <t>KITUI</t>
  </si>
  <si>
    <t>KAREN</t>
  </si>
  <si>
    <t>THOME</t>
  </si>
  <si>
    <t>KILELESHWA</t>
  </si>
  <si>
    <t>NYALI</t>
  </si>
  <si>
    <t>OUTERING 2</t>
  </si>
  <si>
    <t>wed</t>
  </si>
  <si>
    <t>thu</t>
  </si>
  <si>
    <t>fri</t>
  </si>
  <si>
    <t>sat</t>
  </si>
  <si>
    <t>sun</t>
  </si>
  <si>
    <t>mon</t>
  </si>
  <si>
    <t>tue</t>
  </si>
  <si>
    <t>Total Actual Sales</t>
  </si>
  <si>
    <t>BRANCH</t>
  </si>
  <si>
    <t>Kahawa</t>
  </si>
  <si>
    <t>JOSKA</t>
  </si>
  <si>
    <t>Branch</t>
  </si>
  <si>
    <t>RONGAI MAIN</t>
  </si>
  <si>
    <t>MOMBASA ROAD</t>
  </si>
  <si>
    <t>SHABAAB</t>
  </si>
  <si>
    <t>CIRCLE MALL</t>
  </si>
  <si>
    <t>BANANA RD</t>
  </si>
  <si>
    <t>TOTAL</t>
  </si>
  <si>
    <t>NAKURU</t>
  </si>
  <si>
    <t>Bakery</t>
  </si>
  <si>
    <t>Deli</t>
  </si>
  <si>
    <t>Butchery</t>
  </si>
  <si>
    <t>Veges</t>
  </si>
  <si>
    <t>NAKURU STATEHOUSE</t>
  </si>
  <si>
    <t>WAIYAKI WAY</t>
  </si>
  <si>
    <t>MTWAPA EXPRESS</t>
  </si>
  <si>
    <t>KITENGELA OBC MALL</t>
  </si>
  <si>
    <t>T-MALL</t>
  </si>
  <si>
    <t>MILELE-NGONG</t>
  </si>
  <si>
    <t>NAROK MORAN</t>
  </si>
  <si>
    <t>KITENGELA TOWN</t>
  </si>
  <si>
    <t>LIKONI FERRY</t>
  </si>
  <si>
    <t>STORE NO</t>
  </si>
  <si>
    <t>DEPARTMENT</t>
  </si>
  <si>
    <t>MONTH</t>
  </si>
  <si>
    <t>BOARD DEPT TARGET</t>
  </si>
  <si>
    <t>ELGON VIEW</t>
  </si>
  <si>
    <t>NGONG RD ADAMS</t>
  </si>
  <si>
    <t>NAKURU SEC 58</t>
  </si>
  <si>
    <t>NAKURU KENYATTA AVENUE</t>
  </si>
  <si>
    <t>SYOKIMAU DIAMOND BIZ</t>
  </si>
  <si>
    <t>MAKONGENI THIKA</t>
  </si>
  <si>
    <t>Sep</t>
  </si>
  <si>
    <t>SEPT SALES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</si>
</sst>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mbria"/>
      <family val="1"/>
    </font>
    <font>
      <b/>
      <sz val="9"/>
      <color rgb="FF000000"/>
      <name val="Cambria"/>
      <family val="1"/>
    </font>
    <font>
      <sz val="8"/>
      <color rgb="FF000000"/>
      <name val="AvantGarde Bk BT"/>
      <family val="2"/>
    </font>
    <font>
      <b/>
      <sz val="10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0"/>
      <color theme="1"/>
      <name val="Arial"/>
      <family val="2"/>
    </font>
    <font>
      <sz val="9"/>
      <color theme="1"/>
      <name val="Cambria"/>
      <family val="1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2">
    <xf numFmtId="0" fontId="0" fillId="0" borderId="0" xfId="0"/>
    <xf numFmtId="0" fontId="1" fillId="0" borderId="1" xfId="0" applyFont="1" applyBorder="1" applyAlignment="1">
      <alignment wrapText="1"/>
    </xf>
    <xf numFmtId="4" fontId="5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0" fillId="0" borderId="1" xfId="0" applyBorder="1"/>
    <xf numFmtId="0" fontId="6" fillId="0" borderId="1" xfId="0" applyFont="1" applyBorder="1" applyAlignment="1">
      <alignment wrapText="1"/>
    </xf>
    <xf numFmtId="43" fontId="0" fillId="0" borderId="0" xfId="1" applyFont="1"/>
    <xf numFmtId="0" fontId="3" fillId="0" borderId="3" xfId="0" applyFont="1" applyBorder="1" applyAlignment="1">
      <alignment wrapText="1"/>
    </xf>
    <xf numFmtId="43" fontId="0" fillId="0" borderId="3" xfId="1" applyFont="1" applyBorder="1"/>
    <xf numFmtId="0" fontId="1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43" fontId="0" fillId="0" borderId="4" xfId="1" applyFont="1" applyBorder="1"/>
    <xf numFmtId="0" fontId="1" fillId="0" borderId="5" xfId="0" applyFont="1" applyBorder="1" applyAlignment="1">
      <alignment wrapText="1"/>
    </xf>
    <xf numFmtId="0" fontId="3" fillId="0" borderId="5" xfId="0" applyFont="1" applyBorder="1" applyAlignment="1">
      <alignment wrapText="1"/>
    </xf>
    <xf numFmtId="43" fontId="0" fillId="0" borderId="5" xfId="1" applyFont="1" applyBorder="1"/>
    <xf numFmtId="43" fontId="0" fillId="0" borderId="0" xfId="0" applyNumberFormat="1"/>
    <xf numFmtId="10" fontId="0" fillId="0" borderId="0" xfId="0" applyNumberFormat="1"/>
    <xf numFmtId="0" fontId="10" fillId="0" borderId="0" xfId="0" applyFont="1"/>
    <xf numFmtId="43" fontId="8" fillId="0" borderId="0" xfId="1" applyFont="1"/>
    <xf numFmtId="43" fontId="7" fillId="0" borderId="1" xfId="0" applyNumberFormat="1" applyFont="1" applyBorder="1"/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3" fontId="4" fillId="0" borderId="1" xfId="0" applyNumberFormat="1" applyFont="1" applyBorder="1" applyAlignment="1">
      <alignment horizontal="center" wrapText="1"/>
    </xf>
    <xf numFmtId="3" fontId="0" fillId="0" borderId="0" xfId="0" applyNumberFormat="1"/>
    <xf numFmtId="43" fontId="0" fillId="0" borderId="1" xfId="1" applyFont="1" applyBorder="1"/>
    <xf numFmtId="0" fontId="9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1" fillId="0" borderId="8" xfId="0" applyFont="1" applyBorder="1" applyAlignment="1">
      <alignment wrapText="1"/>
    </xf>
    <xf numFmtId="43" fontId="10" fillId="4" borderId="1" xfId="0" applyNumberFormat="1" applyFont="1" applyFill="1" applyBorder="1"/>
    <xf numFmtId="0" fontId="3" fillId="2" borderId="1" xfId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wrapText="1"/>
    </xf>
    <xf numFmtId="43" fontId="0" fillId="0" borderId="1" xfId="0" applyNumberFormat="1" applyBorder="1"/>
    <xf numFmtId="43" fontId="0" fillId="0" borderId="3" xfId="0" applyNumberFormat="1" applyBorder="1"/>
    <xf numFmtId="43" fontId="0" fillId="0" borderId="4" xfId="0" applyNumberFormat="1" applyBorder="1"/>
    <xf numFmtId="43" fontId="0" fillId="0" borderId="5" xfId="0" applyNumberFormat="1" applyBorder="1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3" fontId="10" fillId="0" borderId="0" xfId="1" applyFont="1"/>
    <xf numFmtId="0" fontId="13" fillId="0" borderId="1" xfId="0" applyFont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right" wrapText="1"/>
    </xf>
    <xf numFmtId="0" fontId="5" fillId="5" borderId="1" xfId="0" applyFont="1" applyFill="1" applyBorder="1" applyAlignment="1">
      <alignment horizontal="right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wrapText="1"/>
    </xf>
    <xf numFmtId="0" fontId="1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1" applyNumberFormat="1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8" fillId="0" borderId="0" xfId="0" applyFont="1"/>
    <xf numFmtId="3" fontId="8" fillId="0" borderId="0" xfId="0" applyNumberFormat="1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97AD-B8ED-46C6-B28F-B402B3E8AC1A}">
  <dimension ref="A1:C289"/>
  <sheetViews>
    <sheetView topLeftCell="A217" workbookViewId="0">
      <selection activeCell="A218" sqref="A218"/>
    </sheetView>
  </sheetViews>
  <sheetFormatPr defaultColWidth="44.5703125" defaultRowHeight="15" x14ac:dyDescent="0.25"/>
  <cols>
    <col min="1" max="1" width="26.42578125" bestFit="1" customWidth="1"/>
    <col min="2" max="2" width="3" bestFit="1" customWidth="1"/>
    <col min="3" max="3" width="10.28515625" bestFit="1" customWidth="1"/>
  </cols>
  <sheetData>
    <row r="1" spans="1:3" x14ac:dyDescent="0.25">
      <c r="A1" s="4" t="s">
        <v>67</v>
      </c>
      <c r="B1" s="5"/>
      <c r="C1" s="4" t="s">
        <v>0</v>
      </c>
    </row>
    <row r="2" spans="1:3" x14ac:dyDescent="0.25">
      <c r="A2" s="1" t="s">
        <v>7</v>
      </c>
      <c r="B2" s="5">
        <v>1</v>
      </c>
      <c r="C2" s="4" t="s">
        <v>4</v>
      </c>
    </row>
    <row r="3" spans="1:3" x14ac:dyDescent="0.25">
      <c r="A3" s="1" t="s">
        <v>7</v>
      </c>
      <c r="B3" s="5">
        <v>1</v>
      </c>
      <c r="C3" s="4" t="s">
        <v>3</v>
      </c>
    </row>
    <row r="4" spans="1:3" x14ac:dyDescent="0.25">
      <c r="A4" s="4" t="s">
        <v>7</v>
      </c>
      <c r="B4" s="5">
        <v>1</v>
      </c>
      <c r="C4" s="4" t="s">
        <v>2</v>
      </c>
    </row>
    <row r="5" spans="1:3" x14ac:dyDescent="0.25">
      <c r="A5" s="1" t="s">
        <v>7</v>
      </c>
      <c r="B5" s="5">
        <v>1</v>
      </c>
      <c r="C5" s="4" t="s">
        <v>5</v>
      </c>
    </row>
    <row r="6" spans="1:3" x14ac:dyDescent="0.25">
      <c r="A6" s="5" t="s">
        <v>1</v>
      </c>
      <c r="B6" s="5">
        <v>2</v>
      </c>
      <c r="C6" s="4" t="s">
        <v>4</v>
      </c>
    </row>
    <row r="7" spans="1:3" x14ac:dyDescent="0.25">
      <c r="A7" s="5" t="s">
        <v>1</v>
      </c>
      <c r="B7" s="5">
        <v>2</v>
      </c>
      <c r="C7" s="4" t="s">
        <v>3</v>
      </c>
    </row>
    <row r="8" spans="1:3" x14ac:dyDescent="0.25">
      <c r="A8" s="5" t="s">
        <v>1</v>
      </c>
      <c r="B8" s="5">
        <v>2</v>
      </c>
      <c r="C8" s="4" t="s">
        <v>2</v>
      </c>
    </row>
    <row r="9" spans="1:3" x14ac:dyDescent="0.25">
      <c r="A9" s="5" t="s">
        <v>1</v>
      </c>
      <c r="B9" s="5">
        <v>2</v>
      </c>
      <c r="C9" s="4" t="s">
        <v>5</v>
      </c>
    </row>
    <row r="10" spans="1:3" x14ac:dyDescent="0.25">
      <c r="A10" s="5" t="s">
        <v>6</v>
      </c>
      <c r="B10" s="5">
        <v>3</v>
      </c>
      <c r="C10" s="4" t="s">
        <v>4</v>
      </c>
    </row>
    <row r="11" spans="1:3" x14ac:dyDescent="0.25">
      <c r="A11" s="5" t="s">
        <v>6</v>
      </c>
      <c r="B11" s="5">
        <v>3</v>
      </c>
      <c r="C11" s="4" t="s">
        <v>3</v>
      </c>
    </row>
    <row r="12" spans="1:3" x14ac:dyDescent="0.25">
      <c r="A12" s="5" t="s">
        <v>6</v>
      </c>
      <c r="B12" s="5">
        <v>3</v>
      </c>
      <c r="C12" s="4" t="s">
        <v>2</v>
      </c>
    </row>
    <row r="13" spans="1:3" x14ac:dyDescent="0.25">
      <c r="A13" s="5" t="s">
        <v>6</v>
      </c>
      <c r="B13" s="5">
        <v>3</v>
      </c>
      <c r="C13" s="4" t="s">
        <v>5</v>
      </c>
    </row>
    <row r="14" spans="1:3" x14ac:dyDescent="0.25">
      <c r="A14" s="1" t="s">
        <v>9</v>
      </c>
      <c r="B14" s="5">
        <v>4</v>
      </c>
      <c r="C14" s="4" t="s">
        <v>4</v>
      </c>
    </row>
    <row r="15" spans="1:3" x14ac:dyDescent="0.25">
      <c r="A15" s="1" t="s">
        <v>9</v>
      </c>
      <c r="B15" s="5">
        <v>4</v>
      </c>
      <c r="C15" s="4" t="s">
        <v>3</v>
      </c>
    </row>
    <row r="16" spans="1:3" x14ac:dyDescent="0.25">
      <c r="A16" s="4" t="s">
        <v>9</v>
      </c>
      <c r="B16" s="5">
        <v>4</v>
      </c>
      <c r="C16" s="4" t="s">
        <v>2</v>
      </c>
    </row>
    <row r="17" spans="1:3" x14ac:dyDescent="0.25">
      <c r="A17" s="1" t="s">
        <v>9</v>
      </c>
      <c r="B17" s="5">
        <v>4</v>
      </c>
      <c r="C17" s="4" t="s">
        <v>5</v>
      </c>
    </row>
    <row r="18" spans="1:3" ht="15.75" x14ac:dyDescent="0.3">
      <c r="A18" s="6" t="s">
        <v>65</v>
      </c>
      <c r="B18" s="5">
        <v>5</v>
      </c>
      <c r="C18" s="4" t="s">
        <v>4</v>
      </c>
    </row>
    <row r="19" spans="1:3" ht="15.75" x14ac:dyDescent="0.3">
      <c r="A19" s="6" t="s">
        <v>65</v>
      </c>
      <c r="B19" s="5">
        <v>5</v>
      </c>
      <c r="C19" s="4" t="s">
        <v>3</v>
      </c>
    </row>
    <row r="20" spans="1:3" ht="15.75" x14ac:dyDescent="0.3">
      <c r="A20" s="6" t="s">
        <v>65</v>
      </c>
      <c r="B20" s="5">
        <v>5</v>
      </c>
      <c r="C20" s="4" t="s">
        <v>2</v>
      </c>
    </row>
    <row r="21" spans="1:3" ht="15.75" x14ac:dyDescent="0.3">
      <c r="A21" s="6" t="s">
        <v>65</v>
      </c>
      <c r="B21" s="5">
        <v>5</v>
      </c>
      <c r="C21" s="4" t="s">
        <v>5</v>
      </c>
    </row>
    <row r="22" spans="1:3" x14ac:dyDescent="0.25">
      <c r="A22" s="1" t="s">
        <v>8</v>
      </c>
      <c r="B22" s="5">
        <v>6</v>
      </c>
      <c r="C22" s="4" t="s">
        <v>4</v>
      </c>
    </row>
    <row r="23" spans="1:3" x14ac:dyDescent="0.25">
      <c r="A23" s="1" t="s">
        <v>8</v>
      </c>
      <c r="B23" s="5">
        <v>6</v>
      </c>
      <c r="C23" s="4" t="s">
        <v>3</v>
      </c>
    </row>
    <row r="24" spans="1:3" x14ac:dyDescent="0.25">
      <c r="A24" s="4" t="s">
        <v>8</v>
      </c>
      <c r="B24" s="5">
        <v>6</v>
      </c>
      <c r="C24" s="4" t="s">
        <v>2</v>
      </c>
    </row>
    <row r="25" spans="1:3" x14ac:dyDescent="0.25">
      <c r="A25" s="1" t="s">
        <v>8</v>
      </c>
      <c r="B25" s="5">
        <v>6</v>
      </c>
      <c r="C25" s="4" t="s">
        <v>5</v>
      </c>
    </row>
    <row r="26" spans="1:3" x14ac:dyDescent="0.25">
      <c r="A26" s="5" t="s">
        <v>10</v>
      </c>
      <c r="B26" s="5">
        <v>7</v>
      </c>
      <c r="C26" s="4" t="s">
        <v>4</v>
      </c>
    </row>
    <row r="27" spans="1:3" x14ac:dyDescent="0.25">
      <c r="A27" s="5" t="s">
        <v>10</v>
      </c>
      <c r="B27" s="5">
        <v>7</v>
      </c>
      <c r="C27" s="4" t="s">
        <v>3</v>
      </c>
    </row>
    <row r="28" spans="1:3" x14ac:dyDescent="0.25">
      <c r="A28" s="5" t="s">
        <v>10</v>
      </c>
      <c r="B28" s="5">
        <v>7</v>
      </c>
      <c r="C28" s="4" t="s">
        <v>2</v>
      </c>
    </row>
    <row r="29" spans="1:3" x14ac:dyDescent="0.25">
      <c r="A29" s="5" t="s">
        <v>10</v>
      </c>
      <c r="B29" s="5">
        <v>7</v>
      </c>
      <c r="C29" s="4" t="s">
        <v>5</v>
      </c>
    </row>
    <row r="30" spans="1:3" x14ac:dyDescent="0.25">
      <c r="A30" s="5" t="s">
        <v>11</v>
      </c>
      <c r="B30" s="5">
        <v>8</v>
      </c>
      <c r="C30" s="4" t="s">
        <v>4</v>
      </c>
    </row>
    <row r="31" spans="1:3" x14ac:dyDescent="0.25">
      <c r="A31" s="5" t="s">
        <v>11</v>
      </c>
      <c r="B31" s="5">
        <v>8</v>
      </c>
      <c r="C31" s="4" t="s">
        <v>3</v>
      </c>
    </row>
    <row r="32" spans="1:3" x14ac:dyDescent="0.25">
      <c r="A32" s="5" t="s">
        <v>11</v>
      </c>
      <c r="B32" s="5">
        <v>8</v>
      </c>
      <c r="C32" s="4" t="s">
        <v>2</v>
      </c>
    </row>
    <row r="33" spans="1:3" x14ac:dyDescent="0.25">
      <c r="A33" s="5" t="s">
        <v>11</v>
      </c>
      <c r="B33" s="5">
        <v>8</v>
      </c>
      <c r="C33" s="4" t="s">
        <v>5</v>
      </c>
    </row>
    <row r="34" spans="1:3" x14ac:dyDescent="0.25">
      <c r="A34" s="5" t="s">
        <v>16</v>
      </c>
      <c r="B34" s="5">
        <v>9</v>
      </c>
      <c r="C34" s="4" t="s">
        <v>4</v>
      </c>
    </row>
    <row r="35" spans="1:3" x14ac:dyDescent="0.25">
      <c r="A35" s="5" t="s">
        <v>16</v>
      </c>
      <c r="B35" s="5">
        <v>9</v>
      </c>
      <c r="C35" s="4" t="s">
        <v>3</v>
      </c>
    </row>
    <row r="36" spans="1:3" x14ac:dyDescent="0.25">
      <c r="A36" s="5" t="s">
        <v>16</v>
      </c>
      <c r="B36" s="5">
        <v>9</v>
      </c>
      <c r="C36" s="4" t="s">
        <v>2</v>
      </c>
    </row>
    <row r="37" spans="1:3" x14ac:dyDescent="0.25">
      <c r="A37" s="5" t="s">
        <v>16</v>
      </c>
      <c r="B37" s="5">
        <v>9</v>
      </c>
      <c r="C37" s="4" t="s">
        <v>5</v>
      </c>
    </row>
    <row r="38" spans="1:3" x14ac:dyDescent="0.25">
      <c r="A38" s="5" t="s">
        <v>17</v>
      </c>
      <c r="B38" s="5">
        <v>10</v>
      </c>
      <c r="C38" s="4" t="s">
        <v>4</v>
      </c>
    </row>
    <row r="39" spans="1:3" x14ac:dyDescent="0.25">
      <c r="A39" s="5" t="s">
        <v>17</v>
      </c>
      <c r="B39" s="5">
        <v>10</v>
      </c>
      <c r="C39" s="4" t="s">
        <v>3</v>
      </c>
    </row>
    <row r="40" spans="1:3" x14ac:dyDescent="0.25">
      <c r="A40" s="5" t="s">
        <v>17</v>
      </c>
      <c r="B40" s="5">
        <v>10</v>
      </c>
      <c r="C40" s="4" t="s">
        <v>2</v>
      </c>
    </row>
    <row r="41" spans="1:3" x14ac:dyDescent="0.25">
      <c r="A41" s="5" t="s">
        <v>17</v>
      </c>
      <c r="B41" s="5">
        <v>10</v>
      </c>
      <c r="C41" s="4" t="s">
        <v>5</v>
      </c>
    </row>
    <row r="42" spans="1:3" x14ac:dyDescent="0.25">
      <c r="A42" s="5" t="s">
        <v>19</v>
      </c>
      <c r="B42" s="5">
        <v>11</v>
      </c>
      <c r="C42" s="4" t="s">
        <v>4</v>
      </c>
    </row>
    <row r="43" spans="1:3" x14ac:dyDescent="0.25">
      <c r="A43" s="5" t="s">
        <v>19</v>
      </c>
      <c r="B43" s="5">
        <v>11</v>
      </c>
      <c r="C43" s="4" t="s">
        <v>3</v>
      </c>
    </row>
    <row r="44" spans="1:3" x14ac:dyDescent="0.25">
      <c r="A44" s="5" t="s">
        <v>19</v>
      </c>
      <c r="B44" s="5">
        <v>11</v>
      </c>
      <c r="C44" s="4" t="s">
        <v>2</v>
      </c>
    </row>
    <row r="45" spans="1:3" x14ac:dyDescent="0.25">
      <c r="A45" s="5" t="s">
        <v>19</v>
      </c>
      <c r="B45" s="5">
        <v>11</v>
      </c>
      <c r="C45" s="4" t="s">
        <v>5</v>
      </c>
    </row>
    <row r="46" spans="1:3" x14ac:dyDescent="0.25">
      <c r="A46" s="5" t="s">
        <v>20</v>
      </c>
      <c r="B46" s="5">
        <v>12</v>
      </c>
      <c r="C46" s="4" t="s">
        <v>4</v>
      </c>
    </row>
    <row r="47" spans="1:3" x14ac:dyDescent="0.25">
      <c r="A47" s="5" t="s">
        <v>20</v>
      </c>
      <c r="B47" s="5">
        <v>12</v>
      </c>
      <c r="C47" s="4" t="s">
        <v>3</v>
      </c>
    </row>
    <row r="48" spans="1:3" x14ac:dyDescent="0.25">
      <c r="A48" s="5" t="s">
        <v>20</v>
      </c>
      <c r="B48" s="5">
        <v>12</v>
      </c>
      <c r="C48" s="4" t="s">
        <v>2</v>
      </c>
    </row>
    <row r="49" spans="1:3" x14ac:dyDescent="0.25">
      <c r="A49" s="5" t="s">
        <v>20</v>
      </c>
      <c r="B49" s="5">
        <v>12</v>
      </c>
      <c r="C49" s="4" t="s">
        <v>5</v>
      </c>
    </row>
    <row r="50" spans="1:3" x14ac:dyDescent="0.25">
      <c r="A50" s="5" t="s">
        <v>21</v>
      </c>
      <c r="B50" s="5">
        <v>13</v>
      </c>
      <c r="C50" s="4" t="s">
        <v>4</v>
      </c>
    </row>
    <row r="51" spans="1:3" x14ac:dyDescent="0.25">
      <c r="A51" s="5" t="s">
        <v>21</v>
      </c>
      <c r="B51" s="5">
        <v>13</v>
      </c>
      <c r="C51" s="4" t="s">
        <v>3</v>
      </c>
    </row>
    <row r="52" spans="1:3" x14ac:dyDescent="0.25">
      <c r="A52" s="5" t="s">
        <v>21</v>
      </c>
      <c r="B52" s="5">
        <v>13</v>
      </c>
      <c r="C52" s="4" t="s">
        <v>2</v>
      </c>
    </row>
    <row r="53" spans="1:3" x14ac:dyDescent="0.25">
      <c r="A53" s="5" t="s">
        <v>21</v>
      </c>
      <c r="B53" s="5">
        <v>13</v>
      </c>
      <c r="C53" s="4" t="s">
        <v>5</v>
      </c>
    </row>
    <row r="54" spans="1:3" x14ac:dyDescent="0.25">
      <c r="A54" s="5" t="s">
        <v>22</v>
      </c>
      <c r="B54" s="5">
        <v>14</v>
      </c>
      <c r="C54" s="4" t="s">
        <v>4</v>
      </c>
    </row>
    <row r="55" spans="1:3" x14ac:dyDescent="0.25">
      <c r="A55" s="5" t="s">
        <v>22</v>
      </c>
      <c r="B55" s="5">
        <v>14</v>
      </c>
      <c r="C55" s="4" t="s">
        <v>3</v>
      </c>
    </row>
    <row r="56" spans="1:3" x14ac:dyDescent="0.25">
      <c r="A56" s="5" t="s">
        <v>22</v>
      </c>
      <c r="B56" s="5">
        <v>14</v>
      </c>
      <c r="C56" s="4" t="s">
        <v>2</v>
      </c>
    </row>
    <row r="57" spans="1:3" x14ac:dyDescent="0.25">
      <c r="A57" s="5" t="s">
        <v>22</v>
      </c>
      <c r="B57" s="5">
        <v>14</v>
      </c>
      <c r="C57" s="4" t="s">
        <v>5</v>
      </c>
    </row>
    <row r="58" spans="1:3" x14ac:dyDescent="0.25">
      <c r="A58" s="5" t="s">
        <v>23</v>
      </c>
      <c r="B58" s="5">
        <v>15</v>
      </c>
      <c r="C58" s="4" t="s">
        <v>4</v>
      </c>
    </row>
    <row r="59" spans="1:3" x14ac:dyDescent="0.25">
      <c r="A59" s="5" t="s">
        <v>23</v>
      </c>
      <c r="B59" s="5">
        <v>15</v>
      </c>
      <c r="C59" s="4" t="s">
        <v>3</v>
      </c>
    </row>
    <row r="60" spans="1:3" x14ac:dyDescent="0.25">
      <c r="A60" s="5" t="s">
        <v>23</v>
      </c>
      <c r="B60" s="5">
        <v>15</v>
      </c>
      <c r="C60" s="4" t="s">
        <v>2</v>
      </c>
    </row>
    <row r="61" spans="1:3" x14ac:dyDescent="0.25">
      <c r="A61" s="5" t="s">
        <v>23</v>
      </c>
      <c r="B61" s="5">
        <v>15</v>
      </c>
      <c r="C61" s="4" t="s">
        <v>5</v>
      </c>
    </row>
    <row r="62" spans="1:3" x14ac:dyDescent="0.25">
      <c r="A62" s="5" t="s">
        <v>24</v>
      </c>
      <c r="B62" s="5">
        <v>16</v>
      </c>
      <c r="C62" s="4" t="s">
        <v>4</v>
      </c>
    </row>
    <row r="63" spans="1:3" x14ac:dyDescent="0.25">
      <c r="A63" s="5" t="s">
        <v>24</v>
      </c>
      <c r="B63" s="5">
        <v>16</v>
      </c>
      <c r="C63" s="4" t="s">
        <v>3</v>
      </c>
    </row>
    <row r="64" spans="1:3" x14ac:dyDescent="0.25">
      <c r="A64" s="5" t="s">
        <v>24</v>
      </c>
      <c r="B64" s="5">
        <v>16</v>
      </c>
      <c r="C64" s="4" t="s">
        <v>2</v>
      </c>
    </row>
    <row r="65" spans="1:3" x14ac:dyDescent="0.25">
      <c r="A65" s="5" t="s">
        <v>24</v>
      </c>
      <c r="B65" s="5">
        <v>16</v>
      </c>
      <c r="C65" s="4" t="s">
        <v>5</v>
      </c>
    </row>
    <row r="66" spans="1:3" x14ac:dyDescent="0.25">
      <c r="A66" s="5" t="s">
        <v>25</v>
      </c>
      <c r="B66" s="5">
        <v>17</v>
      </c>
      <c r="C66" s="4" t="s">
        <v>4</v>
      </c>
    </row>
    <row r="67" spans="1:3" x14ac:dyDescent="0.25">
      <c r="A67" s="5" t="s">
        <v>25</v>
      </c>
      <c r="B67" s="5">
        <v>17</v>
      </c>
      <c r="C67" s="4" t="s">
        <v>3</v>
      </c>
    </row>
    <row r="68" spans="1:3" x14ac:dyDescent="0.25">
      <c r="A68" s="5" t="s">
        <v>25</v>
      </c>
      <c r="B68" s="5">
        <v>17</v>
      </c>
      <c r="C68" s="4" t="s">
        <v>2</v>
      </c>
    </row>
    <row r="69" spans="1:3" x14ac:dyDescent="0.25">
      <c r="A69" s="5" t="s">
        <v>25</v>
      </c>
      <c r="B69" s="5">
        <v>17</v>
      </c>
      <c r="C69" s="4" t="s">
        <v>5</v>
      </c>
    </row>
    <row r="70" spans="1:3" x14ac:dyDescent="0.25">
      <c r="A70" s="5" t="s">
        <v>80</v>
      </c>
      <c r="B70" s="5">
        <v>18</v>
      </c>
      <c r="C70" s="4" t="s">
        <v>4</v>
      </c>
    </row>
    <row r="71" spans="1:3" x14ac:dyDescent="0.25">
      <c r="A71" s="5" t="s">
        <v>80</v>
      </c>
      <c r="B71" s="5">
        <v>18</v>
      </c>
      <c r="C71" s="4" t="s">
        <v>3</v>
      </c>
    </row>
    <row r="72" spans="1:3" x14ac:dyDescent="0.25">
      <c r="A72" s="5" t="s">
        <v>80</v>
      </c>
      <c r="B72" s="5">
        <v>18</v>
      </c>
      <c r="C72" s="4" t="s">
        <v>2</v>
      </c>
    </row>
    <row r="73" spans="1:3" x14ac:dyDescent="0.25">
      <c r="A73" s="5" t="s">
        <v>80</v>
      </c>
      <c r="B73" s="5">
        <v>18</v>
      </c>
      <c r="C73" s="4" t="s">
        <v>5</v>
      </c>
    </row>
    <row r="74" spans="1:3" x14ac:dyDescent="0.25">
      <c r="A74" s="5" t="s">
        <v>12</v>
      </c>
      <c r="B74" s="5">
        <v>19</v>
      </c>
      <c r="C74" s="4" t="s">
        <v>4</v>
      </c>
    </row>
    <row r="75" spans="1:3" x14ac:dyDescent="0.25">
      <c r="A75" s="5" t="s">
        <v>12</v>
      </c>
      <c r="B75" s="5">
        <v>19</v>
      </c>
      <c r="C75" s="4" t="s">
        <v>3</v>
      </c>
    </row>
    <row r="76" spans="1:3" x14ac:dyDescent="0.25">
      <c r="A76" s="5" t="s">
        <v>12</v>
      </c>
      <c r="B76" s="5">
        <v>19</v>
      </c>
      <c r="C76" s="4" t="s">
        <v>2</v>
      </c>
    </row>
    <row r="77" spans="1:3" x14ac:dyDescent="0.25">
      <c r="A77" s="5" t="s">
        <v>12</v>
      </c>
      <c r="B77" s="5">
        <v>19</v>
      </c>
      <c r="C77" s="4" t="s">
        <v>5</v>
      </c>
    </row>
    <row r="78" spans="1:3" x14ac:dyDescent="0.25">
      <c r="A78" s="5" t="s">
        <v>68</v>
      </c>
      <c r="B78" s="5">
        <v>20</v>
      </c>
      <c r="C78" s="4" t="s">
        <v>4</v>
      </c>
    </row>
    <row r="79" spans="1:3" x14ac:dyDescent="0.25">
      <c r="A79" s="5" t="s">
        <v>68</v>
      </c>
      <c r="B79" s="5">
        <v>20</v>
      </c>
      <c r="C79" s="4" t="s">
        <v>3</v>
      </c>
    </row>
    <row r="80" spans="1:3" x14ac:dyDescent="0.25">
      <c r="A80" s="5" t="s">
        <v>68</v>
      </c>
      <c r="B80" s="5">
        <v>20</v>
      </c>
      <c r="C80" s="4" t="s">
        <v>2</v>
      </c>
    </row>
    <row r="81" spans="1:3" x14ac:dyDescent="0.25">
      <c r="A81" s="5" t="s">
        <v>68</v>
      </c>
      <c r="B81" s="5">
        <v>20</v>
      </c>
      <c r="C81" s="4" t="s">
        <v>5</v>
      </c>
    </row>
    <row r="82" spans="1:3" x14ac:dyDescent="0.25">
      <c r="A82" s="1" t="s">
        <v>13</v>
      </c>
      <c r="B82" s="5">
        <v>21</v>
      </c>
      <c r="C82" s="4" t="s">
        <v>4</v>
      </c>
    </row>
    <row r="83" spans="1:3" x14ac:dyDescent="0.25">
      <c r="A83" s="1" t="s">
        <v>13</v>
      </c>
      <c r="B83" s="5">
        <v>21</v>
      </c>
      <c r="C83" s="4" t="s">
        <v>3</v>
      </c>
    </row>
    <row r="84" spans="1:3" x14ac:dyDescent="0.25">
      <c r="A84" s="4" t="s">
        <v>13</v>
      </c>
      <c r="B84" s="5">
        <v>21</v>
      </c>
      <c r="C84" s="4" t="s">
        <v>2</v>
      </c>
    </row>
    <row r="85" spans="1:3" x14ac:dyDescent="0.25">
      <c r="A85" s="1" t="s">
        <v>13</v>
      </c>
      <c r="B85" s="5">
        <v>21</v>
      </c>
      <c r="C85" s="4" t="s">
        <v>5</v>
      </c>
    </row>
    <row r="86" spans="1:3" x14ac:dyDescent="0.25">
      <c r="A86" s="1" t="s">
        <v>14</v>
      </c>
      <c r="B86" s="5">
        <v>22</v>
      </c>
      <c r="C86" s="4" t="s">
        <v>4</v>
      </c>
    </row>
    <row r="87" spans="1:3" x14ac:dyDescent="0.25">
      <c r="A87" s="1" t="s">
        <v>14</v>
      </c>
      <c r="B87" s="5">
        <v>22</v>
      </c>
      <c r="C87" s="4" t="s">
        <v>3</v>
      </c>
    </row>
    <row r="88" spans="1:3" x14ac:dyDescent="0.25">
      <c r="A88" s="4" t="s">
        <v>14</v>
      </c>
      <c r="B88" s="5">
        <v>22</v>
      </c>
      <c r="C88" s="4" t="s">
        <v>2</v>
      </c>
    </row>
    <row r="89" spans="1:3" x14ac:dyDescent="0.25">
      <c r="A89" s="1" t="s">
        <v>14</v>
      </c>
      <c r="B89" s="5">
        <v>22</v>
      </c>
      <c r="C89" s="4" t="s">
        <v>5</v>
      </c>
    </row>
    <row r="90" spans="1:3" x14ac:dyDescent="0.25">
      <c r="A90" s="5" t="s">
        <v>15</v>
      </c>
      <c r="B90" s="5">
        <v>23</v>
      </c>
      <c r="C90" s="4" t="s">
        <v>4</v>
      </c>
    </row>
    <row r="91" spans="1:3" x14ac:dyDescent="0.25">
      <c r="A91" s="5" t="s">
        <v>15</v>
      </c>
      <c r="B91" s="5">
        <v>23</v>
      </c>
      <c r="C91" s="4" t="s">
        <v>3</v>
      </c>
    </row>
    <row r="92" spans="1:3" x14ac:dyDescent="0.25">
      <c r="A92" s="5" t="s">
        <v>15</v>
      </c>
      <c r="B92" s="5">
        <v>23</v>
      </c>
      <c r="C92" s="4" t="s">
        <v>2</v>
      </c>
    </row>
    <row r="93" spans="1:3" x14ac:dyDescent="0.25">
      <c r="A93" s="5" t="s">
        <v>15</v>
      </c>
      <c r="B93" s="5">
        <v>23</v>
      </c>
      <c r="C93" s="4" t="s">
        <v>5</v>
      </c>
    </row>
    <row r="94" spans="1:3" x14ac:dyDescent="0.25">
      <c r="A94" s="5" t="s">
        <v>18</v>
      </c>
      <c r="B94" s="5">
        <v>24</v>
      </c>
      <c r="C94" s="4" t="s">
        <v>4</v>
      </c>
    </row>
    <row r="95" spans="1:3" x14ac:dyDescent="0.25">
      <c r="A95" s="5" t="s">
        <v>18</v>
      </c>
      <c r="B95" s="5">
        <v>24</v>
      </c>
      <c r="C95" s="4" t="s">
        <v>3</v>
      </c>
    </row>
    <row r="96" spans="1:3" x14ac:dyDescent="0.25">
      <c r="A96" s="5" t="s">
        <v>18</v>
      </c>
      <c r="B96" s="5">
        <v>24</v>
      </c>
      <c r="C96" s="4" t="s">
        <v>2</v>
      </c>
    </row>
    <row r="97" spans="1:3" x14ac:dyDescent="0.25">
      <c r="A97" s="5" t="s">
        <v>18</v>
      </c>
      <c r="B97" s="5">
        <v>24</v>
      </c>
      <c r="C97" s="4" t="s">
        <v>5</v>
      </c>
    </row>
    <row r="98" spans="1:3" x14ac:dyDescent="0.25">
      <c r="A98" s="5" t="s">
        <v>26</v>
      </c>
      <c r="B98" s="5">
        <v>25</v>
      </c>
      <c r="C98" s="4" t="s">
        <v>4</v>
      </c>
    </row>
    <row r="99" spans="1:3" x14ac:dyDescent="0.25">
      <c r="A99" s="5" t="s">
        <v>26</v>
      </c>
      <c r="B99" s="5">
        <v>25</v>
      </c>
      <c r="C99" s="4" t="s">
        <v>3</v>
      </c>
    </row>
    <row r="100" spans="1:3" x14ac:dyDescent="0.25">
      <c r="A100" s="5" t="s">
        <v>26</v>
      </c>
      <c r="B100" s="5">
        <v>25</v>
      </c>
      <c r="C100" s="4" t="s">
        <v>2</v>
      </c>
    </row>
    <row r="101" spans="1:3" x14ac:dyDescent="0.25">
      <c r="A101" s="5" t="s">
        <v>26</v>
      </c>
      <c r="B101" s="5">
        <v>25</v>
      </c>
      <c r="C101" s="4" t="s">
        <v>5</v>
      </c>
    </row>
    <row r="102" spans="1:3" x14ac:dyDescent="0.25">
      <c r="A102" s="5" t="s">
        <v>27</v>
      </c>
      <c r="B102" s="5">
        <v>26</v>
      </c>
      <c r="C102" s="4" t="s">
        <v>4</v>
      </c>
    </row>
    <row r="103" spans="1:3" x14ac:dyDescent="0.25">
      <c r="A103" s="5" t="s">
        <v>27</v>
      </c>
      <c r="B103" s="5">
        <v>26</v>
      </c>
      <c r="C103" s="4" t="s">
        <v>3</v>
      </c>
    </row>
    <row r="104" spans="1:3" x14ac:dyDescent="0.25">
      <c r="A104" s="5" t="s">
        <v>27</v>
      </c>
      <c r="B104" s="5">
        <v>26</v>
      </c>
      <c r="C104" s="4" t="s">
        <v>2</v>
      </c>
    </row>
    <row r="105" spans="1:3" x14ac:dyDescent="0.25">
      <c r="A105" s="5" t="s">
        <v>27</v>
      </c>
      <c r="B105" s="5">
        <v>26</v>
      </c>
      <c r="C105" s="4" t="s">
        <v>5</v>
      </c>
    </row>
    <row r="106" spans="1:3" x14ac:dyDescent="0.25">
      <c r="A106" s="5" t="s">
        <v>30</v>
      </c>
      <c r="B106" s="5">
        <v>27</v>
      </c>
      <c r="C106" s="4" t="s">
        <v>4</v>
      </c>
    </row>
    <row r="107" spans="1:3" x14ac:dyDescent="0.25">
      <c r="A107" s="5" t="s">
        <v>30</v>
      </c>
      <c r="B107" s="5">
        <v>27</v>
      </c>
      <c r="C107" s="4" t="s">
        <v>3</v>
      </c>
    </row>
    <row r="108" spans="1:3" x14ac:dyDescent="0.25">
      <c r="A108" s="5" t="s">
        <v>30</v>
      </c>
      <c r="B108" s="5">
        <v>27</v>
      </c>
      <c r="C108" s="4" t="s">
        <v>2</v>
      </c>
    </row>
    <row r="109" spans="1:3" x14ac:dyDescent="0.25">
      <c r="A109" s="5" t="s">
        <v>30</v>
      </c>
      <c r="B109" s="5">
        <v>27</v>
      </c>
      <c r="C109" s="4" t="s">
        <v>5</v>
      </c>
    </row>
    <row r="110" spans="1:3" x14ac:dyDescent="0.25">
      <c r="A110" s="5" t="s">
        <v>28</v>
      </c>
      <c r="B110" s="5">
        <v>28</v>
      </c>
      <c r="C110" s="4" t="s">
        <v>4</v>
      </c>
    </row>
    <row r="111" spans="1:3" x14ac:dyDescent="0.25">
      <c r="A111" s="5" t="s">
        <v>28</v>
      </c>
      <c r="B111" s="5">
        <v>28</v>
      </c>
      <c r="C111" s="4" t="s">
        <v>3</v>
      </c>
    </row>
    <row r="112" spans="1:3" x14ac:dyDescent="0.25">
      <c r="A112" s="5" t="s">
        <v>28</v>
      </c>
      <c r="B112" s="5">
        <v>28</v>
      </c>
      <c r="C112" s="4" t="s">
        <v>2</v>
      </c>
    </row>
    <row r="113" spans="1:3" x14ac:dyDescent="0.25">
      <c r="A113" s="5" t="s">
        <v>28</v>
      </c>
      <c r="B113" s="5">
        <v>28</v>
      </c>
      <c r="C113" s="4" t="s">
        <v>5</v>
      </c>
    </row>
    <row r="114" spans="1:3" x14ac:dyDescent="0.25">
      <c r="A114" s="5" t="s">
        <v>29</v>
      </c>
      <c r="B114" s="5">
        <v>29</v>
      </c>
      <c r="C114" s="4" t="s">
        <v>4</v>
      </c>
    </row>
    <row r="115" spans="1:3" x14ac:dyDescent="0.25">
      <c r="A115" s="5" t="s">
        <v>29</v>
      </c>
      <c r="B115" s="5">
        <v>29</v>
      </c>
      <c r="C115" s="4" t="s">
        <v>3</v>
      </c>
    </row>
    <row r="116" spans="1:3" x14ac:dyDescent="0.25">
      <c r="A116" s="5" t="s">
        <v>29</v>
      </c>
      <c r="B116" s="5">
        <v>29</v>
      </c>
      <c r="C116" s="4" t="s">
        <v>2</v>
      </c>
    </row>
    <row r="117" spans="1:3" x14ac:dyDescent="0.25">
      <c r="A117" s="5" t="s">
        <v>29</v>
      </c>
      <c r="B117" s="5">
        <v>29</v>
      </c>
      <c r="C117" s="4" t="s">
        <v>5</v>
      </c>
    </row>
    <row r="118" spans="1:3" x14ac:dyDescent="0.25">
      <c r="A118" s="5" t="s">
        <v>31</v>
      </c>
      <c r="B118" s="5">
        <v>30</v>
      </c>
      <c r="C118" s="4" t="s">
        <v>4</v>
      </c>
    </row>
    <row r="119" spans="1:3" x14ac:dyDescent="0.25">
      <c r="A119" s="5" t="s">
        <v>31</v>
      </c>
      <c r="B119" s="5">
        <v>30</v>
      </c>
      <c r="C119" s="4" t="s">
        <v>3</v>
      </c>
    </row>
    <row r="120" spans="1:3" x14ac:dyDescent="0.25">
      <c r="A120" s="5" t="s">
        <v>31</v>
      </c>
      <c r="B120" s="5">
        <v>30</v>
      </c>
      <c r="C120" s="4" t="s">
        <v>2</v>
      </c>
    </row>
    <row r="121" spans="1:3" x14ac:dyDescent="0.25">
      <c r="A121" s="5" t="s">
        <v>31</v>
      </c>
      <c r="B121" s="5">
        <v>30</v>
      </c>
      <c r="C121" s="4" t="s">
        <v>5</v>
      </c>
    </row>
    <row r="122" spans="1:3" x14ac:dyDescent="0.25">
      <c r="A122" s="5" t="s">
        <v>33</v>
      </c>
      <c r="B122" s="5">
        <v>31</v>
      </c>
      <c r="C122" s="4" t="s">
        <v>4</v>
      </c>
    </row>
    <row r="123" spans="1:3" x14ac:dyDescent="0.25">
      <c r="A123" s="5" t="s">
        <v>33</v>
      </c>
      <c r="B123" s="5">
        <v>31</v>
      </c>
      <c r="C123" s="4" t="s">
        <v>3</v>
      </c>
    </row>
    <row r="124" spans="1:3" x14ac:dyDescent="0.25">
      <c r="A124" s="5" t="s">
        <v>33</v>
      </c>
      <c r="B124" s="5">
        <v>31</v>
      </c>
      <c r="C124" s="4" t="s">
        <v>2</v>
      </c>
    </row>
    <row r="125" spans="1:3" x14ac:dyDescent="0.25">
      <c r="A125" s="5" t="s">
        <v>33</v>
      </c>
      <c r="B125" s="5">
        <v>31</v>
      </c>
      <c r="C125" s="4" t="s">
        <v>5</v>
      </c>
    </row>
    <row r="126" spans="1:3" x14ac:dyDescent="0.25">
      <c r="A126" s="5" t="s">
        <v>32</v>
      </c>
      <c r="B126" s="5">
        <v>32</v>
      </c>
      <c r="C126" s="4" t="s">
        <v>4</v>
      </c>
    </row>
    <row r="127" spans="1:3" x14ac:dyDescent="0.25">
      <c r="A127" s="5" t="s">
        <v>32</v>
      </c>
      <c r="B127" s="5">
        <v>32</v>
      </c>
      <c r="C127" s="4" t="s">
        <v>3</v>
      </c>
    </row>
    <row r="128" spans="1:3" x14ac:dyDescent="0.25">
      <c r="A128" s="5" t="s">
        <v>32</v>
      </c>
      <c r="B128" s="5">
        <v>32</v>
      </c>
      <c r="C128" s="4" t="s">
        <v>2</v>
      </c>
    </row>
    <row r="129" spans="1:3" x14ac:dyDescent="0.25">
      <c r="A129" s="5" t="s">
        <v>32</v>
      </c>
      <c r="B129" s="5">
        <v>32</v>
      </c>
      <c r="C129" s="4" t="s">
        <v>5</v>
      </c>
    </row>
    <row r="130" spans="1:3" x14ac:dyDescent="0.25">
      <c r="A130" s="5" t="s">
        <v>34</v>
      </c>
      <c r="B130" s="5">
        <v>33</v>
      </c>
      <c r="C130" s="4" t="s">
        <v>4</v>
      </c>
    </row>
    <row r="131" spans="1:3" x14ac:dyDescent="0.25">
      <c r="A131" s="5" t="s">
        <v>34</v>
      </c>
      <c r="B131" s="5">
        <v>33</v>
      </c>
      <c r="C131" s="4" t="s">
        <v>3</v>
      </c>
    </row>
    <row r="132" spans="1:3" x14ac:dyDescent="0.25">
      <c r="A132" s="5" t="s">
        <v>34</v>
      </c>
      <c r="B132" s="5">
        <v>33</v>
      </c>
      <c r="C132" s="4" t="s">
        <v>2</v>
      </c>
    </row>
    <row r="133" spans="1:3" x14ac:dyDescent="0.25">
      <c r="A133" s="5" t="s">
        <v>34</v>
      </c>
      <c r="B133" s="5">
        <v>33</v>
      </c>
      <c r="C133" s="4" t="s">
        <v>5</v>
      </c>
    </row>
    <row r="134" spans="1:3" x14ac:dyDescent="0.25">
      <c r="A134" s="5" t="s">
        <v>35</v>
      </c>
      <c r="B134" s="5">
        <v>34</v>
      </c>
      <c r="C134" s="4" t="s">
        <v>4</v>
      </c>
    </row>
    <row r="135" spans="1:3" x14ac:dyDescent="0.25">
      <c r="A135" s="5" t="s">
        <v>35</v>
      </c>
      <c r="B135" s="5">
        <v>34</v>
      </c>
      <c r="C135" s="4" t="s">
        <v>3</v>
      </c>
    </row>
    <row r="136" spans="1:3" x14ac:dyDescent="0.25">
      <c r="A136" s="5" t="s">
        <v>35</v>
      </c>
      <c r="B136" s="5">
        <v>34</v>
      </c>
      <c r="C136" s="4" t="s">
        <v>2</v>
      </c>
    </row>
    <row r="137" spans="1:3" x14ac:dyDescent="0.25">
      <c r="A137" s="5" t="s">
        <v>35</v>
      </c>
      <c r="B137" s="5">
        <v>34</v>
      </c>
      <c r="C137" s="4" t="s">
        <v>5</v>
      </c>
    </row>
    <row r="138" spans="1:3" x14ac:dyDescent="0.25">
      <c r="A138" s="5" t="s">
        <v>69</v>
      </c>
      <c r="B138" s="5">
        <v>35</v>
      </c>
      <c r="C138" s="4" t="s">
        <v>4</v>
      </c>
    </row>
    <row r="139" spans="1:3" x14ac:dyDescent="0.25">
      <c r="A139" s="5" t="s">
        <v>69</v>
      </c>
      <c r="B139" s="5">
        <v>35</v>
      </c>
      <c r="C139" s="4" t="s">
        <v>3</v>
      </c>
    </row>
    <row r="140" spans="1:3" x14ac:dyDescent="0.25">
      <c r="A140" s="5" t="s">
        <v>69</v>
      </c>
      <c r="B140" s="5">
        <v>35</v>
      </c>
      <c r="C140" s="4" t="s">
        <v>2</v>
      </c>
    </row>
    <row r="141" spans="1:3" x14ac:dyDescent="0.25">
      <c r="A141" s="5" t="s">
        <v>69</v>
      </c>
      <c r="B141" s="5">
        <v>35</v>
      </c>
      <c r="C141" s="4" t="s">
        <v>5</v>
      </c>
    </row>
    <row r="142" spans="1:3" x14ac:dyDescent="0.25">
      <c r="A142" s="5" t="s">
        <v>37</v>
      </c>
      <c r="B142" s="5">
        <v>36</v>
      </c>
      <c r="C142" s="4" t="s">
        <v>4</v>
      </c>
    </row>
    <row r="143" spans="1:3" x14ac:dyDescent="0.25">
      <c r="A143" s="5" t="s">
        <v>37</v>
      </c>
      <c r="B143" s="5">
        <v>36</v>
      </c>
      <c r="C143" s="4" t="s">
        <v>3</v>
      </c>
    </row>
    <row r="144" spans="1:3" x14ac:dyDescent="0.25">
      <c r="A144" s="5" t="s">
        <v>37</v>
      </c>
      <c r="B144" s="5">
        <v>36</v>
      </c>
      <c r="C144" s="4" t="s">
        <v>2</v>
      </c>
    </row>
    <row r="145" spans="1:3" x14ac:dyDescent="0.25">
      <c r="A145" s="5" t="s">
        <v>37</v>
      </c>
      <c r="B145" s="5">
        <v>36</v>
      </c>
      <c r="C145" s="4" t="s">
        <v>5</v>
      </c>
    </row>
    <row r="146" spans="1:3" ht="15.75" x14ac:dyDescent="0.3">
      <c r="A146" s="6" t="s">
        <v>81</v>
      </c>
      <c r="B146" s="5">
        <v>37</v>
      </c>
      <c r="C146" s="4" t="s">
        <v>4</v>
      </c>
    </row>
    <row r="147" spans="1:3" ht="15.75" x14ac:dyDescent="0.3">
      <c r="A147" s="6" t="s">
        <v>81</v>
      </c>
      <c r="B147" s="5">
        <v>37</v>
      </c>
      <c r="C147" s="4" t="s">
        <v>3</v>
      </c>
    </row>
    <row r="148" spans="1:3" ht="15.75" x14ac:dyDescent="0.3">
      <c r="A148" s="6" t="s">
        <v>81</v>
      </c>
      <c r="B148" s="5">
        <v>37</v>
      </c>
      <c r="C148" s="4" t="s">
        <v>2</v>
      </c>
    </row>
    <row r="149" spans="1:3" ht="15.75" x14ac:dyDescent="0.3">
      <c r="A149" s="6" t="s">
        <v>81</v>
      </c>
      <c r="B149" s="5">
        <v>37</v>
      </c>
      <c r="C149" s="4" t="s">
        <v>5</v>
      </c>
    </row>
    <row r="150" spans="1:3" x14ac:dyDescent="0.25">
      <c r="A150" s="1" t="s">
        <v>38</v>
      </c>
      <c r="B150" s="5">
        <v>38</v>
      </c>
      <c r="C150" s="4" t="s">
        <v>4</v>
      </c>
    </row>
    <row r="151" spans="1:3" x14ac:dyDescent="0.25">
      <c r="A151" s="1" t="s">
        <v>38</v>
      </c>
      <c r="B151" s="5">
        <v>38</v>
      </c>
      <c r="C151" s="4" t="s">
        <v>3</v>
      </c>
    </row>
    <row r="152" spans="1:3" x14ac:dyDescent="0.25">
      <c r="A152" s="1" t="s">
        <v>38</v>
      </c>
      <c r="B152" s="5">
        <v>38</v>
      </c>
      <c r="C152" s="4" t="s">
        <v>2</v>
      </c>
    </row>
    <row r="153" spans="1:3" x14ac:dyDescent="0.25">
      <c r="A153" s="1" t="s">
        <v>38</v>
      </c>
      <c r="B153" s="5">
        <v>38</v>
      </c>
      <c r="C153" s="4" t="s">
        <v>5</v>
      </c>
    </row>
    <row r="154" spans="1:3" x14ac:dyDescent="0.25">
      <c r="A154" s="5" t="s">
        <v>36</v>
      </c>
      <c r="B154" s="5">
        <v>39</v>
      </c>
      <c r="C154" s="4" t="s">
        <v>4</v>
      </c>
    </row>
    <row r="155" spans="1:3" x14ac:dyDescent="0.25">
      <c r="A155" s="5" t="s">
        <v>36</v>
      </c>
      <c r="B155" s="5">
        <v>39</v>
      </c>
      <c r="C155" s="4" t="s">
        <v>3</v>
      </c>
    </row>
    <row r="156" spans="1:3" x14ac:dyDescent="0.25">
      <c r="A156" s="5" t="s">
        <v>36</v>
      </c>
      <c r="B156" s="5">
        <v>39</v>
      </c>
      <c r="C156" s="4" t="s">
        <v>2</v>
      </c>
    </row>
    <row r="157" spans="1:3" x14ac:dyDescent="0.25">
      <c r="A157" s="5" t="s">
        <v>36</v>
      </c>
      <c r="B157" s="5">
        <v>39</v>
      </c>
      <c r="C157" s="4" t="s">
        <v>5</v>
      </c>
    </row>
    <row r="158" spans="1:3" x14ac:dyDescent="0.25">
      <c r="A158" s="5" t="s">
        <v>39</v>
      </c>
      <c r="B158" s="5">
        <v>40</v>
      </c>
      <c r="C158" s="4" t="s">
        <v>4</v>
      </c>
    </row>
    <row r="159" spans="1:3" x14ac:dyDescent="0.25">
      <c r="A159" s="5" t="s">
        <v>39</v>
      </c>
      <c r="B159" s="5">
        <v>40</v>
      </c>
      <c r="C159" s="4" t="s">
        <v>3</v>
      </c>
    </row>
    <row r="160" spans="1:3" x14ac:dyDescent="0.25">
      <c r="A160" s="5" t="s">
        <v>39</v>
      </c>
      <c r="B160" s="5">
        <v>40</v>
      </c>
      <c r="C160" s="4" t="s">
        <v>2</v>
      </c>
    </row>
    <row r="161" spans="1:3" x14ac:dyDescent="0.25">
      <c r="A161" s="5" t="s">
        <v>39</v>
      </c>
      <c r="B161" s="5">
        <v>40</v>
      </c>
      <c r="C161" s="4" t="s">
        <v>5</v>
      </c>
    </row>
    <row r="162" spans="1:3" x14ac:dyDescent="0.25">
      <c r="A162" s="5" t="s">
        <v>40</v>
      </c>
      <c r="B162" s="5">
        <v>41</v>
      </c>
      <c r="C162" s="4" t="s">
        <v>4</v>
      </c>
    </row>
    <row r="163" spans="1:3" x14ac:dyDescent="0.25">
      <c r="A163" s="5" t="s">
        <v>40</v>
      </c>
      <c r="B163" s="5">
        <v>41</v>
      </c>
      <c r="C163" s="4" t="s">
        <v>3</v>
      </c>
    </row>
    <row r="164" spans="1:3" x14ac:dyDescent="0.25">
      <c r="A164" s="5" t="s">
        <v>40</v>
      </c>
      <c r="B164" s="5">
        <v>41</v>
      </c>
      <c r="C164" s="4" t="s">
        <v>2</v>
      </c>
    </row>
    <row r="165" spans="1:3" x14ac:dyDescent="0.25">
      <c r="A165" s="5" t="s">
        <v>40</v>
      </c>
      <c r="B165" s="5">
        <v>41</v>
      </c>
      <c r="C165" s="4" t="s">
        <v>5</v>
      </c>
    </row>
    <row r="166" spans="1:3" x14ac:dyDescent="0.25">
      <c r="A166" s="5" t="s">
        <v>41</v>
      </c>
      <c r="B166" s="5">
        <v>42</v>
      </c>
      <c r="C166" s="4" t="s">
        <v>4</v>
      </c>
    </row>
    <row r="167" spans="1:3" x14ac:dyDescent="0.25">
      <c r="A167" s="5" t="s">
        <v>41</v>
      </c>
      <c r="B167" s="5">
        <v>42</v>
      </c>
      <c r="C167" s="4" t="s">
        <v>3</v>
      </c>
    </row>
    <row r="168" spans="1:3" x14ac:dyDescent="0.25">
      <c r="A168" s="5" t="s">
        <v>41</v>
      </c>
      <c r="B168" s="5">
        <v>42</v>
      </c>
      <c r="C168" s="4" t="s">
        <v>2</v>
      </c>
    </row>
    <row r="169" spans="1:3" x14ac:dyDescent="0.25">
      <c r="A169" s="5" t="s">
        <v>41</v>
      </c>
      <c r="B169" s="5">
        <v>42</v>
      </c>
      <c r="C169" s="4" t="s">
        <v>5</v>
      </c>
    </row>
    <row r="170" spans="1:3" x14ac:dyDescent="0.25">
      <c r="A170" s="5" t="s">
        <v>42</v>
      </c>
      <c r="B170" s="5">
        <v>43</v>
      </c>
      <c r="C170" s="4" t="s">
        <v>4</v>
      </c>
    </row>
    <row r="171" spans="1:3" x14ac:dyDescent="0.25">
      <c r="A171" s="5" t="s">
        <v>42</v>
      </c>
      <c r="B171" s="5">
        <v>43</v>
      </c>
      <c r="C171" s="4" t="s">
        <v>3</v>
      </c>
    </row>
    <row r="172" spans="1:3" x14ac:dyDescent="0.25">
      <c r="A172" s="5" t="s">
        <v>42</v>
      </c>
      <c r="B172" s="5">
        <v>43</v>
      </c>
      <c r="C172" s="4" t="s">
        <v>2</v>
      </c>
    </row>
    <row r="173" spans="1:3" x14ac:dyDescent="0.25">
      <c r="A173" s="5" t="s">
        <v>42</v>
      </c>
      <c r="B173" s="5">
        <v>43</v>
      </c>
      <c r="C173" s="4" t="s">
        <v>5</v>
      </c>
    </row>
    <row r="174" spans="1:3" x14ac:dyDescent="0.25">
      <c r="A174" s="5" t="s">
        <v>43</v>
      </c>
      <c r="B174" s="5">
        <v>44</v>
      </c>
      <c r="C174" s="4" t="s">
        <v>4</v>
      </c>
    </row>
    <row r="175" spans="1:3" x14ac:dyDescent="0.25">
      <c r="A175" s="5" t="s">
        <v>43</v>
      </c>
      <c r="B175" s="5">
        <v>44</v>
      </c>
      <c r="C175" s="4" t="s">
        <v>3</v>
      </c>
    </row>
    <row r="176" spans="1:3" x14ac:dyDescent="0.25">
      <c r="A176" s="5" t="s">
        <v>43</v>
      </c>
      <c r="B176" s="5">
        <v>44</v>
      </c>
      <c r="C176" s="4" t="s">
        <v>2</v>
      </c>
    </row>
    <row r="177" spans="1:3" x14ac:dyDescent="0.25">
      <c r="A177" s="5" t="s">
        <v>43</v>
      </c>
      <c r="B177" s="5">
        <v>44</v>
      </c>
      <c r="C177" s="4" t="s">
        <v>5</v>
      </c>
    </row>
    <row r="178" spans="1:3" x14ac:dyDescent="0.25">
      <c r="A178" s="5" t="s">
        <v>44</v>
      </c>
      <c r="B178" s="5">
        <v>45</v>
      </c>
      <c r="C178" s="4" t="s">
        <v>4</v>
      </c>
    </row>
    <row r="179" spans="1:3" x14ac:dyDescent="0.25">
      <c r="A179" s="5" t="s">
        <v>44</v>
      </c>
      <c r="B179" s="5">
        <v>45</v>
      </c>
      <c r="C179" s="4" t="s">
        <v>3</v>
      </c>
    </row>
    <row r="180" spans="1:3" x14ac:dyDescent="0.25">
      <c r="A180" s="5" t="s">
        <v>44</v>
      </c>
      <c r="B180" s="5">
        <v>45</v>
      </c>
      <c r="C180" s="4" t="s">
        <v>2</v>
      </c>
    </row>
    <row r="181" spans="1:3" x14ac:dyDescent="0.25">
      <c r="A181" s="5" t="s">
        <v>44</v>
      </c>
      <c r="B181" s="5">
        <v>45</v>
      </c>
      <c r="C181" s="4" t="s">
        <v>5</v>
      </c>
    </row>
    <row r="182" spans="1:3" x14ac:dyDescent="0.25">
      <c r="A182" s="5" t="s">
        <v>45</v>
      </c>
      <c r="B182" s="5">
        <v>46</v>
      </c>
      <c r="C182" s="4" t="s">
        <v>4</v>
      </c>
    </row>
    <row r="183" spans="1:3" x14ac:dyDescent="0.25">
      <c r="A183" s="5" t="s">
        <v>45</v>
      </c>
      <c r="B183" s="5">
        <v>46</v>
      </c>
      <c r="C183" s="4" t="s">
        <v>3</v>
      </c>
    </row>
    <row r="184" spans="1:3" x14ac:dyDescent="0.25">
      <c r="A184" s="5" t="s">
        <v>45</v>
      </c>
      <c r="B184" s="5">
        <v>46</v>
      </c>
      <c r="C184" s="4" t="s">
        <v>2</v>
      </c>
    </row>
    <row r="185" spans="1:3" x14ac:dyDescent="0.25">
      <c r="A185" s="5" t="s">
        <v>45</v>
      </c>
      <c r="B185" s="5">
        <v>46</v>
      </c>
      <c r="C185" s="4" t="s">
        <v>5</v>
      </c>
    </row>
    <row r="186" spans="1:3" x14ac:dyDescent="0.25">
      <c r="A186" s="5" t="s">
        <v>82</v>
      </c>
      <c r="B186" s="5">
        <v>47</v>
      </c>
      <c r="C186" s="4" t="s">
        <v>4</v>
      </c>
    </row>
    <row r="187" spans="1:3" x14ac:dyDescent="0.25">
      <c r="A187" s="5" t="s">
        <v>82</v>
      </c>
      <c r="B187" s="5">
        <v>47</v>
      </c>
      <c r="C187" s="4" t="s">
        <v>3</v>
      </c>
    </row>
    <row r="188" spans="1:3" x14ac:dyDescent="0.25">
      <c r="A188" s="5" t="s">
        <v>82</v>
      </c>
      <c r="B188" s="5">
        <v>47</v>
      </c>
      <c r="C188" s="4" t="s">
        <v>2</v>
      </c>
    </row>
    <row r="189" spans="1:3" x14ac:dyDescent="0.25">
      <c r="A189" s="5" t="s">
        <v>82</v>
      </c>
      <c r="B189" s="5">
        <v>47</v>
      </c>
      <c r="C189" s="4" t="s">
        <v>5</v>
      </c>
    </row>
    <row r="190" spans="1:3" x14ac:dyDescent="0.25">
      <c r="A190" s="5" t="s">
        <v>47</v>
      </c>
      <c r="B190" s="5">
        <v>48</v>
      </c>
      <c r="C190" s="4" t="s">
        <v>4</v>
      </c>
    </row>
    <row r="191" spans="1:3" x14ac:dyDescent="0.25">
      <c r="A191" s="5" t="s">
        <v>47</v>
      </c>
      <c r="B191" s="5">
        <v>48</v>
      </c>
      <c r="C191" s="4" t="s">
        <v>3</v>
      </c>
    </row>
    <row r="192" spans="1:3" x14ac:dyDescent="0.25">
      <c r="A192" s="5" t="s">
        <v>47</v>
      </c>
      <c r="B192" s="5">
        <v>48</v>
      </c>
      <c r="C192" s="4" t="s">
        <v>2</v>
      </c>
    </row>
    <row r="193" spans="1:3" x14ac:dyDescent="0.25">
      <c r="A193" s="5" t="s">
        <v>47</v>
      </c>
      <c r="B193" s="5">
        <v>48</v>
      </c>
      <c r="C193" s="4" t="s">
        <v>5</v>
      </c>
    </row>
    <row r="194" spans="1:3" x14ac:dyDescent="0.25">
      <c r="A194" s="5" t="s">
        <v>48</v>
      </c>
      <c r="B194" s="5">
        <v>49</v>
      </c>
      <c r="C194" s="4" t="s">
        <v>4</v>
      </c>
    </row>
    <row r="195" spans="1:3" x14ac:dyDescent="0.25">
      <c r="A195" s="5" t="s">
        <v>48</v>
      </c>
      <c r="B195" s="5">
        <v>49</v>
      </c>
      <c r="C195" s="4" t="s">
        <v>3</v>
      </c>
    </row>
    <row r="196" spans="1:3" x14ac:dyDescent="0.25">
      <c r="A196" s="5" t="s">
        <v>48</v>
      </c>
      <c r="B196" s="5">
        <v>49</v>
      </c>
      <c r="C196" s="4" t="s">
        <v>2</v>
      </c>
    </row>
    <row r="197" spans="1:3" x14ac:dyDescent="0.25">
      <c r="A197" s="5" t="s">
        <v>48</v>
      </c>
      <c r="B197" s="5">
        <v>49</v>
      </c>
      <c r="C197" s="4" t="s">
        <v>5</v>
      </c>
    </row>
    <row r="198" spans="1:3" x14ac:dyDescent="0.25">
      <c r="A198" s="1" t="s">
        <v>49</v>
      </c>
      <c r="B198" s="5">
        <v>50</v>
      </c>
      <c r="C198" s="4" t="s">
        <v>4</v>
      </c>
    </row>
    <row r="199" spans="1:3" x14ac:dyDescent="0.25">
      <c r="A199" s="1" t="s">
        <v>49</v>
      </c>
      <c r="B199" s="5">
        <v>50</v>
      </c>
      <c r="C199" s="4" t="s">
        <v>3</v>
      </c>
    </row>
    <row r="200" spans="1:3" x14ac:dyDescent="0.25">
      <c r="A200" s="4" t="s">
        <v>49</v>
      </c>
      <c r="B200" s="5">
        <v>50</v>
      </c>
      <c r="C200" s="4" t="s">
        <v>2</v>
      </c>
    </row>
    <row r="201" spans="1:3" x14ac:dyDescent="0.25">
      <c r="A201" s="1" t="s">
        <v>49</v>
      </c>
      <c r="B201" s="5">
        <v>50</v>
      </c>
      <c r="C201" s="4" t="s">
        <v>5</v>
      </c>
    </row>
    <row r="202" spans="1:3" x14ac:dyDescent="0.25">
      <c r="A202" s="5" t="s">
        <v>50</v>
      </c>
      <c r="B202" s="5">
        <v>51</v>
      </c>
      <c r="C202" s="4" t="s">
        <v>4</v>
      </c>
    </row>
    <row r="203" spans="1:3" x14ac:dyDescent="0.25">
      <c r="A203" s="5" t="s">
        <v>50</v>
      </c>
      <c r="B203" s="5">
        <v>51</v>
      </c>
      <c r="C203" s="4" t="s">
        <v>3</v>
      </c>
    </row>
    <row r="204" spans="1:3" x14ac:dyDescent="0.25">
      <c r="A204" s="5" t="s">
        <v>50</v>
      </c>
      <c r="B204" s="5">
        <v>51</v>
      </c>
      <c r="C204" s="4" t="s">
        <v>2</v>
      </c>
    </row>
    <row r="205" spans="1:3" x14ac:dyDescent="0.25">
      <c r="A205" s="5" t="s">
        <v>50</v>
      </c>
      <c r="B205" s="5">
        <v>51</v>
      </c>
      <c r="C205" s="4" t="s">
        <v>5</v>
      </c>
    </row>
    <row r="206" spans="1:3" x14ac:dyDescent="0.25">
      <c r="A206" s="1" t="s">
        <v>83</v>
      </c>
      <c r="B206" s="5">
        <v>52</v>
      </c>
      <c r="C206" s="4" t="s">
        <v>4</v>
      </c>
    </row>
    <row r="207" spans="1:3" x14ac:dyDescent="0.25">
      <c r="A207" s="1" t="s">
        <v>83</v>
      </c>
      <c r="B207" s="5">
        <v>52</v>
      </c>
      <c r="C207" s="4" t="s">
        <v>3</v>
      </c>
    </row>
    <row r="208" spans="1:3" x14ac:dyDescent="0.25">
      <c r="A208" s="4" t="s">
        <v>83</v>
      </c>
      <c r="B208" s="5">
        <v>52</v>
      </c>
      <c r="C208" s="4" t="s">
        <v>2</v>
      </c>
    </row>
    <row r="209" spans="1:3" x14ac:dyDescent="0.25">
      <c r="A209" s="1" t="s">
        <v>83</v>
      </c>
      <c r="B209" s="5">
        <v>52</v>
      </c>
      <c r="C209" s="4" t="s">
        <v>5</v>
      </c>
    </row>
    <row r="210" spans="1:3" x14ac:dyDescent="0.25">
      <c r="A210" s="1" t="s">
        <v>84</v>
      </c>
      <c r="B210" s="5">
        <v>53</v>
      </c>
      <c r="C210" s="4" t="s">
        <v>4</v>
      </c>
    </row>
    <row r="211" spans="1:3" x14ac:dyDescent="0.25">
      <c r="A211" s="1" t="s">
        <v>84</v>
      </c>
      <c r="B211" s="5">
        <v>53</v>
      </c>
      <c r="C211" s="4" t="s">
        <v>3</v>
      </c>
    </row>
    <row r="212" spans="1:3" x14ac:dyDescent="0.25">
      <c r="A212" s="4" t="s">
        <v>84</v>
      </c>
      <c r="B212" s="5">
        <v>53</v>
      </c>
      <c r="C212" s="4" t="s">
        <v>2</v>
      </c>
    </row>
    <row r="213" spans="1:3" x14ac:dyDescent="0.25">
      <c r="A213" s="1" t="s">
        <v>84</v>
      </c>
      <c r="B213" s="5">
        <v>53</v>
      </c>
      <c r="C213" s="4" t="s">
        <v>5</v>
      </c>
    </row>
    <row r="214" spans="1:3" x14ac:dyDescent="0.25">
      <c r="A214" s="1" t="s">
        <v>51</v>
      </c>
      <c r="B214" s="5">
        <v>54</v>
      </c>
      <c r="C214" s="4" t="s">
        <v>4</v>
      </c>
    </row>
    <row r="215" spans="1:3" x14ac:dyDescent="0.25">
      <c r="A215" s="1" t="s">
        <v>51</v>
      </c>
      <c r="B215" s="5">
        <v>54</v>
      </c>
      <c r="C215" s="4" t="s">
        <v>3</v>
      </c>
    </row>
    <row r="216" spans="1:3" x14ac:dyDescent="0.25">
      <c r="A216" s="4" t="s">
        <v>51</v>
      </c>
      <c r="B216" s="5">
        <v>54</v>
      </c>
      <c r="C216" s="4" t="s">
        <v>2</v>
      </c>
    </row>
    <row r="217" spans="1:3" x14ac:dyDescent="0.25">
      <c r="A217" s="1" t="s">
        <v>51</v>
      </c>
      <c r="B217" s="5">
        <v>54</v>
      </c>
      <c r="C217" s="4" t="s">
        <v>5</v>
      </c>
    </row>
    <row r="218" spans="1:3" x14ac:dyDescent="0.25">
      <c r="A218" s="5" t="s">
        <v>70</v>
      </c>
      <c r="B218" s="5">
        <v>55</v>
      </c>
      <c r="C218" s="4" t="s">
        <v>4</v>
      </c>
    </row>
    <row r="219" spans="1:3" x14ac:dyDescent="0.25">
      <c r="A219" s="5" t="s">
        <v>70</v>
      </c>
      <c r="B219" s="5">
        <v>55</v>
      </c>
      <c r="C219" s="4" t="s">
        <v>3</v>
      </c>
    </row>
    <row r="220" spans="1:3" x14ac:dyDescent="0.25">
      <c r="A220" s="5" t="s">
        <v>70</v>
      </c>
      <c r="B220" s="5">
        <v>55</v>
      </c>
      <c r="C220" s="4" t="s">
        <v>2</v>
      </c>
    </row>
    <row r="221" spans="1:3" x14ac:dyDescent="0.25">
      <c r="A221" s="5" t="s">
        <v>70</v>
      </c>
      <c r="B221" s="5">
        <v>55</v>
      </c>
      <c r="C221" s="4" t="s">
        <v>5</v>
      </c>
    </row>
    <row r="222" spans="1:3" x14ac:dyDescent="0.25">
      <c r="A222" s="5" t="s">
        <v>52</v>
      </c>
      <c r="B222" s="5">
        <v>56</v>
      </c>
      <c r="C222" s="4" t="s">
        <v>4</v>
      </c>
    </row>
    <row r="223" spans="1:3" x14ac:dyDescent="0.25">
      <c r="A223" s="5" t="s">
        <v>52</v>
      </c>
      <c r="B223" s="5">
        <v>56</v>
      </c>
      <c r="C223" s="4" t="s">
        <v>3</v>
      </c>
    </row>
    <row r="224" spans="1:3" x14ac:dyDescent="0.25">
      <c r="A224" s="5" t="s">
        <v>52</v>
      </c>
      <c r="B224" s="5">
        <v>56</v>
      </c>
      <c r="C224" s="4" t="s">
        <v>2</v>
      </c>
    </row>
    <row r="225" spans="1:3" x14ac:dyDescent="0.25">
      <c r="A225" s="5" t="s">
        <v>52</v>
      </c>
      <c r="B225" s="5">
        <v>56</v>
      </c>
      <c r="C225" s="4" t="s">
        <v>5</v>
      </c>
    </row>
    <row r="226" spans="1:3" x14ac:dyDescent="0.25">
      <c r="A226" s="5" t="s">
        <v>53</v>
      </c>
      <c r="B226" s="5">
        <v>57</v>
      </c>
      <c r="C226" s="4" t="s">
        <v>4</v>
      </c>
    </row>
    <row r="227" spans="1:3" x14ac:dyDescent="0.25">
      <c r="A227" s="5" t="s">
        <v>53</v>
      </c>
      <c r="B227" s="5">
        <v>57</v>
      </c>
      <c r="C227" s="4" t="s">
        <v>3</v>
      </c>
    </row>
    <row r="228" spans="1:3" x14ac:dyDescent="0.25">
      <c r="A228" s="5" t="s">
        <v>53</v>
      </c>
      <c r="B228" s="5">
        <v>57</v>
      </c>
      <c r="C228" s="4" t="s">
        <v>2</v>
      </c>
    </row>
    <row r="229" spans="1:3" x14ac:dyDescent="0.25">
      <c r="A229" s="5" t="s">
        <v>53</v>
      </c>
      <c r="B229" s="5">
        <v>57</v>
      </c>
      <c r="C229" s="4" t="s">
        <v>5</v>
      </c>
    </row>
    <row r="230" spans="1:3" x14ac:dyDescent="0.25">
      <c r="A230" s="5" t="s">
        <v>54</v>
      </c>
      <c r="B230" s="5">
        <v>58</v>
      </c>
      <c r="C230" s="4" t="s">
        <v>4</v>
      </c>
    </row>
    <row r="231" spans="1:3" x14ac:dyDescent="0.25">
      <c r="A231" s="5" t="s">
        <v>54</v>
      </c>
      <c r="B231" s="5">
        <v>58</v>
      </c>
      <c r="C231" s="4" t="s">
        <v>3</v>
      </c>
    </row>
    <row r="232" spans="1:3" x14ac:dyDescent="0.25">
      <c r="A232" s="5" t="s">
        <v>54</v>
      </c>
      <c r="B232" s="5">
        <v>58</v>
      </c>
      <c r="C232" s="4" t="s">
        <v>2</v>
      </c>
    </row>
    <row r="233" spans="1:3" x14ac:dyDescent="0.25">
      <c r="A233" s="5" t="s">
        <v>54</v>
      </c>
      <c r="B233" s="5">
        <v>58</v>
      </c>
      <c r="C233" s="4" t="s">
        <v>5</v>
      </c>
    </row>
    <row r="234" spans="1:3" x14ac:dyDescent="0.25">
      <c r="A234" s="5" t="s">
        <v>55</v>
      </c>
      <c r="B234" s="5">
        <v>59</v>
      </c>
      <c r="C234" s="4" t="s">
        <v>4</v>
      </c>
    </row>
    <row r="235" spans="1:3" x14ac:dyDescent="0.25">
      <c r="A235" s="5" t="s">
        <v>55</v>
      </c>
      <c r="B235" s="5">
        <v>59</v>
      </c>
      <c r="C235" s="4" t="s">
        <v>3</v>
      </c>
    </row>
    <row r="236" spans="1:3" x14ac:dyDescent="0.25">
      <c r="A236" s="5" t="s">
        <v>55</v>
      </c>
      <c r="B236" s="5">
        <v>59</v>
      </c>
      <c r="C236" s="4" t="s">
        <v>2</v>
      </c>
    </row>
    <row r="237" spans="1:3" x14ac:dyDescent="0.25">
      <c r="A237" s="5" t="s">
        <v>55</v>
      </c>
      <c r="B237" s="5">
        <v>59</v>
      </c>
      <c r="C237" s="4" t="s">
        <v>5</v>
      </c>
    </row>
    <row r="238" spans="1:3" x14ac:dyDescent="0.25">
      <c r="A238" s="5" t="s">
        <v>85</v>
      </c>
      <c r="B238" s="5">
        <v>60</v>
      </c>
      <c r="C238" s="4" t="s">
        <v>4</v>
      </c>
    </row>
    <row r="239" spans="1:3" x14ac:dyDescent="0.25">
      <c r="A239" s="5" t="s">
        <v>85</v>
      </c>
      <c r="B239" s="5">
        <v>60</v>
      </c>
      <c r="C239" s="4" t="s">
        <v>3</v>
      </c>
    </row>
    <row r="240" spans="1:3" x14ac:dyDescent="0.25">
      <c r="A240" s="5" t="s">
        <v>85</v>
      </c>
      <c r="B240" s="5">
        <v>60</v>
      </c>
      <c r="C240" s="4" t="s">
        <v>2</v>
      </c>
    </row>
    <row r="241" spans="1:3" x14ac:dyDescent="0.25">
      <c r="A241" s="5" t="s">
        <v>85</v>
      </c>
      <c r="B241" s="5">
        <v>60</v>
      </c>
      <c r="C241" s="4" t="s">
        <v>5</v>
      </c>
    </row>
    <row r="242" spans="1:3" x14ac:dyDescent="0.25">
      <c r="A242" s="5" t="s">
        <v>66</v>
      </c>
      <c r="B242" s="5">
        <v>61</v>
      </c>
      <c r="C242" s="4" t="s">
        <v>4</v>
      </c>
    </row>
    <row r="243" spans="1:3" x14ac:dyDescent="0.25">
      <c r="A243" s="5" t="s">
        <v>66</v>
      </c>
      <c r="B243" s="5">
        <v>61</v>
      </c>
      <c r="C243" s="4" t="s">
        <v>3</v>
      </c>
    </row>
    <row r="244" spans="1:3" x14ac:dyDescent="0.25">
      <c r="A244" s="5" t="s">
        <v>66</v>
      </c>
      <c r="B244" s="5">
        <v>61</v>
      </c>
      <c r="C244" s="4" t="s">
        <v>2</v>
      </c>
    </row>
    <row r="245" spans="1:3" x14ac:dyDescent="0.25">
      <c r="A245" s="5" t="s">
        <v>66</v>
      </c>
      <c r="B245" s="5">
        <v>61</v>
      </c>
      <c r="C245" s="4" t="s">
        <v>5</v>
      </c>
    </row>
    <row r="246" spans="1:3" x14ac:dyDescent="0.25">
      <c r="A246" s="5" t="s">
        <v>71</v>
      </c>
      <c r="B246" s="5">
        <v>62</v>
      </c>
      <c r="C246" s="4" t="s">
        <v>4</v>
      </c>
    </row>
    <row r="247" spans="1:3" x14ac:dyDescent="0.25">
      <c r="A247" s="5" t="s">
        <v>71</v>
      </c>
      <c r="B247" s="5">
        <v>62</v>
      </c>
      <c r="C247" s="4" t="s">
        <v>3</v>
      </c>
    </row>
    <row r="248" spans="1:3" x14ac:dyDescent="0.25">
      <c r="A248" s="5" t="s">
        <v>71</v>
      </c>
      <c r="B248" s="5">
        <v>62</v>
      </c>
      <c r="C248" s="4" t="s">
        <v>2</v>
      </c>
    </row>
    <row r="249" spans="1:3" x14ac:dyDescent="0.25">
      <c r="A249" s="5" t="s">
        <v>71</v>
      </c>
      <c r="B249" s="5">
        <v>62</v>
      </c>
      <c r="C249" s="4" t="s">
        <v>5</v>
      </c>
    </row>
    <row r="250" spans="1:3" x14ac:dyDescent="0.25">
      <c r="A250" s="5" t="s">
        <v>72</v>
      </c>
      <c r="B250" s="5">
        <v>63</v>
      </c>
      <c r="C250" s="4" t="s">
        <v>4</v>
      </c>
    </row>
    <row r="251" spans="1:3" x14ac:dyDescent="0.25">
      <c r="A251" s="5" t="s">
        <v>72</v>
      </c>
      <c r="B251" s="5">
        <v>63</v>
      </c>
      <c r="C251" s="4" t="s">
        <v>3</v>
      </c>
    </row>
    <row r="252" spans="1:3" x14ac:dyDescent="0.25">
      <c r="A252" s="5" t="s">
        <v>72</v>
      </c>
      <c r="B252" s="5">
        <v>63</v>
      </c>
      <c r="C252" s="4" t="s">
        <v>2</v>
      </c>
    </row>
    <row r="253" spans="1:3" x14ac:dyDescent="0.25">
      <c r="A253" s="5" t="s">
        <v>72</v>
      </c>
      <c r="B253" s="5">
        <v>63</v>
      </c>
      <c r="C253" s="4" t="s">
        <v>5</v>
      </c>
    </row>
    <row r="254" spans="1:3" x14ac:dyDescent="0.25">
      <c r="A254" s="5" t="s">
        <v>79</v>
      </c>
      <c r="B254" s="5">
        <v>64</v>
      </c>
      <c r="C254" s="4" t="s">
        <v>4</v>
      </c>
    </row>
    <row r="255" spans="1:3" x14ac:dyDescent="0.25">
      <c r="A255" s="5" t="s">
        <v>79</v>
      </c>
      <c r="B255" s="5">
        <v>64</v>
      </c>
      <c r="C255" s="4" t="s">
        <v>3</v>
      </c>
    </row>
    <row r="256" spans="1:3" x14ac:dyDescent="0.25">
      <c r="A256" s="5" t="s">
        <v>79</v>
      </c>
      <c r="B256" s="5">
        <v>64</v>
      </c>
      <c r="C256" s="4" t="s">
        <v>2</v>
      </c>
    </row>
    <row r="257" spans="1:3" x14ac:dyDescent="0.25">
      <c r="A257" s="5" t="s">
        <v>79</v>
      </c>
      <c r="B257" s="5">
        <v>64</v>
      </c>
      <c r="C257" s="4" t="s">
        <v>5</v>
      </c>
    </row>
    <row r="258" spans="1:3" x14ac:dyDescent="0.25">
      <c r="A258" s="5" t="s">
        <v>86</v>
      </c>
      <c r="B258" s="5">
        <v>65</v>
      </c>
      <c r="C258" s="4" t="s">
        <v>4</v>
      </c>
    </row>
    <row r="259" spans="1:3" x14ac:dyDescent="0.25">
      <c r="A259" s="5" t="s">
        <v>86</v>
      </c>
      <c r="B259" s="5">
        <v>65</v>
      </c>
      <c r="C259" s="4" t="s">
        <v>3</v>
      </c>
    </row>
    <row r="260" spans="1:3" x14ac:dyDescent="0.25">
      <c r="A260" s="5" t="s">
        <v>86</v>
      </c>
      <c r="B260" s="5">
        <v>65</v>
      </c>
      <c r="C260" s="4" t="s">
        <v>2</v>
      </c>
    </row>
    <row r="261" spans="1:3" x14ac:dyDescent="0.25">
      <c r="A261" s="5" t="s">
        <v>86</v>
      </c>
      <c r="B261" s="5">
        <v>65</v>
      </c>
      <c r="C261" s="4" t="s">
        <v>5</v>
      </c>
    </row>
    <row r="262" spans="1:3" x14ac:dyDescent="0.25">
      <c r="A262" s="5" t="s">
        <v>87</v>
      </c>
      <c r="B262" s="5">
        <v>66</v>
      </c>
      <c r="C262" s="4" t="s">
        <v>4</v>
      </c>
    </row>
    <row r="263" spans="1:3" x14ac:dyDescent="0.25">
      <c r="A263" s="5" t="s">
        <v>87</v>
      </c>
      <c r="B263" s="5">
        <v>66</v>
      </c>
      <c r="C263" s="4" t="s">
        <v>3</v>
      </c>
    </row>
    <row r="264" spans="1:3" x14ac:dyDescent="0.25">
      <c r="A264" s="5" t="s">
        <v>87</v>
      </c>
      <c r="B264" s="5">
        <v>66</v>
      </c>
      <c r="C264" s="4" t="s">
        <v>2</v>
      </c>
    </row>
    <row r="265" spans="1:3" x14ac:dyDescent="0.25">
      <c r="A265" s="5" t="s">
        <v>87</v>
      </c>
      <c r="B265" s="5">
        <v>66</v>
      </c>
      <c r="C265" s="4" t="s">
        <v>5</v>
      </c>
    </row>
    <row r="266" spans="1:3" x14ac:dyDescent="0.25">
      <c r="A266" s="5" t="s">
        <v>92</v>
      </c>
      <c r="B266" s="5">
        <v>67</v>
      </c>
      <c r="C266" s="4" t="s">
        <v>4</v>
      </c>
    </row>
    <row r="267" spans="1:3" x14ac:dyDescent="0.25">
      <c r="A267" s="5" t="s">
        <v>92</v>
      </c>
      <c r="B267" s="5">
        <v>67</v>
      </c>
      <c r="C267" s="4" t="s">
        <v>3</v>
      </c>
    </row>
    <row r="268" spans="1:3" x14ac:dyDescent="0.25">
      <c r="A268" s="5" t="s">
        <v>92</v>
      </c>
      <c r="B268" s="5">
        <v>67</v>
      </c>
      <c r="C268" s="4" t="s">
        <v>2</v>
      </c>
    </row>
    <row r="269" spans="1:3" x14ac:dyDescent="0.25">
      <c r="A269" s="5" t="s">
        <v>92</v>
      </c>
      <c r="B269" s="5">
        <v>67</v>
      </c>
      <c r="C269" s="4" t="s">
        <v>5</v>
      </c>
    </row>
    <row r="270" spans="1:3" x14ac:dyDescent="0.25">
      <c r="A270" s="5" t="s">
        <v>93</v>
      </c>
      <c r="B270" s="5">
        <v>68</v>
      </c>
      <c r="C270" s="4" t="s">
        <v>4</v>
      </c>
    </row>
    <row r="271" spans="1:3" x14ac:dyDescent="0.25">
      <c r="A271" s="5" t="s">
        <v>93</v>
      </c>
      <c r="B271" s="5">
        <v>68</v>
      </c>
      <c r="C271" s="4" t="s">
        <v>3</v>
      </c>
    </row>
    <row r="272" spans="1:3" x14ac:dyDescent="0.25">
      <c r="A272" s="5" t="s">
        <v>93</v>
      </c>
      <c r="B272" s="5">
        <v>68</v>
      </c>
      <c r="C272" s="4" t="s">
        <v>2</v>
      </c>
    </row>
    <row r="273" spans="1:3" x14ac:dyDescent="0.25">
      <c r="A273" s="5" t="s">
        <v>93</v>
      </c>
      <c r="B273" s="5">
        <v>68</v>
      </c>
      <c r="C273" s="4" t="s">
        <v>5</v>
      </c>
    </row>
    <row r="274" spans="1:3" x14ac:dyDescent="0.25">
      <c r="A274" s="5" t="s">
        <v>94</v>
      </c>
      <c r="B274" s="5">
        <v>69</v>
      </c>
      <c r="C274" s="4" t="s">
        <v>4</v>
      </c>
    </row>
    <row r="275" spans="1:3" x14ac:dyDescent="0.25">
      <c r="A275" s="5" t="s">
        <v>94</v>
      </c>
      <c r="B275" s="5">
        <v>69</v>
      </c>
      <c r="C275" s="4" t="s">
        <v>3</v>
      </c>
    </row>
    <row r="276" spans="1:3" x14ac:dyDescent="0.25">
      <c r="A276" s="5" t="s">
        <v>94</v>
      </c>
      <c r="B276" s="5">
        <v>69</v>
      </c>
      <c r="C276" s="4" t="s">
        <v>2</v>
      </c>
    </row>
    <row r="277" spans="1:3" x14ac:dyDescent="0.25">
      <c r="A277" s="5" t="s">
        <v>94</v>
      </c>
      <c r="B277" s="5">
        <v>69</v>
      </c>
      <c r="C277" s="4" t="s">
        <v>5</v>
      </c>
    </row>
    <row r="278" spans="1:3" x14ac:dyDescent="0.25">
      <c r="A278" s="5" t="s">
        <v>95</v>
      </c>
      <c r="B278" s="5">
        <v>70</v>
      </c>
      <c r="C278" s="4" t="s">
        <v>4</v>
      </c>
    </row>
    <row r="279" spans="1:3" x14ac:dyDescent="0.25">
      <c r="A279" s="5" t="s">
        <v>95</v>
      </c>
      <c r="B279" s="5">
        <v>70</v>
      </c>
      <c r="C279" s="4" t="s">
        <v>3</v>
      </c>
    </row>
    <row r="280" spans="1:3" x14ac:dyDescent="0.25">
      <c r="A280" s="5" t="s">
        <v>95</v>
      </c>
      <c r="B280" s="5">
        <v>70</v>
      </c>
      <c r="C280" s="4" t="s">
        <v>2</v>
      </c>
    </row>
    <row r="281" spans="1:3" x14ac:dyDescent="0.25">
      <c r="A281" s="5" t="s">
        <v>95</v>
      </c>
      <c r="B281" s="5">
        <v>70</v>
      </c>
      <c r="C281" s="4" t="s">
        <v>5</v>
      </c>
    </row>
    <row r="282" spans="1:3" x14ac:dyDescent="0.25">
      <c r="A282" s="5" t="s">
        <v>96</v>
      </c>
      <c r="B282" s="5">
        <v>71</v>
      </c>
      <c r="C282" s="4" t="s">
        <v>4</v>
      </c>
    </row>
    <row r="283" spans="1:3" x14ac:dyDescent="0.25">
      <c r="A283" s="5" t="s">
        <v>96</v>
      </c>
      <c r="B283" s="5">
        <v>71</v>
      </c>
      <c r="C283" s="4" t="s">
        <v>3</v>
      </c>
    </row>
    <row r="284" spans="1:3" x14ac:dyDescent="0.25">
      <c r="A284" s="5" t="s">
        <v>96</v>
      </c>
      <c r="B284" s="5">
        <v>71</v>
      </c>
      <c r="C284" s="4" t="s">
        <v>2</v>
      </c>
    </row>
    <row r="285" spans="1:3" x14ac:dyDescent="0.25">
      <c r="A285" s="5" t="s">
        <v>96</v>
      </c>
      <c r="B285" s="5">
        <v>71</v>
      </c>
      <c r="C285" s="4" t="s">
        <v>5</v>
      </c>
    </row>
    <row r="286" spans="1:3" x14ac:dyDescent="0.25">
      <c r="A286" s="5" t="s">
        <v>97</v>
      </c>
      <c r="B286" s="5">
        <v>72</v>
      </c>
      <c r="C286" s="4" t="s">
        <v>4</v>
      </c>
    </row>
    <row r="287" spans="1:3" x14ac:dyDescent="0.25">
      <c r="A287" s="5" t="s">
        <v>97</v>
      </c>
      <c r="B287" s="5">
        <v>72</v>
      </c>
      <c r="C287" s="4" t="s">
        <v>3</v>
      </c>
    </row>
    <row r="288" spans="1:3" x14ac:dyDescent="0.25">
      <c r="A288" s="5" t="s">
        <v>97</v>
      </c>
      <c r="B288" s="5">
        <v>72</v>
      </c>
      <c r="C288" s="4" t="s">
        <v>2</v>
      </c>
    </row>
    <row r="289" spans="1:3" x14ac:dyDescent="0.25">
      <c r="A289" s="5" t="s">
        <v>97</v>
      </c>
      <c r="B289" s="5">
        <v>72</v>
      </c>
      <c r="C289" s="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2773-B9D7-4B7F-A986-7A94623A7AD1}">
  <dimension ref="A1:BN292"/>
  <sheetViews>
    <sheetView workbookViewId="0">
      <pane ySplit="2" topLeftCell="A266" activePane="bottomLeft" state="frozen"/>
      <selection activeCell="B1" sqref="B1"/>
      <selection pane="bottomLeft" activeCell="AL287" sqref="AL287"/>
    </sheetView>
  </sheetViews>
  <sheetFormatPr defaultColWidth="60.85546875" defaultRowHeight="15" x14ac:dyDescent="0.25"/>
  <cols>
    <col min="1" max="1" width="26.42578125" bestFit="1" customWidth="1"/>
    <col min="2" max="2" width="3" bestFit="1" customWidth="1"/>
    <col min="3" max="3" width="10.28515625" bestFit="1" customWidth="1"/>
    <col min="4" max="4" width="20.85546875" hidden="1" customWidth="1"/>
    <col min="5" max="31" width="8.7109375" hidden="1" customWidth="1"/>
    <col min="32" max="32" width="10" hidden="1" customWidth="1"/>
    <col min="33" max="34" width="8.7109375" hidden="1" customWidth="1"/>
    <col min="35" max="35" width="15.140625" hidden="1" customWidth="1"/>
    <col min="36" max="36" width="17.7109375" bestFit="1" customWidth="1"/>
    <col min="37" max="66" width="11.5703125" bestFit="1" customWidth="1"/>
  </cols>
  <sheetData>
    <row r="1" spans="1:66" x14ac:dyDescent="0.25">
      <c r="A1" s="5">
        <v>1</v>
      </c>
      <c r="B1" s="5"/>
      <c r="C1" s="5">
        <v>2</v>
      </c>
      <c r="D1" s="5"/>
      <c r="E1" s="5" t="s">
        <v>62</v>
      </c>
      <c r="F1" s="5" t="s">
        <v>56</v>
      </c>
      <c r="G1" s="5" t="s">
        <v>57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56</v>
      </c>
      <c r="N1" s="5" t="s">
        <v>57</v>
      </c>
      <c r="O1" s="5" t="s">
        <v>58</v>
      </c>
      <c r="P1" s="5" t="s">
        <v>59</v>
      </c>
      <c r="Q1" s="5" t="s">
        <v>60</v>
      </c>
      <c r="R1" s="5" t="s">
        <v>61</v>
      </c>
      <c r="S1" s="5" t="s">
        <v>62</v>
      </c>
      <c r="T1" s="5" t="s">
        <v>56</v>
      </c>
      <c r="U1" s="5" t="s">
        <v>57</v>
      </c>
      <c r="V1" s="5" t="s">
        <v>58</v>
      </c>
      <c r="W1" s="5" t="s">
        <v>59</v>
      </c>
      <c r="X1" s="5" t="s">
        <v>60</v>
      </c>
      <c r="Y1" s="5" t="s">
        <v>61</v>
      </c>
      <c r="Z1" s="5" t="s">
        <v>62</v>
      </c>
      <c r="AA1" s="5" t="s">
        <v>56</v>
      </c>
      <c r="AB1" s="5" t="s">
        <v>57</v>
      </c>
      <c r="AC1" s="5" t="s">
        <v>58</v>
      </c>
      <c r="AD1" s="5" t="s">
        <v>59</v>
      </c>
      <c r="AE1" s="5" t="s">
        <v>60</v>
      </c>
      <c r="AF1" s="5" t="s">
        <v>59</v>
      </c>
      <c r="AG1" s="5" t="s">
        <v>60</v>
      </c>
      <c r="AH1" s="5" t="s">
        <v>61</v>
      </c>
      <c r="AI1" s="5"/>
      <c r="AJ1" s="5"/>
      <c r="AK1" s="5" t="s">
        <v>62</v>
      </c>
      <c r="AL1" s="5" t="s">
        <v>56</v>
      </c>
      <c r="AM1" s="5" t="s">
        <v>57</v>
      </c>
      <c r="AN1" s="5" t="s">
        <v>58</v>
      </c>
      <c r="AO1" s="5" t="s">
        <v>59</v>
      </c>
      <c r="AP1" s="5" t="s">
        <v>60</v>
      </c>
      <c r="AQ1" s="5" t="s">
        <v>61</v>
      </c>
      <c r="AR1" s="5" t="s">
        <v>62</v>
      </c>
      <c r="AS1" s="5" t="s">
        <v>56</v>
      </c>
      <c r="AT1" s="5" t="s">
        <v>57</v>
      </c>
      <c r="AU1" s="5" t="s">
        <v>58</v>
      </c>
      <c r="AV1" s="5" t="s">
        <v>59</v>
      </c>
      <c r="AW1" s="5" t="s">
        <v>60</v>
      </c>
      <c r="AX1" s="5" t="s">
        <v>61</v>
      </c>
      <c r="AY1" s="5" t="s">
        <v>62</v>
      </c>
      <c r="AZ1" s="5" t="s">
        <v>56</v>
      </c>
      <c r="BA1" s="5" t="s">
        <v>57</v>
      </c>
      <c r="BB1" s="5" t="s">
        <v>58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56</v>
      </c>
      <c r="BH1" s="5" t="s">
        <v>57</v>
      </c>
      <c r="BI1" s="5" t="s">
        <v>58</v>
      </c>
      <c r="BJ1" s="5" t="s">
        <v>59</v>
      </c>
      <c r="BK1" s="5" t="s">
        <v>60</v>
      </c>
      <c r="BL1" s="5" t="s">
        <v>61</v>
      </c>
      <c r="BM1" s="5" t="s">
        <v>62</v>
      </c>
      <c r="BN1" s="5" t="s">
        <v>56</v>
      </c>
    </row>
    <row r="2" spans="1:66" x14ac:dyDescent="0.25">
      <c r="A2" s="39" t="s">
        <v>64</v>
      </c>
      <c r="B2" s="39"/>
      <c r="C2" s="37" t="s">
        <v>0</v>
      </c>
      <c r="D2" s="37"/>
      <c r="E2" s="41">
        <v>4</v>
      </c>
      <c r="F2" s="41">
        <v>5</v>
      </c>
      <c r="G2" s="41">
        <v>6</v>
      </c>
      <c r="H2" s="41">
        <v>7</v>
      </c>
      <c r="I2" s="41">
        <v>8</v>
      </c>
      <c r="J2" s="41">
        <v>9</v>
      </c>
      <c r="K2" s="41">
        <v>10</v>
      </c>
      <c r="L2" s="41">
        <v>11</v>
      </c>
      <c r="M2" s="41">
        <v>12</v>
      </c>
      <c r="N2" s="41">
        <v>13</v>
      </c>
      <c r="O2" s="41">
        <v>14</v>
      </c>
      <c r="P2" s="41">
        <v>15</v>
      </c>
      <c r="Q2" s="41">
        <v>16</v>
      </c>
      <c r="R2" s="41">
        <v>17</v>
      </c>
      <c r="S2" s="41">
        <v>18</v>
      </c>
      <c r="T2" s="41">
        <v>19</v>
      </c>
      <c r="U2" s="41">
        <v>20</v>
      </c>
      <c r="V2" s="41">
        <v>21</v>
      </c>
      <c r="W2" s="41">
        <v>22</v>
      </c>
      <c r="X2" s="41">
        <v>23</v>
      </c>
      <c r="Y2" s="41">
        <v>24</v>
      </c>
      <c r="Z2" s="41">
        <v>25</v>
      </c>
      <c r="AA2" s="41">
        <v>26</v>
      </c>
      <c r="AB2" s="41">
        <v>27</v>
      </c>
      <c r="AC2" s="41">
        <v>28</v>
      </c>
      <c r="AD2" s="41">
        <v>29</v>
      </c>
      <c r="AE2" s="41">
        <v>30</v>
      </c>
      <c r="AF2" s="41">
        <v>1</v>
      </c>
      <c r="AG2" s="41">
        <v>2</v>
      </c>
      <c r="AH2" s="41">
        <v>3</v>
      </c>
      <c r="AI2" s="38" t="s">
        <v>63</v>
      </c>
      <c r="AJ2" s="31" t="s">
        <v>99</v>
      </c>
      <c r="AK2" s="44">
        <v>1</v>
      </c>
      <c r="AL2" s="44">
        <v>2</v>
      </c>
      <c r="AM2" s="44">
        <v>3</v>
      </c>
      <c r="AN2" s="44">
        <v>4</v>
      </c>
      <c r="AO2" s="44">
        <v>5</v>
      </c>
      <c r="AP2" s="44">
        <v>6</v>
      </c>
      <c r="AQ2" s="44">
        <v>7</v>
      </c>
      <c r="AR2" s="44">
        <v>8</v>
      </c>
      <c r="AS2" s="44">
        <v>9</v>
      </c>
      <c r="AT2" s="44">
        <v>10</v>
      </c>
      <c r="AU2" s="44">
        <v>11</v>
      </c>
      <c r="AV2" s="44">
        <v>12</v>
      </c>
      <c r="AW2" s="44">
        <v>13</v>
      </c>
      <c r="AX2" s="44">
        <v>14</v>
      </c>
      <c r="AY2" s="44">
        <v>15</v>
      </c>
      <c r="AZ2" s="44">
        <v>16</v>
      </c>
      <c r="BA2" s="44">
        <v>17</v>
      </c>
      <c r="BB2" s="44">
        <v>18</v>
      </c>
      <c r="BC2" s="44">
        <v>19</v>
      </c>
      <c r="BD2" s="44">
        <v>20</v>
      </c>
      <c r="BE2" s="44">
        <v>21</v>
      </c>
      <c r="BF2" s="44">
        <v>22</v>
      </c>
      <c r="BG2" s="44">
        <v>23</v>
      </c>
      <c r="BH2" s="44">
        <v>24</v>
      </c>
      <c r="BI2" s="44">
        <v>25</v>
      </c>
      <c r="BJ2" s="44">
        <v>26</v>
      </c>
      <c r="BK2" s="44">
        <v>27</v>
      </c>
      <c r="BL2" s="44">
        <v>28</v>
      </c>
      <c r="BM2" s="44">
        <v>29</v>
      </c>
      <c r="BN2" s="44">
        <v>30</v>
      </c>
    </row>
    <row r="3" spans="1:66" x14ac:dyDescent="0.25">
      <c r="A3" s="1" t="s">
        <v>7</v>
      </c>
      <c r="B3" s="4">
        <v>1</v>
      </c>
      <c r="C3" s="4" t="s">
        <v>4</v>
      </c>
      <c r="D3" s="4" t="str">
        <f>A3&amp;C3</f>
        <v>KIAMBUBAKERY</v>
      </c>
      <c r="E3" s="2">
        <v>106968.15</v>
      </c>
      <c r="F3" s="2">
        <v>115197.77</v>
      </c>
      <c r="G3" s="2">
        <v>110605.33</v>
      </c>
      <c r="H3" s="2">
        <v>110503.26</v>
      </c>
      <c r="I3" s="2">
        <v>130789.39</v>
      </c>
      <c r="J3" s="2">
        <v>141636.25</v>
      </c>
      <c r="K3" s="2">
        <v>118039.6</v>
      </c>
      <c r="L3" s="2">
        <v>107460.74</v>
      </c>
      <c r="M3" s="2">
        <v>112935.67</v>
      </c>
      <c r="N3" s="2">
        <v>108553.77</v>
      </c>
      <c r="O3" s="2">
        <v>130485.09</v>
      </c>
      <c r="P3" s="2">
        <v>131495.76999999999</v>
      </c>
      <c r="Q3" s="2">
        <v>142103.56</v>
      </c>
      <c r="R3" s="2">
        <v>95668.36</v>
      </c>
      <c r="S3" s="2">
        <v>105936.49</v>
      </c>
      <c r="T3" s="2">
        <v>110979.18</v>
      </c>
      <c r="U3" s="2">
        <v>122351.42</v>
      </c>
      <c r="V3" s="2">
        <v>132757.07999999999</v>
      </c>
      <c r="W3" s="2">
        <v>144217.67000000001</v>
      </c>
      <c r="X3" s="2">
        <v>140910.22</v>
      </c>
      <c r="Y3" s="2">
        <v>112466.11</v>
      </c>
      <c r="Z3" s="2">
        <v>105753.19</v>
      </c>
      <c r="AA3" s="2">
        <v>104576.7</v>
      </c>
      <c r="AB3" s="2">
        <v>113313.71</v>
      </c>
      <c r="AC3" s="2">
        <v>120456.39</v>
      </c>
      <c r="AD3" s="2">
        <v>135210.46</v>
      </c>
      <c r="AE3" s="2">
        <v>145511.51999999999</v>
      </c>
      <c r="AF3" s="2">
        <v>136333.01</v>
      </c>
      <c r="AG3" s="2">
        <v>141019.15</v>
      </c>
      <c r="AH3" s="2">
        <v>104055.63</v>
      </c>
      <c r="AI3" s="24">
        <f>SUM(E3:AH3)</f>
        <v>3638290.64</v>
      </c>
      <c r="AJ3" s="26">
        <v>3477931.5292685255</v>
      </c>
      <c r="AK3" s="33">
        <f>$AJ3/$AI3*E3</f>
        <v>102253.48613505077</v>
      </c>
      <c r="AL3" s="33">
        <f>$AJ3/$AI3*F3</f>
        <v>110120.38235197832</v>
      </c>
      <c r="AM3" s="33">
        <f>$AJ3/$AI3*G3</f>
        <v>105730.35597622018</v>
      </c>
      <c r="AN3" s="33">
        <f>$AJ3/$AI3*H3</f>
        <v>105632.78475217073</v>
      </c>
      <c r="AO3" s="33">
        <f>$AJ3/$AI3*I3</f>
        <v>125024.79548329806</v>
      </c>
      <c r="AP3" s="33">
        <f>$AJ3/$AI3*J3</f>
        <v>135393.57580359749</v>
      </c>
      <c r="AQ3" s="33">
        <f>$AJ3/$AI3*K3</f>
        <v>112836.95756154464</v>
      </c>
      <c r="AR3" s="33">
        <f>$AJ3/$AI3*L3</f>
        <v>102724.36503437984</v>
      </c>
      <c r="AS3" s="33">
        <f>$AJ3/$AI3*M3</f>
        <v>107957.98531149385</v>
      </c>
      <c r="AT3" s="33">
        <f>$AJ3/$AI3*N3</f>
        <v>103769.21930128259</v>
      </c>
      <c r="AU3" s="33">
        <f>$AJ3/$AI3*O3</f>
        <v>124733.90762713811</v>
      </c>
      <c r="AV3" s="33">
        <f>$AJ3/$AI3*P3</f>
        <v>125700.04150312803</v>
      </c>
      <c r="AW3" s="33">
        <f>$AJ3/$AI3*Q3</f>
        <v>135840.28892900696</v>
      </c>
      <c r="AX3" s="33">
        <f>$AJ3/$AI3*R3</f>
        <v>91451.738885107829</v>
      </c>
      <c r="AY3" s="33">
        <f>$AJ3/$AI3*S3</f>
        <v>101267.29696092664</v>
      </c>
      <c r="AZ3" s="33">
        <f>$AJ3/$AI3*T3</f>
        <v>106087.72838839695</v>
      </c>
      <c r="BA3" s="33">
        <f>$AJ3/$AI3*U3</f>
        <v>116958.73237570038</v>
      </c>
      <c r="BB3" s="33">
        <f>$AJ3/$AI3*V3</f>
        <v>126905.75876192891</v>
      </c>
      <c r="BC3" s="33">
        <f>$AJ3/$AI3*W3</f>
        <v>137861.21868775267</v>
      </c>
      <c r="BD3" s="33">
        <f>$AJ3/$AI3*X3</f>
        <v>134699.54586535296</v>
      </c>
      <c r="BE3" s="33">
        <f>$AJ3/$AI3*Y3</f>
        <v>107509.12135573155</v>
      </c>
      <c r="BF3" s="33">
        <f>$AJ3/$AI3*Z3</f>
        <v>101092.07598151777</v>
      </c>
      <c r="BG3" s="33">
        <f>$AJ3/$AI3*AA3</f>
        <v>99967.440247394799</v>
      </c>
      <c r="BH3" s="33">
        <f>$AJ3/$AI3*AB3</f>
        <v>108319.36304774987</v>
      </c>
      <c r="BI3" s="33">
        <f>$AJ3/$AI3*AC3</f>
        <v>115147.22657859624</v>
      </c>
      <c r="BJ3" s="33">
        <f>$AJ3/$AI3*AD3</f>
        <v>129251.0050601402</v>
      </c>
      <c r="BK3" s="33">
        <f>$AJ3/$AI3*AE3</f>
        <v>139098.04173307813</v>
      </c>
      <c r="BL3" s="33">
        <f>$AJ3/$AI3*AF3</f>
        <v>130324.07822127185</v>
      </c>
      <c r="BM3" s="33">
        <f>$AJ3/$AI3*AG3</f>
        <v>134803.67473216695</v>
      </c>
      <c r="BN3" s="33">
        <f>$AJ3/$AI3*AH3</f>
        <v>99469.336615422202</v>
      </c>
    </row>
    <row r="4" spans="1:66" x14ac:dyDescent="0.25">
      <c r="A4" s="1" t="s">
        <v>1</v>
      </c>
      <c r="B4" s="4">
        <v>2</v>
      </c>
      <c r="C4" s="4" t="s">
        <v>4</v>
      </c>
      <c r="D4" s="4" t="str">
        <f>A4&amp;C4</f>
        <v>RUAKABAKERY</v>
      </c>
      <c r="E4" s="2">
        <v>108668.15</v>
      </c>
      <c r="F4" s="2">
        <v>114263.49</v>
      </c>
      <c r="G4" s="2">
        <v>116284.29</v>
      </c>
      <c r="H4" s="2">
        <v>117639.98</v>
      </c>
      <c r="I4" s="2">
        <v>153730.91</v>
      </c>
      <c r="J4" s="2">
        <v>152686.01</v>
      </c>
      <c r="K4" s="2">
        <v>102795.81</v>
      </c>
      <c r="L4" s="2">
        <v>105221.53</v>
      </c>
      <c r="M4" s="2">
        <v>98476.47</v>
      </c>
      <c r="N4" s="2">
        <v>115967.64</v>
      </c>
      <c r="O4" s="2">
        <v>119795.36</v>
      </c>
      <c r="P4" s="2">
        <v>148742.07999999999</v>
      </c>
      <c r="Q4" s="2">
        <v>148237.84</v>
      </c>
      <c r="R4" s="2">
        <v>93189.02</v>
      </c>
      <c r="S4" s="2">
        <v>103275.12</v>
      </c>
      <c r="T4" s="2">
        <v>100211.71</v>
      </c>
      <c r="U4" s="2">
        <v>100306.98</v>
      </c>
      <c r="V4" s="2">
        <v>118361.47</v>
      </c>
      <c r="W4" s="2">
        <v>135391.74</v>
      </c>
      <c r="X4" s="2">
        <v>154030.18</v>
      </c>
      <c r="Y4" s="2">
        <v>110468.53</v>
      </c>
      <c r="Z4" s="2">
        <v>109936.6</v>
      </c>
      <c r="AA4" s="2">
        <v>98170.12</v>
      </c>
      <c r="AB4" s="2">
        <v>95633.64</v>
      </c>
      <c r="AC4" s="2">
        <v>124914.01</v>
      </c>
      <c r="AD4" s="2">
        <v>145543.43</v>
      </c>
      <c r="AE4" s="2">
        <v>147505.49</v>
      </c>
      <c r="AF4" s="2">
        <v>162379.88</v>
      </c>
      <c r="AG4" s="2">
        <v>160601.26</v>
      </c>
      <c r="AH4" s="2">
        <v>90387.61</v>
      </c>
      <c r="AI4" s="24">
        <f>SUM(E4:AH4)</f>
        <v>3652816.35</v>
      </c>
      <c r="AJ4" s="26">
        <v>4052004.7705934695</v>
      </c>
      <c r="AK4" s="33">
        <f>$AJ4/$AI4*E4</f>
        <v>120543.66275807067</v>
      </c>
      <c r="AL4" s="33">
        <f>$AJ4/$AI4*F4</f>
        <v>126750.47476303022</v>
      </c>
      <c r="AM4" s="33">
        <f>$AJ4/$AI4*G4</f>
        <v>128992.11257228258</v>
      </c>
      <c r="AN4" s="33">
        <f>$AJ4/$AI4*H4</f>
        <v>130495.95558575516</v>
      </c>
      <c r="AO4" s="33">
        <f>$AJ4/$AI4*I4</f>
        <v>170530.98787944135</v>
      </c>
      <c r="AP4" s="33">
        <f>$AJ4/$AI4*J4</f>
        <v>169371.89873311922</v>
      </c>
      <c r="AQ4" s="33">
        <f>$AJ4/$AI4*K4</f>
        <v>114029.57953717542</v>
      </c>
      <c r="AR4" s="33">
        <f>$AJ4/$AI4*L4</f>
        <v>116720.38796287797</v>
      </c>
      <c r="AS4" s="33">
        <f>$AJ4/$AI4*M4</f>
        <v>109238.21183378263</v>
      </c>
      <c r="AT4" s="33">
        <f>$AJ4/$AI4*N4</f>
        <v>128640.8583104557</v>
      </c>
      <c r="AU4" s="33">
        <f>$AJ4/$AI4*O4</f>
        <v>132886.88061609285</v>
      </c>
      <c r="AV4" s="33">
        <f>$AJ4/$AI4*P4</f>
        <v>164996.96672349688</v>
      </c>
      <c r="AW4" s="33">
        <f>$AJ4/$AI4*Q4</f>
        <v>164437.6221822571</v>
      </c>
      <c r="AX4" s="33">
        <f>$AJ4/$AI4*R4</f>
        <v>103372.9367771063</v>
      </c>
      <c r="AY4" s="33">
        <f>$AJ4/$AI4*S4</f>
        <v>114561.26966898103</v>
      </c>
      <c r="AZ4" s="33">
        <f>$AJ4/$AI4*T4</f>
        <v>111163.08297002921</v>
      </c>
      <c r="BA4" s="33">
        <f>$AJ4/$AI4*U4</f>
        <v>111268.76430122847</v>
      </c>
      <c r="BB4" s="33">
        <f>$AJ4/$AI4*V4</f>
        <v>131296.29172144277</v>
      </c>
      <c r="BC4" s="33">
        <f>$AJ4/$AI4*W4</f>
        <v>150187.66995470511</v>
      </c>
      <c r="BD4" s="33">
        <f>$AJ4/$AI4*X4</f>
        <v>170862.96281371242</v>
      </c>
      <c r="BE4" s="33">
        <f>$AJ4/$AI4*Y4</f>
        <v>122540.79254776872</v>
      </c>
      <c r="BF4" s="33">
        <f>$AJ4/$AI4*Z4</f>
        <v>121950.73197775902</v>
      </c>
      <c r="BG4" s="33">
        <f>$AJ4/$AI4*AA4</f>
        <v>108898.38318034612</v>
      </c>
      <c r="BH4" s="33">
        <f>$AJ4/$AI4*AB4</f>
        <v>106084.71063956401</v>
      </c>
      <c r="BI4" s="33">
        <f>$AJ4/$AI4*AC4</f>
        <v>138564.90880905092</v>
      </c>
      <c r="BJ4" s="33">
        <f>$AJ4/$AI4*AD4</f>
        <v>161448.7606770969</v>
      </c>
      <c r="BK4" s="33">
        <f>$AJ4/$AI4*AE4</f>
        <v>163625.23924005299</v>
      </c>
      <c r="BL4" s="33">
        <f>$AJ4/$AI4*AF4</f>
        <v>180125.13780179369</v>
      </c>
      <c r="BM4" s="33">
        <f>$AJ4/$AI4*AG4</f>
        <v>178152.14599642332</v>
      </c>
      <c r="BN4" s="33">
        <f>$AJ4/$AI4*AH4</f>
        <v>100265.38205857022</v>
      </c>
    </row>
    <row r="5" spans="1:66" x14ac:dyDescent="0.25">
      <c r="A5" s="1" t="s">
        <v>6</v>
      </c>
      <c r="B5" s="4">
        <v>3</v>
      </c>
      <c r="C5" s="4" t="s">
        <v>4</v>
      </c>
      <c r="D5" s="4" t="str">
        <f>A5&amp;C5</f>
        <v>RUAIBAKERY</v>
      </c>
      <c r="E5" s="2">
        <v>143774.63</v>
      </c>
      <c r="F5" s="2">
        <v>138485.43</v>
      </c>
      <c r="G5" s="2">
        <v>140682.26</v>
      </c>
      <c r="H5" s="2">
        <v>155139.98000000001</v>
      </c>
      <c r="I5" s="2">
        <v>195117.05</v>
      </c>
      <c r="J5" s="2">
        <v>178430.01</v>
      </c>
      <c r="K5" s="2">
        <v>133119.81</v>
      </c>
      <c r="L5" s="2">
        <v>132249.67000000001</v>
      </c>
      <c r="M5" s="2">
        <v>134554.76999999999</v>
      </c>
      <c r="N5" s="2">
        <v>136958.75</v>
      </c>
      <c r="O5" s="2">
        <v>159870.76999999999</v>
      </c>
      <c r="P5" s="2">
        <v>161224.26</v>
      </c>
      <c r="Q5" s="2">
        <v>158486.32999999999</v>
      </c>
      <c r="R5" s="2">
        <v>124328.85</v>
      </c>
      <c r="S5" s="2">
        <v>124901.36</v>
      </c>
      <c r="T5" s="2">
        <v>140012.9</v>
      </c>
      <c r="U5" s="2">
        <v>140182.51</v>
      </c>
      <c r="V5" s="2">
        <v>142339.91</v>
      </c>
      <c r="W5" s="2">
        <v>197891.66</v>
      </c>
      <c r="X5" s="2">
        <v>179563.56</v>
      </c>
      <c r="Y5" s="2">
        <v>158098.26999999999</v>
      </c>
      <c r="Z5" s="2">
        <v>132911.07999999999</v>
      </c>
      <c r="AA5" s="2">
        <v>122935.88</v>
      </c>
      <c r="AB5" s="2">
        <v>124327.26</v>
      </c>
      <c r="AC5" s="2">
        <v>145345.74</v>
      </c>
      <c r="AD5" s="2">
        <v>158804.07999999999</v>
      </c>
      <c r="AE5" s="2">
        <v>182486.87</v>
      </c>
      <c r="AF5" s="2">
        <v>182171.23</v>
      </c>
      <c r="AG5" s="2">
        <v>174534.99</v>
      </c>
      <c r="AH5" s="2">
        <v>137320.56</v>
      </c>
      <c r="AI5" s="24">
        <f>SUM(E5:AH5)</f>
        <v>4536250.4300000006</v>
      </c>
      <c r="AJ5" s="26">
        <v>3878267.2223237376</v>
      </c>
      <c r="AK5" s="33">
        <f>$AJ5/$AI5*E5</f>
        <v>122920.11729403639</v>
      </c>
      <c r="AL5" s="33">
        <f>$AJ5/$AI5*F5</f>
        <v>118398.1158505855</v>
      </c>
      <c r="AM5" s="33">
        <f>$AJ5/$AI5*G5</f>
        <v>120276.29561898456</v>
      </c>
      <c r="AN5" s="33">
        <f>$AJ5/$AI5*H5</f>
        <v>132636.92306907318</v>
      </c>
      <c r="AO5" s="33">
        <f>$AJ5/$AI5*I5</f>
        <v>166815.31833583131</v>
      </c>
      <c r="AP5" s="33">
        <f>$AJ5/$AI5*J5</f>
        <v>152548.73379243672</v>
      </c>
      <c r="AQ5" s="33">
        <f>$AJ5/$AI5*K5</f>
        <v>113810.77912952959</v>
      </c>
      <c r="AR5" s="33">
        <f>$AJ5/$AI5*L5</f>
        <v>113066.85295241314</v>
      </c>
      <c r="AS5" s="33">
        <f>$AJ5/$AI5*M5</f>
        <v>115037.5981553358</v>
      </c>
      <c r="AT5" s="33">
        <f>$AJ5/$AI5*N5</f>
        <v>117092.88081245353</v>
      </c>
      <c r="AU5" s="33">
        <f>$AJ5/$AI5*O5</f>
        <v>136681.51189321728</v>
      </c>
      <c r="AV5" s="33">
        <f>$AJ5/$AI5*P5</f>
        <v>137838.67814401066</v>
      </c>
      <c r="AW5" s="33">
        <f>$AJ5/$AI5*Q5</f>
        <v>135497.88494048885</v>
      </c>
      <c r="AX5" s="33">
        <f>$AJ5/$AI5*R5</f>
        <v>106294.94803799987</v>
      </c>
      <c r="AY5" s="33">
        <f>$AJ5/$AI5*S5</f>
        <v>106784.41545204926</v>
      </c>
      <c r="AZ5" s="33">
        <f>$AJ5/$AI5*T5</f>
        <v>119704.02629920305</v>
      </c>
      <c r="BA5" s="33">
        <f>$AJ5/$AI5*U5</f>
        <v>119849.03436560699</v>
      </c>
      <c r="BB5" s="33">
        <f>$AJ5/$AI5*V5</f>
        <v>121693.50345622578</v>
      </c>
      <c r="BC5" s="33">
        <f>$AJ5/$AI5*W5</f>
        <v>169187.47110468356</v>
      </c>
      <c r="BD5" s="33">
        <f>$AJ5/$AI5*X5</f>
        <v>153517.86234424487</v>
      </c>
      <c r="BE5" s="33">
        <f>$AJ5/$AI5*Y5</f>
        <v>135166.11305057252</v>
      </c>
      <c r="BF5" s="33">
        <f>$AJ5/$AI5*Z5</f>
        <v>113632.32541983973</v>
      </c>
      <c r="BG5" s="33">
        <f>$AJ5/$AI5*AA5</f>
        <v>105104.02836192715</v>
      </c>
      <c r="BH5" s="33">
        <f>$AJ5/$AI5*AB5</f>
        <v>106293.58866752888</v>
      </c>
      <c r="BI5" s="33">
        <f>$AJ5/$AI5*AC5</f>
        <v>124263.33775985733</v>
      </c>
      <c r="BJ5" s="33">
        <f>$AJ5/$AI5*AD5</f>
        <v>135769.54529718863</v>
      </c>
      <c r="BK5" s="33">
        <f>$AJ5/$AI5*AE5</f>
        <v>156017.14617538275</v>
      </c>
      <c r="BL5" s="33">
        <f>$AJ5/$AI5*AF5</f>
        <v>155747.28976314445</v>
      </c>
      <c r="BM5" s="33">
        <f>$AJ5/$AI5*AG5</f>
        <v>149218.68651453644</v>
      </c>
      <c r="BN5" s="33">
        <f>$AJ5/$AI5*AH5</f>
        <v>117402.21026534904</v>
      </c>
    </row>
    <row r="6" spans="1:66" x14ac:dyDescent="0.25">
      <c r="A6" s="1" t="s">
        <v>9</v>
      </c>
      <c r="B6" s="4">
        <v>4</v>
      </c>
      <c r="C6" s="4" t="s">
        <v>4</v>
      </c>
      <c r="D6" s="4" t="str">
        <f>A6&amp;C6</f>
        <v>EBP 1BAKERY</v>
      </c>
      <c r="E6" s="2">
        <v>43522.58</v>
      </c>
      <c r="F6" s="2">
        <v>41741.99</v>
      </c>
      <c r="G6" s="2">
        <v>39663.199999999997</v>
      </c>
      <c r="H6" s="2">
        <v>53241.13</v>
      </c>
      <c r="I6" s="2">
        <v>56469.71</v>
      </c>
      <c r="J6" s="2">
        <v>58868.47</v>
      </c>
      <c r="K6" s="2">
        <v>35275.06</v>
      </c>
      <c r="L6" s="2">
        <v>36779.440000000002</v>
      </c>
      <c r="M6" s="2">
        <v>46718.16</v>
      </c>
      <c r="N6" s="2">
        <v>48537.440000000002</v>
      </c>
      <c r="O6" s="2">
        <v>46810.03</v>
      </c>
      <c r="P6" s="2">
        <v>40383.03</v>
      </c>
      <c r="Q6" s="2">
        <v>59251.92</v>
      </c>
      <c r="R6" s="2">
        <v>39292.58</v>
      </c>
      <c r="S6" s="2">
        <v>42732.02</v>
      </c>
      <c r="T6" s="2">
        <v>42704.160000000003</v>
      </c>
      <c r="U6" s="2">
        <v>41366.99</v>
      </c>
      <c r="V6" s="2">
        <v>44066.13</v>
      </c>
      <c r="W6" s="2">
        <v>53501.09</v>
      </c>
      <c r="X6" s="2">
        <v>55114.41</v>
      </c>
      <c r="Y6" s="2">
        <v>41710.75</v>
      </c>
      <c r="Z6" s="2">
        <v>44347.09</v>
      </c>
      <c r="AA6" s="2">
        <v>39329.089999999997</v>
      </c>
      <c r="AB6" s="2">
        <v>37516.269999999997</v>
      </c>
      <c r="AC6" s="2">
        <v>41954.37</v>
      </c>
      <c r="AD6" s="2">
        <v>51712.4</v>
      </c>
      <c r="AE6" s="2">
        <v>49892.3</v>
      </c>
      <c r="AF6" s="2">
        <v>61357.47</v>
      </c>
      <c r="AG6" s="2">
        <v>65724.23</v>
      </c>
      <c r="AH6" s="2">
        <v>45541.75</v>
      </c>
      <c r="AI6" s="24">
        <f>SUM(E6:AH6)</f>
        <v>1405125.26</v>
      </c>
      <c r="AJ6" s="26">
        <v>1382223.1846320101</v>
      </c>
      <c r="AK6" s="33">
        <f>$AJ6/$AI6*E6</f>
        <v>42813.207365584924</v>
      </c>
      <c r="AL6" s="33">
        <f>$AJ6/$AI6*F6</f>
        <v>41061.639124384907</v>
      </c>
      <c r="AM6" s="33">
        <f>$AJ6/$AI6*G6</f>
        <v>39016.731231987345</v>
      </c>
      <c r="AN6" s="33">
        <f>$AJ6/$AI6*H6</f>
        <v>52373.355142734283</v>
      </c>
      <c r="AO6" s="33">
        <f>$AJ6/$AI6*I6</f>
        <v>55549.312658037379</v>
      </c>
      <c r="AP6" s="33">
        <f>$AJ6/$AI6*J6</f>
        <v>57908.975373351372</v>
      </c>
      <c r="AQ6" s="33">
        <f>$AJ6/$AI6*K6</f>
        <v>34700.113334582871</v>
      </c>
      <c r="AR6" s="33">
        <f>$AJ6/$AI6*L6</f>
        <v>36179.973510533811</v>
      </c>
      <c r="AS6" s="33">
        <f>$AJ6/$AI6*M6</f>
        <v>45956.702746449657</v>
      </c>
      <c r="AT6" s="33">
        <f>$AJ6/$AI6*N6</f>
        <v>47746.33038102604</v>
      </c>
      <c r="AU6" s="33">
        <f>$AJ6/$AI6*O6</f>
        <v>46047.075361323965</v>
      </c>
      <c r="AV6" s="33">
        <f>$AJ6/$AI6*P6</f>
        <v>39724.828754192349</v>
      </c>
      <c r="AW6" s="33">
        <f>$AJ6/$AI6*Q6</f>
        <v>58286.175538514683</v>
      </c>
      <c r="AX6" s="33">
        <f>$AJ6/$AI6*R6</f>
        <v>38652.151951213251</v>
      </c>
      <c r="AY6" s="33">
        <f>$AJ6/$AI6*S6</f>
        <v>42035.53266856703</v>
      </c>
      <c r="AZ6" s="33">
        <f>$AJ6/$AI6*T6</f>
        <v>42008.126757492711</v>
      </c>
      <c r="BA6" s="33">
        <f>$AJ6/$AI6*U6</f>
        <v>40692.751233039897</v>
      </c>
      <c r="BB6" s="33">
        <f>$AJ6/$AI6*V6</f>
        <v>43347.898067826463</v>
      </c>
      <c r="BC6" s="33">
        <f>$AJ6/$AI6*W6</f>
        <v>52629.078066025075</v>
      </c>
      <c r="BD6" s="33">
        <f>$AJ6/$AI6*X6</f>
        <v>54216.102633664348</v>
      </c>
      <c r="BE6" s="33">
        <f>$AJ6/$AI6*Y6</f>
        <v>41030.908303783261</v>
      </c>
      <c r="BF6" s="33">
        <f>$AJ6/$AI6*Z6</f>
        <v>43624.278713032574</v>
      </c>
      <c r="BG6" s="33">
        <f>$AJ6/$AI6*AA6</f>
        <v>38688.066876314595</v>
      </c>
      <c r="BH6" s="33">
        <f>$AJ6/$AI6*AB6</f>
        <v>36904.793950479783</v>
      </c>
      <c r="BI6" s="33">
        <f>$AJ6/$AI6*AC6</f>
        <v>41270.557552021848</v>
      </c>
      <c r="BJ6" s="33">
        <f>$AJ6/$AI6*AD6</f>
        <v>50869.541846372013</v>
      </c>
      <c r="BK6" s="33">
        <f>$AJ6/$AI6*AE6</f>
        <v>49079.107576939896</v>
      </c>
      <c r="BL6" s="33">
        <f>$AJ6/$AI6*AF6</f>
        <v>60357.40727083863</v>
      </c>
      <c r="BM6" s="33">
        <f>$AJ6/$AI6*AG6</f>
        <v>64652.993639931206</v>
      </c>
      <c r="BN6" s="33">
        <f>$AJ6/$AI6*AH6</f>
        <v>44799.467001763842</v>
      </c>
    </row>
    <row r="7" spans="1:66" x14ac:dyDescent="0.25">
      <c r="A7" s="1" t="s">
        <v>65</v>
      </c>
      <c r="B7" s="4">
        <v>5</v>
      </c>
      <c r="C7" s="4" t="s">
        <v>4</v>
      </c>
      <c r="D7" s="4" t="str">
        <f>A7&amp;C7</f>
        <v>KahawaBAKERY</v>
      </c>
      <c r="E7" s="2">
        <v>72370.539999999994</v>
      </c>
      <c r="F7" s="2">
        <v>74751.16</v>
      </c>
      <c r="G7" s="2">
        <v>105980.78</v>
      </c>
      <c r="H7" s="2">
        <v>83997.71</v>
      </c>
      <c r="I7" s="2">
        <v>92772.89</v>
      </c>
      <c r="J7" s="2">
        <v>91085.54</v>
      </c>
      <c r="K7" s="2">
        <v>76701.3</v>
      </c>
      <c r="L7" s="2">
        <v>79169.3</v>
      </c>
      <c r="M7" s="2">
        <v>78481.960000000006</v>
      </c>
      <c r="N7" s="2">
        <v>75400.009999999995</v>
      </c>
      <c r="O7" s="2">
        <v>84105.600000000006</v>
      </c>
      <c r="P7" s="2">
        <v>86193.99</v>
      </c>
      <c r="Q7" s="2">
        <v>83044.3</v>
      </c>
      <c r="R7" s="2">
        <v>70636.72</v>
      </c>
      <c r="S7" s="2">
        <v>74427.960000000006</v>
      </c>
      <c r="T7" s="2">
        <v>69682.41</v>
      </c>
      <c r="U7" s="2">
        <v>67491.820000000007</v>
      </c>
      <c r="V7" s="2">
        <v>94958.61</v>
      </c>
      <c r="W7" s="2">
        <v>91367.41</v>
      </c>
      <c r="X7" s="2">
        <v>82972.89</v>
      </c>
      <c r="Y7" s="2">
        <v>68447.23</v>
      </c>
      <c r="Z7" s="2">
        <v>72074.649999999994</v>
      </c>
      <c r="AA7" s="2">
        <v>68830.649999999994</v>
      </c>
      <c r="AB7" s="2">
        <v>79361.399999999994</v>
      </c>
      <c r="AC7" s="2">
        <v>83109.440000000002</v>
      </c>
      <c r="AD7" s="2">
        <v>83121.13</v>
      </c>
      <c r="AE7" s="2">
        <v>95134.06</v>
      </c>
      <c r="AF7" s="2">
        <v>94344.54</v>
      </c>
      <c r="AG7" s="2">
        <v>86819.65</v>
      </c>
      <c r="AH7" s="2">
        <v>75256.710000000006</v>
      </c>
      <c r="AI7" s="24">
        <f>SUM(E7:AH7)</f>
        <v>2442092.3599999994</v>
      </c>
      <c r="AJ7" s="26">
        <v>2180551.7910802923</v>
      </c>
      <c r="AK7" s="33">
        <f>$AJ7/$AI7*E7</f>
        <v>64619.878102582479</v>
      </c>
      <c r="AL7" s="33">
        <f>$AJ7/$AI7*F7</f>
        <v>66745.541034053909</v>
      </c>
      <c r="AM7" s="33">
        <f>$AJ7/$AI7*G7</f>
        <v>94630.56493452462</v>
      </c>
      <c r="AN7" s="33">
        <f>$AJ7/$AI7*H7</f>
        <v>75001.814012940551</v>
      </c>
      <c r="AO7" s="33">
        <f>$AJ7/$AI7*I7</f>
        <v>82837.199266777519</v>
      </c>
      <c r="AP7" s="33">
        <f>$AJ7/$AI7*J7</f>
        <v>81330.559253916043</v>
      </c>
      <c r="AQ7" s="33">
        <f>$AJ7/$AI7*K7</f>
        <v>68486.827047436847</v>
      </c>
      <c r="AR7" s="33">
        <f>$AJ7/$AI7*L7</f>
        <v>70690.511850081311</v>
      </c>
      <c r="AS7" s="33">
        <f>$AJ7/$AI7*M7</f>
        <v>70076.783846738675</v>
      </c>
      <c r="AT7" s="33">
        <f>$AJ7/$AI7*N7</f>
        <v>67324.901197828571</v>
      </c>
      <c r="AU7" s="33">
        <f>$AJ7/$AI7*O7</f>
        <v>75098.149326294399</v>
      </c>
      <c r="AV7" s="33">
        <f>$AJ7/$AI7*P7</f>
        <v>76962.879190554799</v>
      </c>
      <c r="AW7" s="33">
        <f>$AJ7/$AI7*Q7</f>
        <v>74150.51128697244</v>
      </c>
      <c r="AX7" s="33">
        <f>$AJ7/$AI7*R7</f>
        <v>63071.744883570726</v>
      </c>
      <c r="AY7" s="33">
        <f>$AJ7/$AI7*S7</f>
        <v>66456.954758440188</v>
      </c>
      <c r="AZ7" s="33">
        <f>$AJ7/$AI7*T7</f>
        <v>62219.638544830188</v>
      </c>
      <c r="BA7" s="33">
        <f>$AJ7/$AI7*U7</f>
        <v>60263.653985743913</v>
      </c>
      <c r="BB7" s="33">
        <f>$AJ7/$AI7*V7</f>
        <v>84788.835387861836</v>
      </c>
      <c r="BC7" s="33">
        <f>$AJ7/$AI7*W7</f>
        <v>81582.241845213211</v>
      </c>
      <c r="BD7" s="33">
        <f>$AJ7/$AI7*X7</f>
        <v>74086.749077994798</v>
      </c>
      <c r="BE7" s="33">
        <f>$AJ7/$AI7*Y7</f>
        <v>61116.742517872975</v>
      </c>
      <c r="BF7" s="33">
        <f>$AJ7/$AI7*Z7</f>
        <v>64355.677010096879</v>
      </c>
      <c r="BG7" s="33">
        <f>$AJ7/$AI7*AA7</f>
        <v>61459.099416993697</v>
      </c>
      <c r="BH7" s="33">
        <f>$AJ7/$AI7*AB7</f>
        <v>70862.038531843064</v>
      </c>
      <c r="BI7" s="33">
        <f>$AJ7/$AI7*AC7</f>
        <v>74208.674993635432</v>
      </c>
      <c r="BJ7" s="33">
        <f>$AJ7/$AI7*AD7</f>
        <v>74219.113030646346</v>
      </c>
      <c r="BK7" s="33">
        <f>$AJ7/$AI7*AE7</f>
        <v>84945.495233333451</v>
      </c>
      <c r="BL7" s="33">
        <f>$AJ7/$AI7*AF7</f>
        <v>84240.530393226538</v>
      </c>
      <c r="BM7" s="33">
        <f>$AJ7/$AI7*AG7</f>
        <v>77521.532931892943</v>
      </c>
      <c r="BN7" s="33">
        <f>$AJ7/$AI7*AH7</f>
        <v>67196.948186394642</v>
      </c>
    </row>
    <row r="8" spans="1:66" x14ac:dyDescent="0.25">
      <c r="A8" s="1" t="s">
        <v>8</v>
      </c>
      <c r="B8" s="4">
        <v>6</v>
      </c>
      <c r="C8" s="4" t="s">
        <v>4</v>
      </c>
      <c r="D8" s="4" t="str">
        <f>A8&amp;C8</f>
        <v>KIKUYUBAKERY</v>
      </c>
      <c r="E8" s="2">
        <v>57856.3</v>
      </c>
      <c r="F8" s="2">
        <v>59436.03</v>
      </c>
      <c r="G8" s="2">
        <v>45275.03</v>
      </c>
      <c r="H8" s="2">
        <v>57470.1</v>
      </c>
      <c r="I8" s="2">
        <v>90969.47</v>
      </c>
      <c r="J8" s="2">
        <v>93539.43</v>
      </c>
      <c r="K8" s="2">
        <v>59924.13</v>
      </c>
      <c r="L8" s="2">
        <v>57956.44</v>
      </c>
      <c r="M8" s="2">
        <v>47501.75</v>
      </c>
      <c r="N8" s="2">
        <v>50133.54</v>
      </c>
      <c r="O8" s="2">
        <v>59076.72</v>
      </c>
      <c r="P8" s="2">
        <v>84235.92</v>
      </c>
      <c r="Q8" s="2">
        <v>98918.71</v>
      </c>
      <c r="R8" s="2">
        <v>57272.09</v>
      </c>
      <c r="S8" s="2">
        <v>57698.34</v>
      </c>
      <c r="T8" s="2">
        <v>57702.54</v>
      </c>
      <c r="U8" s="2">
        <v>57610.09</v>
      </c>
      <c r="V8" s="2">
        <v>62413.919999999998</v>
      </c>
      <c r="W8" s="2">
        <v>80810.58</v>
      </c>
      <c r="X8" s="2">
        <v>72014.2</v>
      </c>
      <c r="Y8" s="2">
        <v>75620.509999999995</v>
      </c>
      <c r="Z8" s="2">
        <v>62425.99</v>
      </c>
      <c r="AA8" s="2">
        <v>55880.09</v>
      </c>
      <c r="AB8" s="2">
        <v>60769.13</v>
      </c>
      <c r="AC8" s="2">
        <v>57119.92</v>
      </c>
      <c r="AD8" s="2">
        <v>73087.92</v>
      </c>
      <c r="AE8" s="2">
        <v>104293.02</v>
      </c>
      <c r="AF8" s="2">
        <v>84302.2</v>
      </c>
      <c r="AG8" s="2">
        <v>103611.34</v>
      </c>
      <c r="AH8" s="2">
        <v>52279.82</v>
      </c>
      <c r="AI8" s="24">
        <f>SUM(E8:AH8)</f>
        <v>2037205.2699999998</v>
      </c>
      <c r="AJ8" s="26">
        <v>1892238.1059495383</v>
      </c>
      <c r="AK8" s="33">
        <f>$AJ8/$AI8*E8</f>
        <v>53739.256000083042</v>
      </c>
      <c r="AL8" s="33">
        <f>$AJ8/$AI8*F8</f>
        <v>55206.572694738781</v>
      </c>
      <c r="AM8" s="33">
        <f>$AJ8/$AI8*G8</f>
        <v>42053.266931715982</v>
      </c>
      <c r="AN8" s="33">
        <f>$AJ8/$AI8*H8</f>
        <v>53380.537923274947</v>
      </c>
      <c r="AO8" s="33">
        <f>$AJ8/$AI8*I8</f>
        <v>84496.098722556984</v>
      </c>
      <c r="AP8" s="33">
        <f>$AJ8/$AI8*J8</f>
        <v>86883.18082683903</v>
      </c>
      <c r="AQ8" s="33">
        <f>$AJ8/$AI8*K8</f>
        <v>55659.939585702094</v>
      </c>
      <c r="AR8" s="33">
        <f>$AJ8/$AI8*L8</f>
        <v>53832.270055524685</v>
      </c>
      <c r="AS8" s="33">
        <f>$AJ8/$AI8*M8</f>
        <v>44121.533933243991</v>
      </c>
      <c r="AT8" s="33">
        <f>$AJ8/$AI8*N8</f>
        <v>46566.04622574211</v>
      </c>
      <c r="AU8" s="33">
        <f>$AJ8/$AI8*O8</f>
        <v>54872.831130321603</v>
      </c>
      <c r="AV8" s="33">
        <f>$AJ8/$AI8*P8</f>
        <v>78241.706940860633</v>
      </c>
      <c r="AW8" s="33">
        <f>$AJ8/$AI8*Q8</f>
        <v>91879.672220449182</v>
      </c>
      <c r="AX8" s="33">
        <f>$AJ8/$AI8*R8</f>
        <v>53196.618279596092</v>
      </c>
      <c r="AY8" s="33">
        <f>$AJ8/$AI8*S8</f>
        <v>53592.53640553978</v>
      </c>
      <c r="AZ8" s="33">
        <f>$AJ8/$AI8*T8</f>
        <v>53596.437534288081</v>
      </c>
      <c r="BA8" s="33">
        <f>$AJ8/$AI8*U8</f>
        <v>53510.566259816536</v>
      </c>
      <c r="BB8" s="33">
        <f>$AJ8/$AI8*V8</f>
        <v>57972.556572900488</v>
      </c>
      <c r="BC8" s="33">
        <f>$AJ8/$AI8*W8</f>
        <v>75060.113524978107</v>
      </c>
      <c r="BD8" s="33">
        <f>$AJ8/$AI8*X8</f>
        <v>66889.682358553517</v>
      </c>
      <c r="BE8" s="33">
        <f>$AJ8/$AI8*Y8</f>
        <v>70239.367981478921</v>
      </c>
      <c r="BF8" s="33">
        <f>$AJ8/$AI8*Z8</f>
        <v>57983.767673850969</v>
      </c>
      <c r="BG8" s="33">
        <f>$AJ8/$AI8*AA8</f>
        <v>51903.672751587641</v>
      </c>
      <c r="BH8" s="33">
        <f>$AJ8/$AI8*AB8</f>
        <v>56444.809536253197</v>
      </c>
      <c r="BI8" s="33">
        <f>$AJ8/$AI8*AC8</f>
        <v>53055.276669684426</v>
      </c>
      <c r="BJ8" s="33">
        <f>$AJ8/$AI8*AD8</f>
        <v>67886.996634654977</v>
      </c>
      <c r="BK8" s="33">
        <f>$AJ8/$AI8*AE8</f>
        <v>96871.547278373837</v>
      </c>
      <c r="BL8" s="33">
        <f>$AJ8/$AI8*AF8</f>
        <v>78303.27046786953</v>
      </c>
      <c r="BM8" s="33">
        <f>$AJ8/$AI8*AG8</f>
        <v>96238.375505720964</v>
      </c>
      <c r="BN8" s="33">
        <f>$AJ8/$AI8*AH8</f>
        <v>48559.597323338363</v>
      </c>
    </row>
    <row r="9" spans="1:66" x14ac:dyDescent="0.25">
      <c r="A9" s="1" t="s">
        <v>10</v>
      </c>
      <c r="B9" s="4">
        <v>7</v>
      </c>
      <c r="C9" s="4" t="s">
        <v>4</v>
      </c>
      <c r="D9" s="4" t="str">
        <f>A9&amp;C9</f>
        <v>RUIRUBAKERY</v>
      </c>
      <c r="E9" s="2">
        <v>61674.68</v>
      </c>
      <c r="F9" s="2">
        <v>83443.95</v>
      </c>
      <c r="G9" s="2">
        <v>75313.850000000006</v>
      </c>
      <c r="H9" s="2">
        <v>89361.11</v>
      </c>
      <c r="I9" s="2">
        <v>112851.88</v>
      </c>
      <c r="J9" s="2">
        <v>94253.78</v>
      </c>
      <c r="K9" s="2">
        <v>73967.960000000006</v>
      </c>
      <c r="L9" s="2">
        <v>66494.47</v>
      </c>
      <c r="M9" s="2">
        <v>69587.679999999993</v>
      </c>
      <c r="N9" s="2">
        <v>80503.28</v>
      </c>
      <c r="O9" s="2">
        <v>88131.13</v>
      </c>
      <c r="P9" s="2">
        <v>100870.81</v>
      </c>
      <c r="Q9" s="2">
        <v>94035.199999999997</v>
      </c>
      <c r="R9" s="2">
        <v>69414.960000000006</v>
      </c>
      <c r="S9" s="2">
        <v>68772.88</v>
      </c>
      <c r="T9" s="2">
        <v>72167.850000000006</v>
      </c>
      <c r="U9" s="2">
        <v>69289.399999999994</v>
      </c>
      <c r="V9" s="2">
        <v>90102.06</v>
      </c>
      <c r="W9" s="2">
        <v>106425.85</v>
      </c>
      <c r="X9" s="2">
        <v>112279.09</v>
      </c>
      <c r="Y9" s="2">
        <v>82404.37</v>
      </c>
      <c r="Z9" s="2">
        <v>62011.13</v>
      </c>
      <c r="AA9" s="2">
        <v>65507.51</v>
      </c>
      <c r="AB9" s="2">
        <v>67435.820000000007</v>
      </c>
      <c r="AC9" s="2">
        <v>92799.85</v>
      </c>
      <c r="AD9" s="2">
        <v>112237.16</v>
      </c>
      <c r="AE9" s="2">
        <v>103299.95</v>
      </c>
      <c r="AF9" s="2">
        <v>116728.68</v>
      </c>
      <c r="AG9" s="2">
        <v>102445.16</v>
      </c>
      <c r="AH9" s="2">
        <v>69814.66</v>
      </c>
      <c r="AI9" s="24">
        <f>SUM(E9:AH9)</f>
        <v>2553626.1600000006</v>
      </c>
      <c r="AJ9" s="26">
        <v>2117280.0361045692</v>
      </c>
      <c r="AK9" s="33">
        <f>$AJ9/$AI9*E9</f>
        <v>51136.133684163746</v>
      </c>
      <c r="AL9" s="33">
        <f>$AJ9/$AI9*F9</f>
        <v>69185.620133491975</v>
      </c>
      <c r="AM9" s="33">
        <f>$AJ9/$AI9*G9</f>
        <v>62444.735860308574</v>
      </c>
      <c r="AN9" s="33">
        <f>$AJ9/$AI9*H9</f>
        <v>74091.696416183462</v>
      </c>
      <c r="AO9" s="33">
        <f>$AJ9/$AI9*I9</f>
        <v>93568.524752608442</v>
      </c>
      <c r="AP9" s="33">
        <f>$AJ9/$AI9*J9</f>
        <v>78148.340523497798</v>
      </c>
      <c r="AQ9" s="33">
        <f>$AJ9/$AI9*K9</f>
        <v>61328.822312574252</v>
      </c>
      <c r="AR9" s="33">
        <f>$AJ9/$AI9*L9</f>
        <v>55132.351026022603</v>
      </c>
      <c r="AS9" s="33">
        <f>$AJ9/$AI9*M9</f>
        <v>57697.01451634297</v>
      </c>
      <c r="AT9" s="33">
        <f>$AJ9/$AI9*N9</f>
        <v>66747.431654183951</v>
      </c>
      <c r="AU9" s="33">
        <f>$AJ9/$AI9*O9</f>
        <v>73071.886962630597</v>
      </c>
      <c r="AV9" s="33">
        <f>$AJ9/$AI9*P9</f>
        <v>83634.697820724497</v>
      </c>
      <c r="AW9" s="33">
        <f>$AJ9/$AI9*Q9</f>
        <v>77967.109974742867</v>
      </c>
      <c r="AX9" s="33">
        <f>$AJ9/$AI9*R9</f>
        <v>57553.807725323903</v>
      </c>
      <c r="AY9" s="33">
        <f>$AJ9/$AI9*S9</f>
        <v>57021.441951947731</v>
      </c>
      <c r="AZ9" s="33">
        <f>$AJ9/$AI9*T9</f>
        <v>59836.302763122192</v>
      </c>
      <c r="BA9" s="33">
        <f>$AJ9/$AI9*U9</f>
        <v>57449.702556956843</v>
      </c>
      <c r="BB9" s="33">
        <f>$AJ9/$AI9*V9</f>
        <v>74706.037962070375</v>
      </c>
      <c r="BC9" s="33">
        <f>$AJ9/$AI9*W9</f>
        <v>88240.530685376216</v>
      </c>
      <c r="BD9" s="33">
        <f>$AJ9/$AI9*X9</f>
        <v>93093.609179265346</v>
      </c>
      <c r="BE9" s="33">
        <f>$AJ9/$AI9*Y9</f>
        <v>68323.676433818415</v>
      </c>
      <c r="BF9" s="33">
        <f>$AJ9/$AI9*Z9</f>
        <v>51415.093415743009</v>
      </c>
      <c r="BG9" s="33">
        <f>$AJ9/$AI9*AA9</f>
        <v>54314.035981649089</v>
      </c>
      <c r="BH9" s="33">
        <f>$AJ9/$AI9*AB9</f>
        <v>55912.849594374929</v>
      </c>
      <c r="BI9" s="33">
        <f>$AJ9/$AI9*AC9</f>
        <v>76942.848109959275</v>
      </c>
      <c r="BJ9" s="33">
        <f>$AJ9/$AI9*AD9</f>
        <v>93058.843890083837</v>
      </c>
      <c r="BK9" s="33">
        <f>$AJ9/$AI9*AE9</f>
        <v>85648.76303804788</v>
      </c>
      <c r="BL9" s="33">
        <f>$AJ9/$AI9*AF9</f>
        <v>96782.883758066848</v>
      </c>
      <c r="BM9" s="33">
        <f>$AJ9/$AI9*AG9</f>
        <v>84940.03369057682</v>
      </c>
      <c r="BN9" s="33">
        <f>$AJ9/$AI9*AH9</f>
        <v>57885.20973071023</v>
      </c>
    </row>
    <row r="10" spans="1:66" x14ac:dyDescent="0.25">
      <c r="A10" s="1" t="s">
        <v>11</v>
      </c>
      <c r="B10" s="4">
        <v>8</v>
      </c>
      <c r="C10" s="4" t="s">
        <v>4</v>
      </c>
      <c r="D10" s="4" t="str">
        <f>A10&amp;C10</f>
        <v>LAVINGTONBAKERY</v>
      </c>
      <c r="E10" s="2">
        <v>89765.81</v>
      </c>
      <c r="F10" s="2">
        <v>86051.81</v>
      </c>
      <c r="G10" s="2">
        <v>85013.02</v>
      </c>
      <c r="H10" s="2">
        <v>82333.570000000007</v>
      </c>
      <c r="I10" s="2">
        <v>86059.57</v>
      </c>
      <c r="J10" s="2">
        <v>104619.15</v>
      </c>
      <c r="K10" s="2">
        <v>80692.5</v>
      </c>
      <c r="L10" s="2">
        <v>76863.5</v>
      </c>
      <c r="M10" s="2">
        <v>78991.839999999997</v>
      </c>
      <c r="N10" s="2">
        <v>86892.12</v>
      </c>
      <c r="O10" s="2">
        <v>91426.95</v>
      </c>
      <c r="P10" s="2">
        <v>86727.16</v>
      </c>
      <c r="Q10" s="2">
        <v>84936.22</v>
      </c>
      <c r="R10" s="2">
        <v>86002.29</v>
      </c>
      <c r="S10" s="2">
        <v>84337.95</v>
      </c>
      <c r="T10" s="2">
        <v>80554.77</v>
      </c>
      <c r="U10" s="2">
        <v>88946.29</v>
      </c>
      <c r="V10" s="2">
        <v>82020.990000000005</v>
      </c>
      <c r="W10" s="2">
        <v>96070.09</v>
      </c>
      <c r="X10" s="2">
        <v>93277.68</v>
      </c>
      <c r="Y10" s="2">
        <v>84945.67</v>
      </c>
      <c r="Z10" s="2">
        <v>76032.02</v>
      </c>
      <c r="AA10" s="2">
        <v>76714.09</v>
      </c>
      <c r="AB10" s="2">
        <v>93974.22</v>
      </c>
      <c r="AC10" s="2">
        <v>86372.02</v>
      </c>
      <c r="AD10" s="2">
        <v>89405.78</v>
      </c>
      <c r="AE10" s="2">
        <v>100818.01</v>
      </c>
      <c r="AF10" s="2">
        <v>90758.78</v>
      </c>
      <c r="AG10" s="2">
        <v>85129.99</v>
      </c>
      <c r="AH10" s="2">
        <v>87229.16</v>
      </c>
      <c r="AI10" s="24">
        <f>SUM(E10:AH10)</f>
        <v>2602963.0199999996</v>
      </c>
      <c r="AJ10" s="26">
        <v>2506717.5948303356</v>
      </c>
      <c r="AK10" s="33">
        <f>$AJ10/$AI10*E10</f>
        <v>86446.689258457816</v>
      </c>
      <c r="AL10" s="33">
        <f>$AJ10/$AI10*F10</f>
        <v>82870.015646244967</v>
      </c>
      <c r="AM10" s="33">
        <f>$AJ10/$AI10*G10</f>
        <v>81869.635252698776</v>
      </c>
      <c r="AN10" s="33">
        <f>$AJ10/$AI10*H10</f>
        <v>79289.258809445222</v>
      </c>
      <c r="AO10" s="33">
        <f>$AJ10/$AI10*I10</f>
        <v>82877.488717658765</v>
      </c>
      <c r="AP10" s="33">
        <f>$AJ10/$AI10*J10</f>
        <v>100750.82206169573</v>
      </c>
      <c r="AQ10" s="33">
        <f>$AJ10/$AI10*K10</f>
        <v>77708.867919624492</v>
      </c>
      <c r="AR10" s="33">
        <f>$AJ10/$AI10*L10</f>
        <v>74021.446470738389</v>
      </c>
      <c r="AS10" s="33">
        <f>$AJ10/$AI10*M10</f>
        <v>76071.09038991369</v>
      </c>
      <c r="AT10" s="33">
        <f>$AJ10/$AI10*N10</f>
        <v>83679.2549039398</v>
      </c>
      <c r="AU10" s="33">
        <f>$AJ10/$AI10*O10</f>
        <v>88046.408053339692</v>
      </c>
      <c r="AV10" s="33">
        <f>$AJ10/$AI10*P10</f>
        <v>83520.394354917022</v>
      </c>
      <c r="AW10" s="33">
        <f>$AJ10/$AI10*Q10</f>
        <v>81795.674958294374</v>
      </c>
      <c r="AX10" s="33">
        <f>$AJ10/$AI10*R10</f>
        <v>82822.326664748791</v>
      </c>
      <c r="AY10" s="33">
        <f>$AJ10/$AI10*S10</f>
        <v>81219.526190933422</v>
      </c>
      <c r="AZ10" s="33">
        <f>$AJ10/$AI10*T10</f>
        <v>77576.230532276604</v>
      </c>
      <c r="BA10" s="33">
        <f>$AJ10/$AI10*U10</f>
        <v>85657.471283584178</v>
      </c>
      <c r="BB10" s="33">
        <f>$AJ10/$AI10*V10</f>
        <v>78988.236559120633</v>
      </c>
      <c r="BC10" s="33">
        <f>$AJ10/$AI10*W10</f>
        <v>92517.866404392451</v>
      </c>
      <c r="BD10" s="33">
        <f>$AJ10/$AI10*X10</f>
        <v>89828.706694785753</v>
      </c>
      <c r="BE10" s="33">
        <f>$AJ10/$AI10*Y10</f>
        <v>81804.775541394905</v>
      </c>
      <c r="BF10" s="33">
        <f>$AJ10/$AI10*Z10</f>
        <v>73220.710720850737</v>
      </c>
      <c r="BG10" s="33">
        <f>$AJ10/$AI10*AA10</f>
        <v>73877.560955283159</v>
      </c>
      <c r="BH10" s="33">
        <f>$AJ10/$AI10*AB10</f>
        <v>90499.491896145671</v>
      </c>
      <c r="BI10" s="33">
        <f>$AJ10/$AI10*AC10</f>
        <v>83178.38577477666</v>
      </c>
      <c r="BJ10" s="33">
        <f>$AJ10/$AI10*AD10</f>
        <v>86099.971487697185</v>
      </c>
      <c r="BK10" s="33">
        <f>$AJ10/$AI10*AE10</f>
        <v>97090.230480024562</v>
      </c>
      <c r="BL10" s="33">
        <f>$AJ10/$AI10*AF10</f>
        <v>87402.943861774736</v>
      </c>
      <c r="BM10" s="33">
        <f>$AJ10/$AI10*AG10</f>
        <v>81982.280247965478</v>
      </c>
      <c r="BN10" s="33">
        <f>$AJ10/$AI10*AH10</f>
        <v>84003.832737612451</v>
      </c>
    </row>
    <row r="11" spans="1:66" x14ac:dyDescent="0.25">
      <c r="A11" s="1" t="s">
        <v>16</v>
      </c>
      <c r="B11" s="4">
        <v>9</v>
      </c>
      <c r="C11" s="4" t="s">
        <v>4</v>
      </c>
      <c r="D11" s="4" t="str">
        <f>A11&amp;C11</f>
        <v>PIPELINEBAKERY</v>
      </c>
      <c r="E11" s="2">
        <v>28536.03</v>
      </c>
      <c r="F11" s="2">
        <v>27555.72</v>
      </c>
      <c r="G11" s="2">
        <v>29991.79</v>
      </c>
      <c r="H11" s="2">
        <v>32287.51</v>
      </c>
      <c r="I11" s="2">
        <v>34083.620000000003</v>
      </c>
      <c r="J11" s="2">
        <v>41747.65</v>
      </c>
      <c r="K11" s="2">
        <v>27565.93</v>
      </c>
      <c r="L11" s="2">
        <v>27169.1</v>
      </c>
      <c r="M11" s="2">
        <v>34766.199999999997</v>
      </c>
      <c r="N11" s="2">
        <v>31190.41</v>
      </c>
      <c r="O11" s="2">
        <v>29917.52</v>
      </c>
      <c r="P11" s="2">
        <v>37733.24</v>
      </c>
      <c r="Q11" s="2">
        <v>38937.24</v>
      </c>
      <c r="R11" s="2">
        <v>30809.55</v>
      </c>
      <c r="S11" s="2">
        <v>29772.58</v>
      </c>
      <c r="T11" s="2">
        <v>30769.31</v>
      </c>
      <c r="U11" s="2">
        <v>30094.65</v>
      </c>
      <c r="V11" s="2">
        <v>32241.200000000001</v>
      </c>
      <c r="W11" s="2">
        <v>36869.82</v>
      </c>
      <c r="X11" s="2">
        <v>45135.13</v>
      </c>
      <c r="Y11" s="2">
        <v>33584.79</v>
      </c>
      <c r="Z11" s="2">
        <v>33995.79</v>
      </c>
      <c r="AA11" s="2">
        <v>29397.200000000001</v>
      </c>
      <c r="AB11" s="2">
        <v>28237.89</v>
      </c>
      <c r="AC11" s="2">
        <v>28853.1</v>
      </c>
      <c r="AD11" s="2">
        <v>37264</v>
      </c>
      <c r="AE11" s="2">
        <v>47816.89</v>
      </c>
      <c r="AF11" s="2">
        <v>20525</v>
      </c>
      <c r="AG11" s="2">
        <v>30061.69</v>
      </c>
      <c r="AH11" s="2">
        <v>26843.93</v>
      </c>
      <c r="AI11" s="24">
        <f>SUM(E11:AH11)</f>
        <v>973754.47999999986</v>
      </c>
      <c r="AJ11" s="26">
        <v>668143.824617662</v>
      </c>
      <c r="AK11" s="33">
        <f>$AJ11/$AI11*E11</f>
        <v>19580.061109042952</v>
      </c>
      <c r="AL11" s="33">
        <f>$AJ11/$AI11*F11</f>
        <v>18907.419199646101</v>
      </c>
      <c r="AM11" s="33">
        <f>$AJ11/$AI11*G11</f>
        <v>20578.934104343996</v>
      </c>
      <c r="AN11" s="33">
        <f>$AJ11/$AI11*H11</f>
        <v>22154.147541155355</v>
      </c>
      <c r="AO11" s="33">
        <f>$AJ11/$AI11*I11</f>
        <v>23386.552453771554</v>
      </c>
      <c r="AP11" s="33">
        <f>$AJ11/$AI11*J11</f>
        <v>28645.243860443694</v>
      </c>
      <c r="AQ11" s="33">
        <f>$AJ11/$AI11*K11</f>
        <v>18914.424814089431</v>
      </c>
      <c r="AR11" s="33">
        <f>$AJ11/$AI11*L11</f>
        <v>18642.139017855632</v>
      </c>
      <c r="AS11" s="33">
        <f>$AJ11/$AI11*M11</f>
        <v>23854.906254626487</v>
      </c>
      <c r="AT11" s="33">
        <f>$AJ11/$AI11*N11</f>
        <v>21401.369910814657</v>
      </c>
      <c r="AU11" s="33">
        <f>$AJ11/$AI11*O11</f>
        <v>20527.973576948676</v>
      </c>
      <c r="AV11" s="33">
        <f>$AJ11/$AI11*P11</f>
        <v>25890.747417989955</v>
      </c>
      <c r="AW11" s="33">
        <f>$AJ11/$AI11*Q11</f>
        <v>26716.874723550249</v>
      </c>
      <c r="AX11" s="33">
        <f>$AJ11/$AI11*R11</f>
        <v>21140.041965967735</v>
      </c>
      <c r="AY11" s="33">
        <f>$AJ11/$AI11*S11</f>
        <v>20428.522670247756</v>
      </c>
      <c r="AZ11" s="33">
        <f>$AJ11/$AI11*T11</f>
        <v>21112.431199542698</v>
      </c>
      <c r="BA11" s="33">
        <f>$AJ11/$AI11*U11</f>
        <v>20649.511724485135</v>
      </c>
      <c r="BB11" s="33">
        <f>$AJ11/$AI11*V11</f>
        <v>22122.371830590157</v>
      </c>
      <c r="BC11" s="33">
        <f>$AJ11/$AI11*W11</f>
        <v>25298.309844761658</v>
      </c>
      <c r="BD11" s="33">
        <f>$AJ11/$AI11*X11</f>
        <v>30969.570874596004</v>
      </c>
      <c r="BE11" s="33">
        <f>$AJ11/$AI11*Y11</f>
        <v>23044.279128329159</v>
      </c>
      <c r="BF11" s="33">
        <f>$AJ11/$AI11*Z11</f>
        <v>23326.287701904974</v>
      </c>
      <c r="BG11" s="33">
        <f>$AJ11/$AI11*AA11</f>
        <v>20170.954839715178</v>
      </c>
      <c r="BH11" s="33">
        <f>$AJ11/$AI11*AB11</f>
        <v>19375.491678079707</v>
      </c>
      <c r="BI11" s="33">
        <f>$AJ11/$AI11*AC11</f>
        <v>19797.619402044616</v>
      </c>
      <c r="BJ11" s="33">
        <f>$AJ11/$AI11*AD11</f>
        <v>25568.777337540527</v>
      </c>
      <c r="BK11" s="33">
        <f>$AJ11/$AI11*AE11</f>
        <v>32809.666524894492</v>
      </c>
      <c r="BL11" s="33">
        <f>$AJ11/$AI11*AF11</f>
        <v>14083.274872612154</v>
      </c>
      <c r="BM11" s="33">
        <f>$AJ11/$AI11*AG11</f>
        <v>20626.896146419294</v>
      </c>
      <c r="BN11" s="33">
        <f>$AJ11/$AI11*AH11</f>
        <v>18419.022891652112</v>
      </c>
    </row>
    <row r="12" spans="1:66" x14ac:dyDescent="0.25">
      <c r="A12" s="1" t="s">
        <v>17</v>
      </c>
      <c r="B12" s="4">
        <v>10</v>
      </c>
      <c r="C12" s="4" t="s">
        <v>4</v>
      </c>
      <c r="D12" s="4" t="str">
        <f>A12&amp;C12</f>
        <v>DONHOLMBAKERY</v>
      </c>
      <c r="E12" s="2">
        <v>83163.81</v>
      </c>
      <c r="F12" s="2">
        <v>68946.13</v>
      </c>
      <c r="G12" s="2">
        <v>74411.990000000005</v>
      </c>
      <c r="H12" s="2">
        <v>82481.23</v>
      </c>
      <c r="I12" s="2">
        <v>92192.06</v>
      </c>
      <c r="J12" s="2">
        <v>81029.23</v>
      </c>
      <c r="K12" s="2">
        <v>72473.2</v>
      </c>
      <c r="L12" s="2">
        <v>72552.5</v>
      </c>
      <c r="M12" s="2">
        <v>69541.850000000006</v>
      </c>
      <c r="N12" s="2">
        <v>70083.64</v>
      </c>
      <c r="O12" s="2">
        <v>84890.75</v>
      </c>
      <c r="P12" s="2">
        <v>84301.85</v>
      </c>
      <c r="Q12" s="2">
        <v>88261.33</v>
      </c>
      <c r="R12" s="2">
        <v>68353.820000000007</v>
      </c>
      <c r="S12" s="2">
        <v>67683.64</v>
      </c>
      <c r="T12" s="2">
        <v>70922.06</v>
      </c>
      <c r="U12" s="2">
        <v>71105.509999999995</v>
      </c>
      <c r="V12" s="2">
        <v>67778.820000000007</v>
      </c>
      <c r="W12" s="2">
        <v>86848.09</v>
      </c>
      <c r="X12" s="2">
        <v>84398.399999999994</v>
      </c>
      <c r="Y12" s="2">
        <v>62210.47</v>
      </c>
      <c r="Z12" s="2">
        <v>70589.95</v>
      </c>
      <c r="AA12" s="2">
        <v>64901.33</v>
      </c>
      <c r="AB12" s="2">
        <v>66428.160000000003</v>
      </c>
      <c r="AC12" s="2">
        <v>74097.37</v>
      </c>
      <c r="AD12" s="2">
        <v>84775.3</v>
      </c>
      <c r="AE12" s="2">
        <v>77743.16</v>
      </c>
      <c r="AF12" s="2">
        <v>88222.51</v>
      </c>
      <c r="AG12" s="2">
        <v>106433.37</v>
      </c>
      <c r="AH12" s="2">
        <v>67461.37</v>
      </c>
      <c r="AI12" s="24">
        <f>SUM(E12:AH12)</f>
        <v>2304282.9</v>
      </c>
      <c r="AJ12" s="26">
        <v>2021169.7334814754</v>
      </c>
      <c r="AK12" s="33">
        <f>$AJ12/$AI12*E12</f>
        <v>72945.980588149163</v>
      </c>
      <c r="AL12" s="33">
        <f>$AJ12/$AI12*F12</f>
        <v>60475.140095289149</v>
      </c>
      <c r="AM12" s="33">
        <f>$AJ12/$AI12*G12</f>
        <v>65269.443259821186</v>
      </c>
      <c r="AN12" s="33">
        <f>$AJ12/$AI12*H12</f>
        <v>72347.265023892789</v>
      </c>
      <c r="AO12" s="33">
        <f>$AJ12/$AI12*I12</f>
        <v>80864.984650672966</v>
      </c>
      <c r="AP12" s="33">
        <f>$AJ12/$AI12*J12</f>
        <v>71073.663395804891</v>
      </c>
      <c r="AQ12" s="33">
        <f>$AJ12/$AI12*K12</f>
        <v>63568.86054596406</v>
      </c>
      <c r="AR12" s="33">
        <f>$AJ12/$AI12*L12</f>
        <v>63638.4174392887</v>
      </c>
      <c r="AS12" s="33">
        <f>$AJ12/$AI12*M12</f>
        <v>60997.667617248189</v>
      </c>
      <c r="AT12" s="33">
        <f>$AJ12/$AI12*N12</f>
        <v>61472.891188929825</v>
      </c>
      <c r="AU12" s="33">
        <f>$AJ12/$AI12*O12</f>
        <v>74460.742017632714</v>
      </c>
      <c r="AV12" s="33">
        <f>$AJ12/$AI12*P12</f>
        <v>73944.196563926816</v>
      </c>
      <c r="AW12" s="33">
        <f>$AJ12/$AI12*Q12</f>
        <v>77417.199438845186</v>
      </c>
      <c r="AX12" s="33">
        <f>$AJ12/$AI12*R12</f>
        <v>59955.603607456687</v>
      </c>
      <c r="AY12" s="33">
        <f>$AJ12/$AI12*S12</f>
        <v>59367.764530933302</v>
      </c>
      <c r="AZ12" s="33">
        <f>$AJ12/$AI12*T12</f>
        <v>62208.299644178762</v>
      </c>
      <c r="BA12" s="33">
        <f>$AJ12/$AI12*U12</f>
        <v>62369.210263099369</v>
      </c>
      <c r="BB12" s="33">
        <f>$AJ12/$AI12*V12</f>
        <v>59451.250345645021</v>
      </c>
      <c r="BC12" s="33">
        <f>$AJ12/$AI12*W12</f>
        <v>76177.595606283925</v>
      </c>
      <c r="BD12" s="33">
        <f>$AJ12/$AI12*X12</f>
        <v>74028.884055105795</v>
      </c>
      <c r="BE12" s="33">
        <f>$AJ12/$AI12*Y12</f>
        <v>54567.049501455447</v>
      </c>
      <c r="BF12" s="33">
        <f>$AJ12/$AI12*Z12</f>
        <v>61916.993971517411</v>
      </c>
      <c r="BG12" s="33">
        <f>$AJ12/$AI12*AA12</f>
        <v>56927.299967679006</v>
      </c>
      <c r="BH12" s="33">
        <f>$AJ12/$AI12*AB12</f>
        <v>58266.537690691024</v>
      </c>
      <c r="BI12" s="33">
        <f>$AJ12/$AI12*AC12</f>
        <v>64993.478697679988</v>
      </c>
      <c r="BJ12" s="33">
        <f>$AJ12/$AI12*AD12</f>
        <v>74359.476654022001</v>
      </c>
      <c r="BK12" s="33">
        <f>$AJ12/$AI12*AE12</f>
        <v>68191.332747037144</v>
      </c>
      <c r="BL12" s="33">
        <f>$AJ12/$AI12*AF12</f>
        <v>77383.149015152085</v>
      </c>
      <c r="BM12" s="33">
        <f>$AJ12/$AI12*AG12</f>
        <v>93356.551869753166</v>
      </c>
      <c r="BN12" s="33">
        <f>$AJ12/$AI12*AH12</f>
        <v>59172.803488319594</v>
      </c>
    </row>
    <row r="13" spans="1:66" x14ac:dyDescent="0.25">
      <c r="A13" s="1" t="s">
        <v>19</v>
      </c>
      <c r="B13" s="4">
        <v>11</v>
      </c>
      <c r="C13" s="4" t="s">
        <v>4</v>
      </c>
      <c r="D13" s="4" t="str">
        <f>A13&amp;C13</f>
        <v>OUTERINGBAKERY</v>
      </c>
      <c r="E13" s="2">
        <v>26309.1</v>
      </c>
      <c r="F13" s="2">
        <v>31676.91</v>
      </c>
      <c r="G13" s="2">
        <v>33335.29</v>
      </c>
      <c r="H13" s="2">
        <v>38206.199999999997</v>
      </c>
      <c r="I13" s="2">
        <v>42994.55</v>
      </c>
      <c r="J13" s="2">
        <v>38742.65</v>
      </c>
      <c r="K13" s="2">
        <v>27372.37</v>
      </c>
      <c r="L13" s="2">
        <v>26340.31</v>
      </c>
      <c r="M13" s="2">
        <v>35009</v>
      </c>
      <c r="N13" s="2">
        <v>28578.45</v>
      </c>
      <c r="O13" s="2">
        <v>36163.620000000003</v>
      </c>
      <c r="P13" s="2">
        <v>32287.93</v>
      </c>
      <c r="Q13" s="2">
        <v>37369.129999999997</v>
      </c>
      <c r="R13" s="2">
        <v>26089.27</v>
      </c>
      <c r="S13" s="2">
        <v>27920.86</v>
      </c>
      <c r="T13" s="2">
        <v>21819.89</v>
      </c>
      <c r="U13" s="2">
        <v>27281.759999999998</v>
      </c>
      <c r="V13" s="2">
        <v>27772.240000000002</v>
      </c>
      <c r="W13" s="2">
        <v>41338.839999999997</v>
      </c>
      <c r="X13" s="2">
        <v>33115.51</v>
      </c>
      <c r="Y13" s="2">
        <v>28305.17</v>
      </c>
      <c r="Z13" s="2">
        <v>30201.31</v>
      </c>
      <c r="AA13" s="2">
        <v>25475.69</v>
      </c>
      <c r="AB13" s="2">
        <v>25872.75</v>
      </c>
      <c r="AC13" s="2">
        <v>35054.410000000003</v>
      </c>
      <c r="AD13" s="2">
        <v>41014.75</v>
      </c>
      <c r="AE13" s="2">
        <v>40565.79</v>
      </c>
      <c r="AF13" s="2">
        <v>44528.37</v>
      </c>
      <c r="AG13" s="2">
        <v>39469.86</v>
      </c>
      <c r="AH13" s="2">
        <v>28267.48</v>
      </c>
      <c r="AI13" s="24">
        <f>SUM(E13:AH13)</f>
        <v>978479.46000000008</v>
      </c>
      <c r="AJ13" s="26">
        <v>645842.06655085238</v>
      </c>
      <c r="AK13" s="33">
        <f>$AJ13/$AI13*E13</f>
        <v>17365.232697979198</v>
      </c>
      <c r="AL13" s="33">
        <f>$AJ13/$AI13*F13</f>
        <v>20908.237579504592</v>
      </c>
      <c r="AM13" s="33">
        <f>$AJ13/$AI13*G13</f>
        <v>22002.845703753417</v>
      </c>
      <c r="AN13" s="33">
        <f>$AJ13/$AI13*H13</f>
        <v>25217.873416632756</v>
      </c>
      <c r="AO13" s="33">
        <f>$AJ13/$AI13*I13</f>
        <v>28378.40768003853</v>
      </c>
      <c r="AP13" s="33">
        <f>$AJ13/$AI13*J13</f>
        <v>25571.955429351969</v>
      </c>
      <c r="AQ13" s="33">
        <f>$AJ13/$AI13*K13</f>
        <v>18067.040474405621</v>
      </c>
      <c r="AR13" s="33">
        <f>$AJ13/$AI13*L13</f>
        <v>17385.832753188384</v>
      </c>
      <c r="AS13" s="33">
        <f>$AJ13/$AI13*M13</f>
        <v>23107.572342784581</v>
      </c>
      <c r="AT13" s="33">
        <f>$AJ13/$AI13*N13</f>
        <v>18863.109509544745</v>
      </c>
      <c r="AU13" s="33">
        <f>$AJ13/$AI13*O13</f>
        <v>23869.675378530417</v>
      </c>
      <c r="AV13" s="33">
        <f>$AJ13/$AI13*P13</f>
        <v>21311.539269152632</v>
      </c>
      <c r="AW13" s="33">
        <f>$AJ13/$AI13*Q13</f>
        <v>24665.368187092503</v>
      </c>
      <c r="AX13" s="33">
        <f>$AJ13/$AI13*R13</f>
        <v>17220.134648103045</v>
      </c>
      <c r="AY13" s="33">
        <f>$AJ13/$AI13*S13</f>
        <v>18429.06944850639</v>
      </c>
      <c r="AZ13" s="33">
        <f>$AJ13/$AI13*T13</f>
        <v>14402.144782387439</v>
      </c>
      <c r="BA13" s="33">
        <f>$AJ13/$AI13*U13</f>
        <v>18007.233649589722</v>
      </c>
      <c r="BB13" s="33">
        <f>$AJ13/$AI13*V13</f>
        <v>18330.973318894445</v>
      </c>
      <c r="BC13" s="33">
        <f>$AJ13/$AI13*W13</f>
        <v>27285.561880282123</v>
      </c>
      <c r="BD13" s="33">
        <f>$AJ13/$AI13*X13</f>
        <v>21857.780656208583</v>
      </c>
      <c r="BE13" s="33">
        <f>$AJ13/$AI13*Y13</f>
        <v>18682.731967488809</v>
      </c>
      <c r="BF13" s="33">
        <f>$AJ13/$AI13*Z13</f>
        <v>19934.272777624708</v>
      </c>
      <c r="BG13" s="33">
        <f>$AJ13/$AI13*AA13</f>
        <v>16815.143239091482</v>
      </c>
      <c r="BH13" s="33">
        <f>$AJ13/$AI13*AB13</f>
        <v>17077.221352560191</v>
      </c>
      <c r="BI13" s="33">
        <f>$AJ13/$AI13*AC13</f>
        <v>23137.545060088301</v>
      </c>
      <c r="BJ13" s="33">
        <f>$AJ13/$AI13*AD13</f>
        <v>27071.647369140046</v>
      </c>
      <c r="BK13" s="33">
        <f>$AJ13/$AI13*AE13</f>
        <v>26775.312835762441</v>
      </c>
      <c r="BL13" s="33">
        <f>$AJ13/$AI13*AF13</f>
        <v>29390.800396506005</v>
      </c>
      <c r="BM13" s="33">
        <f>$AJ13/$AI13*AG13</f>
        <v>26051.947936518591</v>
      </c>
      <c r="BN13" s="33">
        <f>$AJ13/$AI13*AH13</f>
        <v>18657.854810140714</v>
      </c>
    </row>
    <row r="14" spans="1:66" x14ac:dyDescent="0.25">
      <c r="A14" s="1" t="s">
        <v>20</v>
      </c>
      <c r="B14" s="4">
        <v>12</v>
      </c>
      <c r="C14" s="4" t="s">
        <v>4</v>
      </c>
      <c r="D14" s="4" t="str">
        <f>A14&amp;C14</f>
        <v>FEDHABAKERY</v>
      </c>
      <c r="E14" s="2">
        <v>101506.95</v>
      </c>
      <c r="F14" s="2">
        <v>106579.71</v>
      </c>
      <c r="G14" s="2">
        <v>108095.88</v>
      </c>
      <c r="H14" s="2">
        <v>111871.26</v>
      </c>
      <c r="I14" s="2">
        <v>142545.71</v>
      </c>
      <c r="J14" s="2">
        <v>123143.4</v>
      </c>
      <c r="K14" s="2">
        <v>100017.02</v>
      </c>
      <c r="L14" s="2">
        <v>92415.02</v>
      </c>
      <c r="M14" s="2">
        <v>100063.5</v>
      </c>
      <c r="N14" s="2">
        <v>100455.47</v>
      </c>
      <c r="O14" s="2">
        <v>121756.02</v>
      </c>
      <c r="P14" s="2">
        <v>122295.26</v>
      </c>
      <c r="Q14" s="2">
        <v>116658.33</v>
      </c>
      <c r="R14" s="2">
        <v>97367.57</v>
      </c>
      <c r="S14" s="2">
        <v>99200.4</v>
      </c>
      <c r="T14" s="2">
        <v>91918.23</v>
      </c>
      <c r="U14" s="2">
        <v>97158.74</v>
      </c>
      <c r="V14" s="2">
        <v>112142.09</v>
      </c>
      <c r="W14" s="2">
        <v>118041.12</v>
      </c>
      <c r="X14" s="2">
        <v>122784.12</v>
      </c>
      <c r="Y14" s="2">
        <v>104913.98</v>
      </c>
      <c r="Z14" s="2">
        <v>104738.05</v>
      </c>
      <c r="AA14" s="2">
        <v>102764.29</v>
      </c>
      <c r="AB14" s="2">
        <v>95882.92</v>
      </c>
      <c r="AC14" s="2">
        <v>112911.81</v>
      </c>
      <c r="AD14" s="2">
        <v>120509.67</v>
      </c>
      <c r="AE14" s="2">
        <v>132358.67000000001</v>
      </c>
      <c r="AF14" s="2">
        <v>145257.98000000001</v>
      </c>
      <c r="AG14" s="2">
        <v>130211.09</v>
      </c>
      <c r="AH14" s="2">
        <v>96704.67</v>
      </c>
      <c r="AI14" s="24">
        <f>SUM(E14:AH14)</f>
        <v>3332268.9299999997</v>
      </c>
      <c r="AJ14" s="26">
        <v>3040413.6820357512</v>
      </c>
      <c r="AK14" s="33">
        <f>$AJ14/$AI14*E14</f>
        <v>92616.510277193898</v>
      </c>
      <c r="AL14" s="33">
        <f>$AJ14/$AI14*F14</f>
        <v>97244.974916055959</v>
      </c>
      <c r="AM14" s="33">
        <f>$AJ14/$AI14*G14</f>
        <v>98628.351861053045</v>
      </c>
      <c r="AN14" s="33">
        <f>$AJ14/$AI14*H14</f>
        <v>102073.06693297977</v>
      </c>
      <c r="AO14" s="33">
        <f>$AJ14/$AI14*I14</f>
        <v>130060.90927946215</v>
      </c>
      <c r="AP14" s="33">
        <f>$AJ14/$AI14*J14</f>
        <v>112357.94171402647</v>
      </c>
      <c r="AQ14" s="33">
        <f>$AJ14/$AI14*K14</f>
        <v>91257.075113815445</v>
      </c>
      <c r="AR14" s="33">
        <f>$AJ14/$AI14*L14</f>
        <v>84320.892801892682</v>
      </c>
      <c r="AS14" s="33">
        <f>$AJ14/$AI14*M14</f>
        <v>91299.484184304543</v>
      </c>
      <c r="AT14" s="33">
        <f>$AJ14/$AI14*N14</f>
        <v>91657.123671387468</v>
      </c>
      <c r="AU14" s="33">
        <f>$AJ14/$AI14*O14</f>
        <v>111092.0747558687</v>
      </c>
      <c r="AV14" s="33">
        <f>$AJ14/$AI14*P14</f>
        <v>111584.08566745528</v>
      </c>
      <c r="AW14" s="33">
        <f>$AJ14/$AI14*Q14</f>
        <v>106440.86359963803</v>
      </c>
      <c r="AX14" s="33">
        <f>$AJ14/$AI14*R14</f>
        <v>88839.675978545289</v>
      </c>
      <c r="AY14" s="33">
        <f>$AJ14/$AI14*S14</f>
        <v>90511.978402481254</v>
      </c>
      <c r="AZ14" s="33">
        <f>$AJ14/$AI14*T14</f>
        <v>83867.61392649934</v>
      </c>
      <c r="BA14" s="33">
        <f>$AJ14/$AI14*U14</f>
        <v>88649.136258445462</v>
      </c>
      <c r="BB14" s="33">
        <f>$AJ14/$AI14*V14</f>
        <v>102320.17641147727</v>
      </c>
      <c r="BC14" s="33">
        <f>$AJ14/$AI14*W14</f>
        <v>107702.54257084345</v>
      </c>
      <c r="BD14" s="33">
        <f>$AJ14/$AI14*X14</f>
        <v>112030.12908826646</v>
      </c>
      <c r="BE14" s="33">
        <f>$AJ14/$AI14*Y14</f>
        <v>95725.137115156307</v>
      </c>
      <c r="BF14" s="33">
        <f>$AJ14/$AI14*Z14</f>
        <v>95564.615863625586</v>
      </c>
      <c r="BG14" s="33">
        <f>$AJ14/$AI14*AA14</f>
        <v>93763.726729189817</v>
      </c>
      <c r="BH14" s="33">
        <f>$AJ14/$AI14*AB14</f>
        <v>87485.05836878519</v>
      </c>
      <c r="BI14" s="33">
        <f>$AJ14/$AI14*AC14</f>
        <v>103022.48083782996</v>
      </c>
      <c r="BJ14" s="33">
        <f>$AJ14/$AI14*AD14</f>
        <v>109954.8857497565</v>
      </c>
      <c r="BK14" s="33">
        <f>$AJ14/$AI14*AE14</f>
        <v>120766.09651192078</v>
      </c>
      <c r="BL14" s="33">
        <f>$AJ14/$AI14*AF14</f>
        <v>132535.62635380559</v>
      </c>
      <c r="BM14" s="33">
        <f>$AJ14/$AI14*AG14</f>
        <v>118806.61132257072</v>
      </c>
      <c r="BN14" s="33">
        <f>$AJ14/$AI14*AH14</f>
        <v>88234.83577141905</v>
      </c>
    </row>
    <row r="15" spans="1:66" ht="24.75" x14ac:dyDescent="0.25">
      <c r="A15" s="1" t="s">
        <v>21</v>
      </c>
      <c r="B15" s="4">
        <v>13</v>
      </c>
      <c r="C15" s="4" t="s">
        <v>4</v>
      </c>
      <c r="D15" s="4" t="str">
        <f>A15&amp;C15</f>
        <v>RONGAI EXPRESSBAKERY</v>
      </c>
      <c r="E15" s="2">
        <v>65330.92</v>
      </c>
      <c r="F15" s="2">
        <v>69141.960000000006</v>
      </c>
      <c r="G15" s="2">
        <v>76079.13</v>
      </c>
      <c r="H15" s="2">
        <v>66162.789999999994</v>
      </c>
      <c r="I15" s="2">
        <v>103971.89</v>
      </c>
      <c r="J15" s="2">
        <v>82601.27</v>
      </c>
      <c r="K15" s="2">
        <v>62577.61</v>
      </c>
      <c r="L15" s="2">
        <v>59173.89</v>
      </c>
      <c r="M15" s="2">
        <v>61661.16</v>
      </c>
      <c r="N15" s="2">
        <v>67410.539999999994</v>
      </c>
      <c r="O15" s="2">
        <v>73928.13</v>
      </c>
      <c r="P15" s="2">
        <v>79647.75</v>
      </c>
      <c r="Q15" s="2">
        <v>72282.27</v>
      </c>
      <c r="R15" s="2">
        <v>65019.55</v>
      </c>
      <c r="S15" s="2">
        <v>64494.68</v>
      </c>
      <c r="T15" s="2">
        <v>64904.37</v>
      </c>
      <c r="U15" s="2">
        <v>68850.44</v>
      </c>
      <c r="V15" s="2">
        <v>75063.37</v>
      </c>
      <c r="W15" s="2">
        <v>63811.03</v>
      </c>
      <c r="X15" s="2">
        <v>84065.54</v>
      </c>
      <c r="Y15" s="2">
        <v>72663.3</v>
      </c>
      <c r="Z15" s="2">
        <v>70662.710000000006</v>
      </c>
      <c r="AA15" s="2">
        <v>60442.54</v>
      </c>
      <c r="AB15" s="2">
        <v>73577.19</v>
      </c>
      <c r="AC15" s="2">
        <v>73372.03</v>
      </c>
      <c r="AD15" s="2">
        <v>79048.14</v>
      </c>
      <c r="AE15" s="2">
        <v>87913</v>
      </c>
      <c r="AF15" s="2">
        <v>86976.51</v>
      </c>
      <c r="AG15" s="2">
        <v>89546.48</v>
      </c>
      <c r="AH15" s="2">
        <v>68970.92</v>
      </c>
      <c r="AI15" s="24">
        <f>SUM(E15:AH15)</f>
        <v>2189351.1100000003</v>
      </c>
      <c r="AJ15" s="26">
        <v>2077460.5385081274</v>
      </c>
      <c r="AK15" s="33">
        <f>$AJ15/$AI15*E15</f>
        <v>61992.07044704281</v>
      </c>
      <c r="AL15" s="33">
        <f>$AJ15/$AI15*F15</f>
        <v>65608.340662684932</v>
      </c>
      <c r="AM15" s="33">
        <f>$AJ15/$AI15*G15</f>
        <v>72190.974602986287</v>
      </c>
      <c r="AN15" s="33">
        <f>$AJ15/$AI15*H15</f>
        <v>62781.42629329113</v>
      </c>
      <c r="AO15" s="33">
        <f>$AJ15/$AI15*I15</f>
        <v>98658.226906833486</v>
      </c>
      <c r="AP15" s="33">
        <f>$AJ15/$AI15*J15</f>
        <v>78379.789368574697</v>
      </c>
      <c r="AQ15" s="33">
        <f>$AJ15/$AI15*K15</f>
        <v>59379.473112081854</v>
      </c>
      <c r="AR15" s="33">
        <f>$AJ15/$AI15*L15</f>
        <v>56149.706104024895</v>
      </c>
      <c r="AS15" s="33">
        <f>$AJ15/$AI15*M15</f>
        <v>58509.85987288069</v>
      </c>
      <c r="AT15" s="33">
        <f>$AJ15/$AI15*N15</f>
        <v>63965.407873533652</v>
      </c>
      <c r="AU15" s="33">
        <f>$AJ15/$AI15*O15</f>
        <v>70149.9051747341</v>
      </c>
      <c r="AV15" s="33">
        <f>$AJ15/$AI15*P15</f>
        <v>75577.21411160985</v>
      </c>
      <c r="AW15" s="33">
        <f>$AJ15/$AI15*Q15</f>
        <v>68588.159693942303</v>
      </c>
      <c r="AX15" s="33">
        <f>$AJ15/$AI15*R15</f>
        <v>61696.613548914094</v>
      </c>
      <c r="AY15" s="33">
        <f>$AJ15/$AI15*S15</f>
        <v>61198.567937195483</v>
      </c>
      <c r="AZ15" s="33">
        <f>$AJ15/$AI15*T15</f>
        <v>61587.320021835483</v>
      </c>
      <c r="BA15" s="33">
        <f>$AJ15/$AI15*U15</f>
        <v>65331.719296007075</v>
      </c>
      <c r="BB15" s="33">
        <f>$AJ15/$AI15*V15</f>
        <v>71227.126772934469</v>
      </c>
      <c r="BC15" s="33">
        <f>$AJ15/$AI15*W15</f>
        <v>60549.857051735416</v>
      </c>
      <c r="BD15" s="33">
        <f>$AJ15/$AI15*X15</f>
        <v>79769.225320088794</v>
      </c>
      <c r="BE15" s="33">
        <f>$AJ15/$AI15*Y15</f>
        <v>68949.716497404384</v>
      </c>
      <c r="BF15" s="33">
        <f>$AJ15/$AI15*Z15</f>
        <v>67051.370106206319</v>
      </c>
      <c r="BG15" s="33">
        <f>$AJ15/$AI15*AA15</f>
        <v>57353.519553653969</v>
      </c>
      <c r="BH15" s="33">
        <f>$AJ15/$AI15*AB15</f>
        <v>69816.900569829013</v>
      </c>
      <c r="BI15" s="33">
        <f>$AJ15/$AI15*AC15</f>
        <v>69622.225626128304</v>
      </c>
      <c r="BJ15" s="33">
        <f>$AJ15/$AI15*AD15</f>
        <v>75008.248216735694</v>
      </c>
      <c r="BK15" s="33">
        <f>$AJ15/$AI15*AE15</f>
        <v>83420.054228700203</v>
      </c>
      <c r="BL15" s="33">
        <f>$AJ15/$AI15*AF15</f>
        <v>82531.425168326474</v>
      </c>
      <c r="BM15" s="33">
        <f>$AJ15/$AI15*AG15</f>
        <v>84970.052410783595</v>
      </c>
      <c r="BN15" s="33">
        <f>$AJ15/$AI15*AH15</f>
        <v>65446.041957427718</v>
      </c>
    </row>
    <row r="16" spans="1:66" ht="24.75" x14ac:dyDescent="0.25">
      <c r="A16" s="1" t="s">
        <v>22</v>
      </c>
      <c r="B16" s="4">
        <v>14</v>
      </c>
      <c r="C16" s="4" t="s">
        <v>4</v>
      </c>
      <c r="D16" s="4" t="str">
        <f>A16&amp;C16</f>
        <v>UTAWALA MAINBAKERY</v>
      </c>
      <c r="E16" s="2">
        <v>79829.64</v>
      </c>
      <c r="F16" s="2">
        <v>76889.570000000007</v>
      </c>
      <c r="G16" s="2">
        <v>88194.3</v>
      </c>
      <c r="H16" s="2">
        <v>85299.44</v>
      </c>
      <c r="I16" s="2">
        <v>104758.57</v>
      </c>
      <c r="J16" s="2">
        <v>94825.09</v>
      </c>
      <c r="K16" s="2">
        <v>72594.12</v>
      </c>
      <c r="L16" s="2">
        <v>74088.679999999993</v>
      </c>
      <c r="M16" s="2">
        <v>70400.23</v>
      </c>
      <c r="N16" s="2">
        <v>66317.95</v>
      </c>
      <c r="O16" s="2">
        <v>91920.61</v>
      </c>
      <c r="P16" s="2">
        <v>98846.82</v>
      </c>
      <c r="Q16" s="2">
        <v>93530.61</v>
      </c>
      <c r="R16" s="2">
        <v>80486.06</v>
      </c>
      <c r="S16" s="2">
        <v>72947.990000000005</v>
      </c>
      <c r="T16" s="2">
        <v>75848.850000000006</v>
      </c>
      <c r="U16" s="2">
        <v>83479.850000000006</v>
      </c>
      <c r="V16" s="2">
        <v>94596.82</v>
      </c>
      <c r="W16" s="2">
        <v>102249.06</v>
      </c>
      <c r="X16" s="2">
        <v>92063.82</v>
      </c>
      <c r="Y16" s="2">
        <v>78937.5</v>
      </c>
      <c r="Z16" s="2">
        <v>89134.64</v>
      </c>
      <c r="AA16" s="2">
        <v>72288.78</v>
      </c>
      <c r="AB16" s="2">
        <v>71180.2</v>
      </c>
      <c r="AC16" s="2">
        <v>79104.539999999994</v>
      </c>
      <c r="AD16" s="2">
        <v>100780.36</v>
      </c>
      <c r="AE16" s="2">
        <v>95160.91</v>
      </c>
      <c r="AF16" s="2">
        <v>106125.33</v>
      </c>
      <c r="AG16" s="2">
        <v>94289.75</v>
      </c>
      <c r="AH16" s="2">
        <v>86119.74</v>
      </c>
      <c r="AI16" s="24">
        <f>SUM(E16:AH16)</f>
        <v>2572289.8300000005</v>
      </c>
      <c r="AJ16" s="26">
        <v>1971269.8339837368</v>
      </c>
      <c r="AK16" s="33">
        <f>$AJ16/$AI16*E16</f>
        <v>61177.305665350097</v>
      </c>
      <c r="AL16" s="33">
        <f>$AJ16/$AI16*F16</f>
        <v>58924.188138232035</v>
      </c>
      <c r="AM16" s="33">
        <f>$AJ16/$AI16*G16</f>
        <v>67587.548297118541</v>
      </c>
      <c r="AN16" s="33">
        <f>$AJ16/$AI16*H16</f>
        <v>65369.077374809545</v>
      </c>
      <c r="AO16" s="33">
        <f>$AJ16/$AI16*I16</f>
        <v>80281.547780435634</v>
      </c>
      <c r="AP16" s="33">
        <f>$AJ16/$AI16*J16</f>
        <v>72669.042672299824</v>
      </c>
      <c r="AQ16" s="33">
        <f>$AJ16/$AI16*K16</f>
        <v>55632.377507240475</v>
      </c>
      <c r="AR16" s="33">
        <f>$AJ16/$AI16*L16</f>
        <v>56777.730961862158</v>
      </c>
      <c r="AS16" s="33">
        <f>$AJ16/$AI16*M16</f>
        <v>53951.093724347869</v>
      </c>
      <c r="AT16" s="33">
        <f>$AJ16/$AI16*N16</f>
        <v>50822.645551820155</v>
      </c>
      <c r="AU16" s="33">
        <f>$AJ16/$AI16*O16</f>
        <v>70443.199479735064</v>
      </c>
      <c r="AV16" s="33">
        <f>$AJ16/$AI16*P16</f>
        <v>75751.088457718739</v>
      </c>
      <c r="AW16" s="33">
        <f>$AJ16/$AI16*Q16</f>
        <v>71677.020177425962</v>
      </c>
      <c r="AX16" s="33">
        <f>$AJ16/$AI16*R16</f>
        <v>61680.351989808645</v>
      </c>
      <c r="AY16" s="33">
        <f>$AJ16/$AI16*S16</f>
        <v>55903.565165806867</v>
      </c>
      <c r="AZ16" s="33">
        <f>$AJ16/$AI16*T16</f>
        <v>58126.63417767248</v>
      </c>
      <c r="BA16" s="33">
        <f>$AJ16/$AI16*U16</f>
        <v>63974.637745423592</v>
      </c>
      <c r="BB16" s="33">
        <f>$AJ16/$AI16*V16</f>
        <v>72494.108355118529</v>
      </c>
      <c r="BC16" s="33">
        <f>$AJ16/$AI16*W16</f>
        <v>78358.389159900034</v>
      </c>
      <c r="BD16" s="33">
        <f>$AJ16/$AI16*X16</f>
        <v>70552.948213968804</v>
      </c>
      <c r="BE16" s="33">
        <f>$AJ16/$AI16*Y16</f>
        <v>60493.615729177451</v>
      </c>
      <c r="BF16" s="33">
        <f>$AJ16/$AI16*Z16</f>
        <v>68308.176219395973</v>
      </c>
      <c r="BG16" s="33">
        <f>$AJ16/$AI16*AA16</f>
        <v>55398.380729704491</v>
      </c>
      <c r="BH16" s="33">
        <f>$AJ16/$AI16*AB16</f>
        <v>54548.822376259654</v>
      </c>
      <c r="BI16" s="33">
        <f>$AJ16/$AI16*AC16</f>
        <v>60621.626542433529</v>
      </c>
      <c r="BJ16" s="33">
        <f>$AJ16/$AI16*AD16</f>
        <v>77232.853471267343</v>
      </c>
      <c r="BK16" s="33">
        <f>$AJ16/$AI16*AE16</f>
        <v>72926.397744783404</v>
      </c>
      <c r="BL16" s="33">
        <f>$AJ16/$AI16*AF16</f>
        <v>81328.96192750147</v>
      </c>
      <c r="BM16" s="33">
        <f>$AJ16/$AI16*AG16</f>
        <v>72258.785795093703</v>
      </c>
      <c r="BN16" s="33">
        <f>$AJ16/$AI16*AH16</f>
        <v>65997.712852024357</v>
      </c>
    </row>
    <row r="17" spans="1:66" x14ac:dyDescent="0.25">
      <c r="A17" s="1" t="s">
        <v>23</v>
      </c>
      <c r="B17" s="4">
        <v>15</v>
      </c>
      <c r="C17" s="4" t="s">
        <v>4</v>
      </c>
      <c r="D17" s="4" t="str">
        <f>A17&amp;C17</f>
        <v>KONDELEBAKERY</v>
      </c>
      <c r="E17" s="2">
        <v>120214.19</v>
      </c>
      <c r="F17" s="2">
        <v>113781.99</v>
      </c>
      <c r="G17" s="2">
        <v>111746.54</v>
      </c>
      <c r="H17" s="2">
        <v>127868.99</v>
      </c>
      <c r="I17" s="2">
        <v>143281.01999999999</v>
      </c>
      <c r="J17" s="2">
        <v>137652.71</v>
      </c>
      <c r="K17" s="2">
        <v>106402.88</v>
      </c>
      <c r="L17" s="2">
        <v>110049.27</v>
      </c>
      <c r="M17" s="2">
        <v>114059.47</v>
      </c>
      <c r="N17" s="2">
        <v>107179.12</v>
      </c>
      <c r="O17" s="2">
        <v>116955.75</v>
      </c>
      <c r="P17" s="2">
        <v>126899.54</v>
      </c>
      <c r="Q17" s="2">
        <v>132912.81</v>
      </c>
      <c r="R17" s="2">
        <v>118511.95</v>
      </c>
      <c r="S17" s="2">
        <v>94152.85</v>
      </c>
      <c r="T17" s="2">
        <v>104622.71</v>
      </c>
      <c r="U17" s="2">
        <v>113482.57</v>
      </c>
      <c r="V17" s="2">
        <v>107993.27</v>
      </c>
      <c r="W17" s="2">
        <v>126491.61</v>
      </c>
      <c r="X17" s="2">
        <v>132702.34</v>
      </c>
      <c r="Y17" s="2">
        <v>115615.4</v>
      </c>
      <c r="Z17" s="2">
        <v>111946.61</v>
      </c>
      <c r="AA17" s="2">
        <v>106711.57</v>
      </c>
      <c r="AB17" s="2">
        <v>89943.78</v>
      </c>
      <c r="AC17" s="2">
        <v>119507.51</v>
      </c>
      <c r="AD17" s="2">
        <v>116482.99</v>
      </c>
      <c r="AE17" s="2">
        <v>127205.09</v>
      </c>
      <c r="AF17" s="2">
        <v>135030.09</v>
      </c>
      <c r="AG17" s="2">
        <v>132851.60999999999</v>
      </c>
      <c r="AH17" s="2">
        <v>119347.78</v>
      </c>
      <c r="AI17" s="24">
        <f>SUM(E17:AH17)</f>
        <v>3541604.0099999988</v>
      </c>
      <c r="AJ17" s="26">
        <v>2189007.1102069467</v>
      </c>
      <c r="AK17" s="33">
        <f>$AJ17/$AI17*E17</f>
        <v>74302.410973882113</v>
      </c>
      <c r="AL17" s="33">
        <f>$AJ17/$AI17*F17</f>
        <v>70326.774088867096</v>
      </c>
      <c r="AM17" s="33">
        <f>$AJ17/$AI17*G17</f>
        <v>69068.695966668791</v>
      </c>
      <c r="AN17" s="33">
        <f>$AJ17/$AI17*H17</f>
        <v>79033.716783311713</v>
      </c>
      <c r="AO17" s="33">
        <f>$AJ17/$AI17*I17</f>
        <v>88559.638698202121</v>
      </c>
      <c r="AP17" s="33">
        <f>$AJ17/$AI17*J17</f>
        <v>85080.872982537345</v>
      </c>
      <c r="AQ17" s="33">
        <f>$AJ17/$AI17*K17</f>
        <v>65765.867727966746</v>
      </c>
      <c r="AR17" s="33">
        <f>$AJ17/$AI17*L17</f>
        <v>68019.641332821993</v>
      </c>
      <c r="AS17" s="33">
        <f>$AJ17/$AI17*M17</f>
        <v>70498.279906915966</v>
      </c>
      <c r="AT17" s="33">
        <f>$AJ17/$AI17*N17</f>
        <v>66245.648887698102</v>
      </c>
      <c r="AU17" s="33">
        <f>$AJ17/$AI17*O17</f>
        <v>72288.422874692362</v>
      </c>
      <c r="AV17" s="33">
        <f>$AJ17/$AI17*P17</f>
        <v>78434.515704648438</v>
      </c>
      <c r="AW17" s="33">
        <f>$AJ17/$AI17*Q17</f>
        <v>82151.218856222447</v>
      </c>
      <c r="AX17" s="33">
        <f>$AJ17/$AI17*R17</f>
        <v>73250.284464888609</v>
      </c>
      <c r="AY17" s="33">
        <f>$AJ17/$AI17*S17</f>
        <v>58194.325936582674</v>
      </c>
      <c r="AZ17" s="33">
        <f>$AJ17/$AI17*T17</f>
        <v>64665.573969439771</v>
      </c>
      <c r="BA17" s="33">
        <f>$AJ17/$AI17*U17</f>
        <v>70141.707518158597</v>
      </c>
      <c r="BB17" s="33">
        <f>$AJ17/$AI17*V17</f>
        <v>66748.86159407151</v>
      </c>
      <c r="BC17" s="33">
        <f>$AJ17/$AI17*W17</f>
        <v>78182.380890043147</v>
      </c>
      <c r="BD17" s="33">
        <f>$AJ17/$AI17*X17</f>
        <v>82021.13081555377</v>
      </c>
      <c r="BE17" s="33">
        <f>$AJ17/$AI17*Y17</f>
        <v>71459.974614558974</v>
      </c>
      <c r="BF17" s="33">
        <f>$AJ17/$AI17*Z17</f>
        <v>69192.355938620065</v>
      </c>
      <c r="BG17" s="33">
        <f>$AJ17/$AI17*AA17</f>
        <v>65956.663933003161</v>
      </c>
      <c r="BH17" s="33">
        <f>$AJ17/$AI17*AB17</f>
        <v>55592.769090774047</v>
      </c>
      <c r="BI17" s="33">
        <f>$AJ17/$AI17*AC17</f>
        <v>73865.623704533762</v>
      </c>
      <c r="BJ17" s="33">
        <f>$AJ17/$AI17*AD17</f>
        <v>71996.217704803406</v>
      </c>
      <c r="BK17" s="33">
        <f>$AJ17/$AI17*AE17</f>
        <v>78623.371127399034</v>
      </c>
      <c r="BL17" s="33">
        <f>$AJ17/$AI17*AF17</f>
        <v>83459.874753723241</v>
      </c>
      <c r="BM17" s="33">
        <f>$AJ17/$AI17*AG17</f>
        <v>82113.392144154583</v>
      </c>
      <c r="BN17" s="33">
        <f>$AJ17/$AI17*AH17</f>
        <v>73766.897222203697</v>
      </c>
    </row>
    <row r="18" spans="1:66" x14ac:dyDescent="0.25">
      <c r="A18" s="1" t="s">
        <v>24</v>
      </c>
      <c r="B18" s="4">
        <v>16</v>
      </c>
      <c r="C18" s="4" t="s">
        <v>4</v>
      </c>
      <c r="D18" s="4" t="str">
        <f>A18&amp;C18</f>
        <v>NYALENDABAKERY</v>
      </c>
      <c r="E18" s="2">
        <v>48592.93</v>
      </c>
      <c r="F18" s="2">
        <v>54295.41</v>
      </c>
      <c r="G18" s="2">
        <v>52094.2</v>
      </c>
      <c r="H18" s="2">
        <v>56131.31</v>
      </c>
      <c r="I18" s="2">
        <v>60617.08</v>
      </c>
      <c r="J18" s="2">
        <v>55328.79</v>
      </c>
      <c r="K18" s="2">
        <v>42756.2</v>
      </c>
      <c r="L18" s="2">
        <v>52099.79</v>
      </c>
      <c r="M18" s="2">
        <v>67938.679999999993</v>
      </c>
      <c r="N18" s="2">
        <v>46620.959999999999</v>
      </c>
      <c r="O18" s="2">
        <v>57114.55</v>
      </c>
      <c r="P18" s="2">
        <v>66201.75</v>
      </c>
      <c r="Q18" s="2">
        <v>48363.41</v>
      </c>
      <c r="R18" s="2">
        <v>53448.89</v>
      </c>
      <c r="S18" s="2">
        <v>61346.93</v>
      </c>
      <c r="T18" s="2">
        <v>52424.61</v>
      </c>
      <c r="U18" s="2">
        <v>54100.65</v>
      </c>
      <c r="V18" s="2">
        <v>47235.45</v>
      </c>
      <c r="W18" s="2">
        <v>62013.24</v>
      </c>
      <c r="X18" s="2">
        <v>55898.52</v>
      </c>
      <c r="Y18" s="2">
        <v>52491.82</v>
      </c>
      <c r="Z18" s="2">
        <v>55779.34</v>
      </c>
      <c r="AA18" s="2">
        <v>85911.93</v>
      </c>
      <c r="AB18" s="2">
        <v>45693.3</v>
      </c>
      <c r="AC18" s="2">
        <v>59259.65</v>
      </c>
      <c r="AD18" s="2">
        <v>59836.17</v>
      </c>
      <c r="AE18" s="2">
        <v>60141.86</v>
      </c>
      <c r="AF18" s="2">
        <v>63848.25</v>
      </c>
      <c r="AG18" s="2">
        <v>53012.480000000003</v>
      </c>
      <c r="AH18" s="2">
        <v>65418.93</v>
      </c>
      <c r="AI18" s="24">
        <f>SUM(E18:AH18)</f>
        <v>1696017.08</v>
      </c>
      <c r="AJ18" s="26">
        <v>1540232.5135956486</v>
      </c>
      <c r="AK18" s="33">
        <f>$AJ18/$AI18*E18</f>
        <v>44129.5147315836</v>
      </c>
      <c r="AL18" s="33">
        <f>$AJ18/$AI18*F18</f>
        <v>49308.203795333429</v>
      </c>
      <c r="AM18" s="33">
        <f>$AJ18/$AI18*G18</f>
        <v>47309.181939225768</v>
      </c>
      <c r="AN18" s="33">
        <f>$AJ18/$AI18*H18</f>
        <v>50975.470537547037</v>
      </c>
      <c r="AO18" s="33">
        <f>$AJ18/$AI18*I18</f>
        <v>55049.208286999397</v>
      </c>
      <c r="AP18" s="33">
        <f>$AJ18/$AI18*J18</f>
        <v>50246.664553582079</v>
      </c>
      <c r="AQ18" s="33">
        <f>$AJ18/$AI18*K18</f>
        <v>38828.906957586929</v>
      </c>
      <c r="AR18" s="33">
        <f>$AJ18/$AI18*L18</f>
        <v>47314.258479935495</v>
      </c>
      <c r="AS18" s="33">
        <f>$AJ18/$AI18*M18</f>
        <v>61698.296025869269</v>
      </c>
      <c r="AT18" s="33">
        <f>$AJ18/$AI18*N18</f>
        <v>42338.676451915322</v>
      </c>
      <c r="AU18" s="33">
        <f>$AJ18/$AI18*O18</f>
        <v>51868.396814367195</v>
      </c>
      <c r="AV18" s="33">
        <f>$AJ18/$AI18*P18</f>
        <v>60120.908574181769</v>
      </c>
      <c r="AW18" s="33">
        <f>$AJ18/$AI18*Q18</f>
        <v>43921.076874035331</v>
      </c>
      <c r="AX18" s="33">
        <f>$AJ18/$AI18*R18</f>
        <v>48539.439351399291</v>
      </c>
      <c r="AY18" s="33">
        <f>$AJ18/$AI18*S18</f>
        <v>55712.019241738002</v>
      </c>
      <c r="AZ18" s="33">
        <f>$AJ18/$AI18*T18</f>
        <v>47609.242729189718</v>
      </c>
      <c r="BA18" s="33">
        <f>$AJ18/$AI18*U18</f>
        <v>49131.333121160802</v>
      </c>
      <c r="BB18" s="33">
        <f>$AJ18/$AI18*V18</f>
        <v>42896.723589789304</v>
      </c>
      <c r="BC18" s="33">
        <f>$AJ18/$AI18*W18</f>
        <v>56317.126547693857</v>
      </c>
      <c r="BD18" s="33">
        <f>$AJ18/$AI18*X18</f>
        <v>50764.063039905603</v>
      </c>
      <c r="BE18" s="33">
        <f>$AJ18/$AI18*Y18</f>
        <v>47670.279276792622</v>
      </c>
      <c r="BF18" s="33">
        <f>$AJ18/$AI18*Z18</f>
        <v>50655.830102198204</v>
      </c>
      <c r="BG18" s="33">
        <f>$AJ18/$AI18*AA18</f>
        <v>78020.645813162089</v>
      </c>
      <c r="BH18" s="33">
        <f>$AJ18/$AI18*AB18</f>
        <v>41496.224975210775</v>
      </c>
      <c r="BI18" s="33">
        <f>$AJ18/$AI18*AC18</f>
        <v>53816.462552545978</v>
      </c>
      <c r="BJ18" s="33">
        <f>$AJ18/$AI18*AD18</f>
        <v>54340.027355760198</v>
      </c>
      <c r="BK18" s="33">
        <f>$AJ18/$AI18*AE18</f>
        <v>54617.638756396009</v>
      </c>
      <c r="BL18" s="33">
        <f>$AJ18/$AI18*AF18</f>
        <v>57983.585039239915</v>
      </c>
      <c r="BM18" s="33">
        <f>$AJ18/$AI18*AG18</f>
        <v>48143.114998782352</v>
      </c>
      <c r="BN18" s="33">
        <f>$AJ18/$AI18*AH18</f>
        <v>59409.993082521185</v>
      </c>
    </row>
    <row r="19" spans="1:66" x14ac:dyDescent="0.25">
      <c r="A19" s="1" t="s">
        <v>25</v>
      </c>
      <c r="B19" s="4">
        <v>17</v>
      </c>
      <c r="C19" s="4" t="s">
        <v>4</v>
      </c>
      <c r="D19" s="4" t="str">
        <f>A19&amp;C19</f>
        <v>MAYFAIRBAKERY</v>
      </c>
      <c r="E19" s="2">
        <v>82800.399999999994</v>
      </c>
      <c r="F19" s="2">
        <v>79987.41</v>
      </c>
      <c r="G19" s="2">
        <v>92303.03</v>
      </c>
      <c r="H19" s="2">
        <v>89219.37</v>
      </c>
      <c r="I19" s="2">
        <v>91781.92</v>
      </c>
      <c r="J19" s="2">
        <v>64553.99</v>
      </c>
      <c r="K19" s="2">
        <v>82267.89</v>
      </c>
      <c r="L19" s="2">
        <v>71559.13</v>
      </c>
      <c r="M19" s="2">
        <v>81811.58</v>
      </c>
      <c r="N19" s="2">
        <v>76749.440000000002</v>
      </c>
      <c r="O19" s="2">
        <v>91327.17</v>
      </c>
      <c r="P19" s="2">
        <v>84770.13</v>
      </c>
      <c r="Q19" s="2">
        <v>60821.86</v>
      </c>
      <c r="R19" s="2">
        <v>94894.33</v>
      </c>
      <c r="S19" s="2">
        <v>79367.850000000006</v>
      </c>
      <c r="T19" s="2">
        <v>82010.03</v>
      </c>
      <c r="U19" s="2">
        <v>84919.3</v>
      </c>
      <c r="V19" s="2">
        <v>101175.03</v>
      </c>
      <c r="W19" s="2">
        <v>90946.75</v>
      </c>
      <c r="X19" s="2">
        <v>77128.58</v>
      </c>
      <c r="Y19" s="2">
        <v>92310.68</v>
      </c>
      <c r="Z19" s="2">
        <v>95604.99</v>
      </c>
      <c r="AA19" s="2">
        <v>90382.03</v>
      </c>
      <c r="AB19" s="2">
        <v>78179.86</v>
      </c>
      <c r="AC19" s="2">
        <v>92431.3</v>
      </c>
      <c r="AD19" s="2">
        <v>85018.09</v>
      </c>
      <c r="AE19" s="2">
        <v>62142.58</v>
      </c>
      <c r="AF19" s="2">
        <v>87622.17</v>
      </c>
      <c r="AG19" s="2">
        <v>57222.14</v>
      </c>
      <c r="AH19" s="2">
        <v>90397.34</v>
      </c>
      <c r="AI19" s="24">
        <f>SUM(E19:AH19)</f>
        <v>2491706.37</v>
      </c>
      <c r="AJ19" s="26">
        <v>2013953.7914463426</v>
      </c>
      <c r="AK19" s="33">
        <f>$AJ19/$AI19*E19</f>
        <v>66924.490590467816</v>
      </c>
      <c r="AL19" s="33">
        <f>$AJ19/$AI19*F19</f>
        <v>64650.855163753949</v>
      </c>
      <c r="AM19" s="33">
        <f>$AJ19/$AI19*G19</f>
        <v>74605.11377610096</v>
      </c>
      <c r="AN19" s="33">
        <f>$AJ19/$AI19*H19</f>
        <v>72112.705832972628</v>
      </c>
      <c r="AO19" s="33">
        <f>$AJ19/$AI19*I19</f>
        <v>74183.919901535148</v>
      </c>
      <c r="AP19" s="33">
        <f>$AJ19/$AI19*J19</f>
        <v>52176.594513216769</v>
      </c>
      <c r="AQ19" s="33">
        <f>$AJ19/$AI19*K19</f>
        <v>66494.082518956944</v>
      </c>
      <c r="AR19" s="33">
        <f>$AJ19/$AI19*L19</f>
        <v>57838.589213905543</v>
      </c>
      <c r="AS19" s="33">
        <f>$AJ19/$AI19*M19</f>
        <v>66125.264079657893</v>
      </c>
      <c r="AT19" s="33">
        <f>$AJ19/$AI19*N19</f>
        <v>62033.724174082192</v>
      </c>
      <c r="AU19" s="33">
        <f>$AJ19/$AI19*O19</f>
        <v>73816.362352344382</v>
      </c>
      <c r="AV19" s="33">
        <f>$AJ19/$AI19*P19</f>
        <v>68516.550252628425</v>
      </c>
      <c r="AW19" s="33">
        <f>$AJ19/$AI19*Q19</f>
        <v>49160.052333862535</v>
      </c>
      <c r="AX19" s="33">
        <f>$AJ19/$AI19*R19</f>
        <v>76699.565402748645</v>
      </c>
      <c r="AY19" s="33">
        <f>$AJ19/$AI19*S19</f>
        <v>64150.087807675591</v>
      </c>
      <c r="AZ19" s="33">
        <f>$AJ19/$AI19*T19</f>
        <v>66285.663850162367</v>
      </c>
      <c r="BA19" s="33">
        <f>$AJ19/$AI19*U19</f>
        <v>68637.118827917671</v>
      </c>
      <c r="BB19" s="33">
        <f>$AJ19/$AI19*V19</f>
        <v>81776.022135464314</v>
      </c>
      <c r="BC19" s="33">
        <f>$AJ19/$AI19*W19</f>
        <v>73508.882983761301</v>
      </c>
      <c r="BD19" s="33">
        <f>$AJ19/$AI19*X19</f>
        <v>62340.168966166166</v>
      </c>
      <c r="BE19" s="33">
        <f>$AJ19/$AI19*Y19</f>
        <v>74611.296987208829</v>
      </c>
      <c r="BF19" s="33">
        <f>$AJ19/$AI19*Z19</f>
        <v>77273.965508098641</v>
      </c>
      <c r="BG19" s="33">
        <f>$AJ19/$AI19*AA19</f>
        <v>73052.440764566127</v>
      </c>
      <c r="BH19" s="33">
        <f>$AJ19/$AI19*AB19</f>
        <v>63189.87957708045</v>
      </c>
      <c r="BI19" s="33">
        <f>$AJ19/$AI19*AC19</f>
        <v>74708.789656990892</v>
      </c>
      <c r="BJ19" s="33">
        <f>$AJ19/$AI19*AD19</f>
        <v>68716.967118812798</v>
      </c>
      <c r="BK19" s="33">
        <f>$AJ19/$AI19*AE19</f>
        <v>50227.541297836658</v>
      </c>
      <c r="BL19" s="33">
        <f>$AJ19/$AI19*AF19</f>
        <v>70821.748345193642</v>
      </c>
      <c r="BM19" s="33">
        <f>$AJ19/$AI19*AG19</f>
        <v>46250.5322437625</v>
      </c>
      <c r="BN19" s="33">
        <f>$AJ19/$AI19*AH19</f>
        <v>73064.815269410785</v>
      </c>
    </row>
    <row r="20" spans="1:66" x14ac:dyDescent="0.25">
      <c r="A20" s="1" t="s">
        <v>80</v>
      </c>
      <c r="B20" s="4">
        <v>18</v>
      </c>
      <c r="C20" s="4" t="s">
        <v>4</v>
      </c>
      <c r="D20" s="4" t="str">
        <f>A20&amp;C20</f>
        <v>WAIYAKI WAYBAKERY</v>
      </c>
      <c r="E20" s="2">
        <v>52931.51</v>
      </c>
      <c r="F20" s="2">
        <v>41640.61</v>
      </c>
      <c r="G20" s="2">
        <v>49883.82</v>
      </c>
      <c r="H20" s="2">
        <v>50375.65</v>
      </c>
      <c r="I20" s="2">
        <v>42214.89</v>
      </c>
      <c r="J20" s="2">
        <v>39002.620000000003</v>
      </c>
      <c r="K20" s="2">
        <v>36172.68</v>
      </c>
      <c r="L20" s="2">
        <v>40798.129999999997</v>
      </c>
      <c r="M20" s="2">
        <v>37470.410000000003</v>
      </c>
      <c r="N20" s="2">
        <v>35776.82</v>
      </c>
      <c r="O20" s="2">
        <v>47985.16</v>
      </c>
      <c r="P20" s="2">
        <v>52680.480000000003</v>
      </c>
      <c r="Q20" s="2">
        <v>45486.86</v>
      </c>
      <c r="R20" s="2">
        <v>39382.230000000003</v>
      </c>
      <c r="S20" s="2">
        <v>39885.230000000003</v>
      </c>
      <c r="T20" s="2">
        <v>44417.440000000002</v>
      </c>
      <c r="U20" s="2">
        <v>36728.06</v>
      </c>
      <c r="V20" s="2">
        <v>43763.48</v>
      </c>
      <c r="W20" s="2">
        <v>45408.34</v>
      </c>
      <c r="X20" s="2">
        <v>52551.86</v>
      </c>
      <c r="Y20" s="2">
        <v>43743.61</v>
      </c>
      <c r="Z20" s="2">
        <v>45231.61</v>
      </c>
      <c r="AA20" s="2">
        <v>38507.269999999997</v>
      </c>
      <c r="AB20" s="2">
        <v>36121.199999999997</v>
      </c>
      <c r="AC20" s="2">
        <v>51711.51</v>
      </c>
      <c r="AD20" s="2">
        <v>47854.47</v>
      </c>
      <c r="AE20" s="2">
        <v>46877.34</v>
      </c>
      <c r="AF20" s="2">
        <v>58104.959999999999</v>
      </c>
      <c r="AG20" s="2">
        <v>47874.27</v>
      </c>
      <c r="AH20" s="2">
        <v>47924.58</v>
      </c>
      <c r="AI20" s="24">
        <f>SUM(E20:AH20)</f>
        <v>1338507.0999999999</v>
      </c>
      <c r="AJ20" s="26">
        <v>1633365.6255912283</v>
      </c>
      <c r="AK20" s="33">
        <f>$AJ20/$AI20*E20</f>
        <v>64591.744746545141</v>
      </c>
      <c r="AL20" s="33">
        <f>$AJ20/$AI20*F20</f>
        <v>50813.582537328613</v>
      </c>
      <c r="AM20" s="33">
        <f>$AJ20/$AI20*G20</f>
        <v>60872.681856659736</v>
      </c>
      <c r="AN20" s="33">
        <f>$AJ20/$AI20*H20</f>
        <v>61472.856645149492</v>
      </c>
      <c r="AO20" s="33">
        <f>$AJ20/$AI20*I20</f>
        <v>51514.370162186584</v>
      </c>
      <c r="AP20" s="33">
        <f>$AJ20/$AI20*J20</f>
        <v>47594.472092077034</v>
      </c>
      <c r="AQ20" s="33">
        <f>$AJ20/$AI20*K20</f>
        <v>44141.127153909998</v>
      </c>
      <c r="AR20" s="33">
        <f>$AJ20/$AI20*L20</f>
        <v>49785.513375612478</v>
      </c>
      <c r="AS20" s="33">
        <f>$AJ20/$AI20*M20</f>
        <v>45724.73292880541</v>
      </c>
      <c r="AT20" s="33">
        <f>$AJ20/$AI20*N20</f>
        <v>43658.063510432461</v>
      </c>
      <c r="AU20" s="33">
        <f>$AJ20/$AI20*O20</f>
        <v>58555.767752367698</v>
      </c>
      <c r="AV20" s="33">
        <f>$AJ20/$AI20*P20</f>
        <v>64285.415573549224</v>
      </c>
      <c r="AW20" s="33">
        <f>$AJ20/$AI20*Q20</f>
        <v>55507.11949161916</v>
      </c>
      <c r="AX20" s="33">
        <f>$AJ20/$AI20*R20</f>
        <v>48057.706037665135</v>
      </c>
      <c r="AY20" s="33">
        <f>$AJ20/$AI20*S20</f>
        <v>48671.511455411812</v>
      </c>
      <c r="AZ20" s="33">
        <f>$AJ20/$AI20*T20</f>
        <v>54202.117921347497</v>
      </c>
      <c r="BA20" s="33">
        <f>$AJ20/$AI20*U20</f>
        <v>44818.851314761181</v>
      </c>
      <c r="BB20" s="33">
        <f>$AJ20/$AI20*V20</f>
        <v>53404.097660930769</v>
      </c>
      <c r="BC20" s="33">
        <f>$AJ20/$AI20*W20</f>
        <v>55411.302391417426</v>
      </c>
      <c r="BD20" s="33">
        <f>$AJ20/$AI20*X20</f>
        <v>64128.461989393007</v>
      </c>
      <c r="BE20" s="33">
        <f>$AJ20/$AI20*Y20</f>
        <v>53379.850516496117</v>
      </c>
      <c r="BF20" s="33">
        <f>$AJ20/$AI20*Z20</f>
        <v>55195.640698617492</v>
      </c>
      <c r="BG20" s="33">
        <f>$AJ20/$AI20*AA20</f>
        <v>46990.001885952151</v>
      </c>
      <c r="BH20" s="33">
        <f>$AJ20/$AI20*AB20</f>
        <v>44078.306670996273</v>
      </c>
      <c r="BI20" s="33">
        <f>$AJ20/$AI20*AC20</f>
        <v>63102.99204346176</v>
      </c>
      <c r="BJ20" s="33">
        <f>$AJ20/$AI20*AD20</f>
        <v>58396.288169772641</v>
      </c>
      <c r="BK20" s="33">
        <f>$AJ20/$AI20*AE20</f>
        <v>57203.907080621924</v>
      </c>
      <c r="BL20" s="33">
        <f>$AJ20/$AI20*AF20</f>
        <v>70904.849395534256</v>
      </c>
      <c r="BM20" s="33">
        <f>$AJ20/$AI20*AG20</f>
        <v>58420.449893970217</v>
      </c>
      <c r="BN20" s="33">
        <f>$AJ20/$AI20*AH20</f>
        <v>58481.842638635899</v>
      </c>
    </row>
    <row r="21" spans="1:66" x14ac:dyDescent="0.25">
      <c r="A21" s="1" t="s">
        <v>12</v>
      </c>
      <c r="B21" s="4">
        <v>19</v>
      </c>
      <c r="C21" s="4" t="s">
        <v>4</v>
      </c>
      <c r="D21" s="4" t="str">
        <f>A21&amp;C21</f>
        <v>JIPANGEBAKERY</v>
      </c>
      <c r="E21" s="2">
        <v>76846.19</v>
      </c>
      <c r="F21" s="2">
        <v>75445.58</v>
      </c>
      <c r="G21" s="2">
        <v>93832.91</v>
      </c>
      <c r="H21" s="2">
        <v>78464.27</v>
      </c>
      <c r="I21" s="2">
        <v>103279.5</v>
      </c>
      <c r="J21" s="2">
        <v>94758.74</v>
      </c>
      <c r="K21" s="2">
        <v>71226.67</v>
      </c>
      <c r="L21" s="2">
        <v>73973.399999999994</v>
      </c>
      <c r="M21" s="2">
        <v>76715.78</v>
      </c>
      <c r="N21" s="2">
        <v>77762.16</v>
      </c>
      <c r="O21" s="2">
        <v>94141.33</v>
      </c>
      <c r="P21" s="2">
        <v>94557.26</v>
      </c>
      <c r="Q21" s="2">
        <v>96915.43</v>
      </c>
      <c r="R21" s="2">
        <v>85132.01</v>
      </c>
      <c r="S21" s="2">
        <v>76995.570000000007</v>
      </c>
      <c r="T21" s="2">
        <v>76300.12</v>
      </c>
      <c r="U21" s="2">
        <v>77893.16</v>
      </c>
      <c r="V21" s="2">
        <v>92896.02</v>
      </c>
      <c r="W21" s="2">
        <v>97943.67</v>
      </c>
      <c r="X21" s="2">
        <v>109259.4</v>
      </c>
      <c r="Y21" s="2">
        <v>77251.33</v>
      </c>
      <c r="Z21" s="2">
        <v>74917.119999999995</v>
      </c>
      <c r="AA21" s="2">
        <v>74032.02</v>
      </c>
      <c r="AB21" s="2">
        <v>75792.92</v>
      </c>
      <c r="AC21" s="2">
        <v>83642.81</v>
      </c>
      <c r="AD21" s="2">
        <v>101214.81</v>
      </c>
      <c r="AE21" s="2">
        <v>93135.88</v>
      </c>
      <c r="AF21" s="2">
        <v>94541.4</v>
      </c>
      <c r="AG21" s="2">
        <v>107539.88</v>
      </c>
      <c r="AH21" s="2">
        <v>76083.289999999994</v>
      </c>
      <c r="AI21" s="24">
        <f>SUM(E21:AH21)</f>
        <v>2582490.6299999994</v>
      </c>
      <c r="AJ21" s="26">
        <v>2432781.8667357108</v>
      </c>
      <c r="AK21" s="33">
        <f>$AJ21/$AI21*E21</f>
        <v>72391.36335597359</v>
      </c>
      <c r="AL21" s="33">
        <f>$AJ21/$AI21*F21</f>
        <v>71071.947683836697</v>
      </c>
      <c r="AM21" s="33">
        <f>$AJ21/$AI21*G21</f>
        <v>88393.351479863457</v>
      </c>
      <c r="AN21" s="33">
        <f>$AJ21/$AI21*H21</f>
        <v>73915.64214219623</v>
      </c>
      <c r="AO21" s="33">
        <f>$AJ21/$AI21*I21</f>
        <v>97292.316141155141</v>
      </c>
      <c r="AP21" s="33">
        <f>$AJ21/$AI21*J21</f>
        <v>89265.510476111172</v>
      </c>
      <c r="AQ21" s="33">
        <f>$AJ21/$AI21*K21</f>
        <v>67097.610806808036</v>
      </c>
      <c r="AR21" s="33">
        <f>$AJ21/$AI21*L21</f>
        <v>69685.110973969902</v>
      </c>
      <c r="AS21" s="33">
        <f>$AJ21/$AI21*M21</f>
        <v>72268.513313632488</v>
      </c>
      <c r="AT21" s="33">
        <f>$AJ21/$AI21*N21</f>
        <v>73254.233943222891</v>
      </c>
      <c r="AU21" s="33">
        <f>$AJ21/$AI21*O21</f>
        <v>88683.89215971042</v>
      </c>
      <c r="AV21" s="33">
        <f>$AJ21/$AI21*P21</f>
        <v>89075.710410695276</v>
      </c>
      <c r="AW21" s="33">
        <f>$AJ21/$AI21*Q21</f>
        <v>91297.17566909203</v>
      </c>
      <c r="AX21" s="33">
        <f>$AJ21/$AI21*R21</f>
        <v>80196.848654882924</v>
      </c>
      <c r="AY21" s="33">
        <f>$AJ21/$AI21*S21</f>
        <v>72532.083694328889</v>
      </c>
      <c r="AZ21" s="33">
        <f>$AJ21/$AI21*T21</f>
        <v>71876.94941056137</v>
      </c>
      <c r="BA21" s="33">
        <f>$AJ21/$AI21*U21</f>
        <v>73377.639782857004</v>
      </c>
      <c r="BB21" s="33">
        <f>$AJ21/$AI21*V21</f>
        <v>87510.773639445106</v>
      </c>
      <c r="BC21" s="33">
        <f>$AJ21/$AI21*W21</f>
        <v>92265.807886995695</v>
      </c>
      <c r="BD21" s="33">
        <f>$AJ21/$AI21*X21</f>
        <v>102925.55721312482</v>
      </c>
      <c r="BE21" s="33">
        <f>$AJ21/$AI21*Y21</f>
        <v>72773.017110701563</v>
      </c>
      <c r="BF21" s="33">
        <f>$AJ21/$AI21*Z21</f>
        <v>70574.122874576817</v>
      </c>
      <c r="BG21" s="33">
        <f>$AJ21/$AI21*AA21</f>
        <v>69740.332732132912</v>
      </c>
      <c r="BH21" s="33">
        <f>$AJ21/$AI21*AB21</f>
        <v>71399.152144436026</v>
      </c>
      <c r="BI21" s="33">
        <f>$AJ21/$AI21*AC21</f>
        <v>78793.978606156816</v>
      </c>
      <c r="BJ21" s="33">
        <f>$AJ21/$AI21*AD21</f>
        <v>95347.317644711206</v>
      </c>
      <c r="BK21" s="33">
        <f>$AJ21/$AI21*AE21</f>
        <v>87736.728789785862</v>
      </c>
      <c r="BL21" s="33">
        <f>$AJ21/$AI21*AF21</f>
        <v>89060.769825835756</v>
      </c>
      <c r="BM21" s="33">
        <f>$AJ21/$AI21*AG21</f>
        <v>101305.71897367713</v>
      </c>
      <c r="BN21" s="33">
        <f>$AJ21/$AI21*AH21</f>
        <v>71672.689195234168</v>
      </c>
    </row>
    <row r="22" spans="1:66" x14ac:dyDescent="0.25">
      <c r="A22" s="1" t="s">
        <v>68</v>
      </c>
      <c r="B22" s="4">
        <v>20</v>
      </c>
      <c r="C22" s="4" t="s">
        <v>4</v>
      </c>
      <c r="D22" s="4" t="str">
        <f>A22&amp;C22</f>
        <v>RONGAI MAINBAKERY</v>
      </c>
      <c r="E22" s="2">
        <v>44348.41</v>
      </c>
      <c r="F22" s="2">
        <v>48867.67</v>
      </c>
      <c r="G22" s="2">
        <v>55008.45</v>
      </c>
      <c r="H22" s="2">
        <v>49593.69</v>
      </c>
      <c r="I22" s="2">
        <v>74513.39</v>
      </c>
      <c r="J22" s="2">
        <v>52609.64</v>
      </c>
      <c r="K22" s="2">
        <v>42643.51</v>
      </c>
      <c r="L22" s="2">
        <v>61777.05</v>
      </c>
      <c r="M22" s="2">
        <v>46903.94</v>
      </c>
      <c r="N22" s="2">
        <v>44237.21</v>
      </c>
      <c r="O22" s="2">
        <v>49604.67</v>
      </c>
      <c r="P22" s="2">
        <v>56869.67</v>
      </c>
      <c r="Q22" s="2">
        <v>53762.73</v>
      </c>
      <c r="R22" s="2">
        <v>46668.19</v>
      </c>
      <c r="S22" s="2">
        <v>48191.96</v>
      </c>
      <c r="T22" s="2">
        <v>46480.12</v>
      </c>
      <c r="U22" s="2">
        <v>47608.37</v>
      </c>
      <c r="V22" s="2">
        <v>66615.87</v>
      </c>
      <c r="W22" s="2">
        <v>61359.43</v>
      </c>
      <c r="X22" s="2">
        <v>66435.66</v>
      </c>
      <c r="Y22" s="2">
        <v>54150.13</v>
      </c>
      <c r="Z22" s="2">
        <v>56573.94</v>
      </c>
      <c r="AA22" s="2">
        <v>45157.96</v>
      </c>
      <c r="AB22" s="2">
        <v>48291.64</v>
      </c>
      <c r="AC22" s="2">
        <v>50957.24</v>
      </c>
      <c r="AD22" s="2">
        <v>60945.54</v>
      </c>
      <c r="AE22" s="2">
        <v>64461.74</v>
      </c>
      <c r="AF22" s="2">
        <v>77243.08</v>
      </c>
      <c r="AG22" s="2">
        <v>63078.83</v>
      </c>
      <c r="AH22" s="2">
        <v>50652.83</v>
      </c>
      <c r="AI22" s="24">
        <f>SUM(E22:AH22)</f>
        <v>1635612.5599999998</v>
      </c>
      <c r="AJ22" s="26">
        <v>1415534.9510334951</v>
      </c>
      <c r="AK22" s="33">
        <f>$AJ22/$AI22*E22</f>
        <v>38381.17040245972</v>
      </c>
      <c r="AL22" s="33">
        <f>$AJ22/$AI22*F22</f>
        <v>42292.347559724658</v>
      </c>
      <c r="AM22" s="33">
        <f>$AJ22/$AI22*G22</f>
        <v>47606.863313142123</v>
      </c>
      <c r="AN22" s="33">
        <f>$AJ22/$AI22*H22</f>
        <v>42920.678932497525</v>
      </c>
      <c r="AO22" s="33">
        <f>$AJ22/$AI22*I22</f>
        <v>64487.34281240157</v>
      </c>
      <c r="AP22" s="33">
        <f>$AJ22/$AI22*J22</f>
        <v>45530.821908881539</v>
      </c>
      <c r="AQ22" s="33">
        <f>$AJ22/$AI22*K22</f>
        <v>36905.67088806555</v>
      </c>
      <c r="AR22" s="33">
        <f>$AJ22/$AI22*L22</f>
        <v>53464.723605903222</v>
      </c>
      <c r="AS22" s="33">
        <f>$AJ22/$AI22*M22</f>
        <v>40592.84456165952</v>
      </c>
      <c r="AT22" s="33">
        <f>$AJ22/$AI22*N22</f>
        <v>38284.932766234349</v>
      </c>
      <c r="AU22" s="33">
        <f>$AJ22/$AI22*O22</f>
        <v>42930.181533628413</v>
      </c>
      <c r="AV22" s="33">
        <f>$AJ22/$AI22*P22</f>
        <v>49217.649403927928</v>
      </c>
      <c r="AW22" s="33">
        <f>$AJ22/$AI22*Q22</f>
        <v>46528.759462434697</v>
      </c>
      <c r="AX22" s="33">
        <f>$AJ22/$AI22*R22</f>
        <v>40388.815580183524</v>
      </c>
      <c r="AY22" s="33">
        <f>$AJ22/$AI22*S22</f>
        <v>41707.556793772826</v>
      </c>
      <c r="AZ22" s="33">
        <f>$AJ22/$AI22*T22</f>
        <v>40226.051081578262</v>
      </c>
      <c r="BA22" s="33">
        <f>$AJ22/$AI22*U22</f>
        <v>41202.490947327118</v>
      </c>
      <c r="BB22" s="33">
        <f>$AJ22/$AI22*V22</f>
        <v>57652.462804824441</v>
      </c>
      <c r="BC22" s="33">
        <f>$AJ22/$AI22*W22</f>
        <v>53103.295893309347</v>
      </c>
      <c r="BD22" s="33">
        <f>$AJ22/$AI22*X22</f>
        <v>57496.500714679001</v>
      </c>
      <c r="BE22" s="33">
        <f>$AJ22/$AI22*Y22</f>
        <v>46864.033385759401</v>
      </c>
      <c r="BF22" s="33">
        <f>$AJ22/$AI22*Z22</f>
        <v>48961.710949243323</v>
      </c>
      <c r="BG22" s="33">
        <f>$AJ22/$AI22*AA22</f>
        <v>39081.792510429572</v>
      </c>
      <c r="BH22" s="33">
        <f>$AJ22/$AI22*AB22</f>
        <v>41793.824487828082</v>
      </c>
      <c r="BI22" s="33">
        <f>$AJ22/$AI22*AC22</f>
        <v>44100.758328856355</v>
      </c>
      <c r="BJ22" s="33">
        <f>$AJ22/$AI22*AD22</f>
        <v>52745.096295671596</v>
      </c>
      <c r="BK22" s="33">
        <f>$AJ22/$AI22*AE22</f>
        <v>55788.178818114422</v>
      </c>
      <c r="BL22" s="33">
        <f>$AJ22/$AI22*AF22</f>
        <v>66849.743111214775</v>
      </c>
      <c r="BM22" s="33">
        <f>$AJ22/$AI22*AG22</f>
        <v>54591.344380053044</v>
      </c>
      <c r="BN22" s="33">
        <f>$AJ22/$AI22*AH22</f>
        <v>43837.307799689414</v>
      </c>
    </row>
    <row r="23" spans="1:66" x14ac:dyDescent="0.25">
      <c r="A23" s="1" t="s">
        <v>13</v>
      </c>
      <c r="B23" s="4">
        <v>21</v>
      </c>
      <c r="C23" s="4" t="s">
        <v>4</v>
      </c>
      <c r="D23" s="4" t="str">
        <f>A23&amp;C23</f>
        <v>CHAKABAKERY</v>
      </c>
      <c r="E23" s="2">
        <v>50337.16</v>
      </c>
      <c r="F23" s="2">
        <v>55295.47</v>
      </c>
      <c r="G23" s="2">
        <v>54161.23</v>
      </c>
      <c r="H23" s="2">
        <v>46535.199999999997</v>
      </c>
      <c r="I23" s="2">
        <v>69029.78</v>
      </c>
      <c r="J23" s="2">
        <v>54426.85</v>
      </c>
      <c r="K23" s="2">
        <v>52122.93</v>
      </c>
      <c r="L23" s="2">
        <v>51399.51</v>
      </c>
      <c r="M23" s="2">
        <v>50138.3</v>
      </c>
      <c r="N23" s="2">
        <v>53006.68</v>
      </c>
      <c r="O23" s="2">
        <v>56205.99</v>
      </c>
      <c r="P23" s="2">
        <v>68231.240000000005</v>
      </c>
      <c r="Q23" s="2">
        <v>70546.61</v>
      </c>
      <c r="R23" s="2">
        <v>42827.89</v>
      </c>
      <c r="S23" s="2">
        <v>49563.75</v>
      </c>
      <c r="T23" s="2">
        <v>57158.09</v>
      </c>
      <c r="U23" s="2">
        <v>53954.51</v>
      </c>
      <c r="V23" s="2">
        <v>58705.03</v>
      </c>
      <c r="W23" s="2">
        <v>51427.27</v>
      </c>
      <c r="X23" s="2">
        <v>57355.41</v>
      </c>
      <c r="Y23" s="2">
        <v>53137.58</v>
      </c>
      <c r="Z23" s="2">
        <v>55619.75</v>
      </c>
      <c r="AA23" s="2">
        <v>50794.06</v>
      </c>
      <c r="AB23" s="2">
        <v>55516.23</v>
      </c>
      <c r="AC23" s="2">
        <v>62196.75</v>
      </c>
      <c r="AD23" s="2">
        <v>52733.99</v>
      </c>
      <c r="AE23" s="2">
        <v>58436.58</v>
      </c>
      <c r="AF23" s="2">
        <v>61149.03</v>
      </c>
      <c r="AG23" s="2">
        <v>51551.85</v>
      </c>
      <c r="AH23" s="2">
        <v>51966.879999999997</v>
      </c>
      <c r="AI23" s="24">
        <f>SUM(E23:AH23)</f>
        <v>1655531.6</v>
      </c>
      <c r="AJ23" s="26">
        <v>1482444.4034112906</v>
      </c>
      <c r="AK23" s="33">
        <f>$AJ23/$AI23*E23</f>
        <v>45074.368333179918</v>
      </c>
      <c r="AL23" s="33">
        <f>$AJ23/$AI23*F23</f>
        <v>49514.282926098735</v>
      </c>
      <c r="AM23" s="33">
        <f>$AJ23/$AI23*G23</f>
        <v>48498.628655213644</v>
      </c>
      <c r="AN23" s="33">
        <f>$AJ23/$AI23*H23</f>
        <v>41669.906392378791</v>
      </c>
      <c r="AO23" s="33">
        <f>$AJ23/$AI23*I23</f>
        <v>61812.659468241276</v>
      </c>
      <c r="AP23" s="33">
        <f>$AJ23/$AI23*J23</f>
        <v>48736.477864757035</v>
      </c>
      <c r="AQ23" s="33">
        <f>$AJ23/$AI23*K23</f>
        <v>46673.434604267568</v>
      </c>
      <c r="AR23" s="33">
        <f>$AJ23/$AI23*L23</f>
        <v>46025.648762960889</v>
      </c>
      <c r="AS23" s="33">
        <f>$AJ23/$AI23*M23</f>
        <v>44896.299310479073</v>
      </c>
      <c r="AT23" s="33">
        <f>$AJ23/$AI23*N23</f>
        <v>47464.787811608781</v>
      </c>
      <c r="AU23" s="33">
        <f>$AJ23/$AI23*O23</f>
        <v>50329.607307822429</v>
      </c>
      <c r="AV23" s="33">
        <f>$AJ23/$AI23*P23</f>
        <v>61097.607484999135</v>
      </c>
      <c r="AW23" s="33">
        <f>$AJ23/$AI23*Q23</f>
        <v>63170.903638528544</v>
      </c>
      <c r="AX23" s="33">
        <f>$AJ23/$AI23*R23</f>
        <v>38350.198715877348</v>
      </c>
      <c r="AY23" s="33">
        <f>$AJ23/$AI23*S23</f>
        <v>44381.818987675229</v>
      </c>
      <c r="AZ23" s="33">
        <f>$AJ23/$AI23*T23</f>
        <v>51182.164466192517</v>
      </c>
      <c r="BA23" s="33">
        <f>$AJ23/$AI23*U23</f>
        <v>48313.521402006772</v>
      </c>
      <c r="BB23" s="33">
        <f>$AJ23/$AI23*V23</f>
        <v>52567.37061110275</v>
      </c>
      <c r="BC23" s="33">
        <f>$AJ23/$AI23*W23</f>
        <v>46050.506432025431</v>
      </c>
      <c r="BD23" s="33">
        <f>$AJ23/$AI23*X23</f>
        <v>51358.854497165725</v>
      </c>
      <c r="BE23" s="33">
        <f>$AJ23/$AI23*Y23</f>
        <v>47582.002108458531</v>
      </c>
      <c r="BF23" s="33">
        <f>$AJ23/$AI23*Z23</f>
        <v>49804.659184176933</v>
      </c>
      <c r="BG23" s="33">
        <f>$AJ23/$AI23*AA23</f>
        <v>45483.499060686787</v>
      </c>
      <c r="BH23" s="33">
        <f>$AJ23/$AI23*AB23</f>
        <v>49711.962285705689</v>
      </c>
      <c r="BI23" s="33">
        <f>$AJ23/$AI23*AC23</f>
        <v>55694.028400225754</v>
      </c>
      <c r="BJ23" s="33">
        <f>$AJ23/$AI23*AD23</f>
        <v>47220.607776406658</v>
      </c>
      <c r="BK23" s="33">
        <f>$AJ23/$AI23*AE23</f>
        <v>52326.987280397523</v>
      </c>
      <c r="BL23" s="33">
        <f>$AJ23/$AI23*AF23</f>
        <v>54755.848391857398</v>
      </c>
      <c r="BM23" s="33">
        <f>$AJ23/$AI23*AG23</f>
        <v>46162.061490096799</v>
      </c>
      <c r="BN23" s="33">
        <f>$AJ23/$AI23*AH23</f>
        <v>46533.69976069688</v>
      </c>
    </row>
    <row r="24" spans="1:66" x14ac:dyDescent="0.25">
      <c r="A24" s="1" t="s">
        <v>14</v>
      </c>
      <c r="B24" s="4">
        <v>22</v>
      </c>
      <c r="C24" s="4" t="s">
        <v>4</v>
      </c>
      <c r="D24" s="4" t="str">
        <f>A24&amp;C24</f>
        <v>EBP 2BAKERY</v>
      </c>
      <c r="E24" s="2">
        <v>39883.58</v>
      </c>
      <c r="F24" s="2">
        <v>34245.1</v>
      </c>
      <c r="G24" s="2">
        <v>31899.79</v>
      </c>
      <c r="H24" s="2">
        <v>45174.44</v>
      </c>
      <c r="I24" s="2">
        <v>56627.34</v>
      </c>
      <c r="J24" s="2">
        <v>50407.93</v>
      </c>
      <c r="K24" s="2">
        <v>30114.06</v>
      </c>
      <c r="L24" s="2">
        <v>35508.199999999997</v>
      </c>
      <c r="M24" s="2">
        <v>39072.199999999997</v>
      </c>
      <c r="N24" s="2">
        <v>28744.720000000001</v>
      </c>
      <c r="O24" s="2">
        <v>43792.38</v>
      </c>
      <c r="P24" s="2">
        <v>55608.55</v>
      </c>
      <c r="Q24" s="2">
        <v>46020.41</v>
      </c>
      <c r="R24" s="2">
        <v>33969.06</v>
      </c>
      <c r="S24" s="2">
        <v>31903.99</v>
      </c>
      <c r="T24" s="2">
        <v>32325.200000000001</v>
      </c>
      <c r="U24" s="2">
        <v>42254.239999999998</v>
      </c>
      <c r="V24" s="2">
        <v>39943.17</v>
      </c>
      <c r="W24" s="2">
        <v>48063.199999999997</v>
      </c>
      <c r="X24" s="2">
        <v>47834.1</v>
      </c>
      <c r="Y24" s="2">
        <v>38567.72</v>
      </c>
      <c r="Z24" s="2">
        <v>37478.51</v>
      </c>
      <c r="AA24" s="2">
        <v>32767.919999999998</v>
      </c>
      <c r="AB24" s="2">
        <v>28754.27</v>
      </c>
      <c r="AC24" s="2">
        <v>39309.51</v>
      </c>
      <c r="AD24" s="2">
        <v>40850.79</v>
      </c>
      <c r="AE24" s="2">
        <v>43828.99</v>
      </c>
      <c r="AF24" s="2">
        <v>44724.24</v>
      </c>
      <c r="AG24" s="2">
        <v>41221.17</v>
      </c>
      <c r="AH24" s="2">
        <v>40012.92</v>
      </c>
      <c r="AI24" s="24">
        <f>SUM(E24:AH24)</f>
        <v>1200907.7</v>
      </c>
      <c r="AJ24" s="26">
        <v>1016287.7123856321</v>
      </c>
      <c r="AK24" s="33">
        <f>$AJ24/$AI24*E24</f>
        <v>33752.129559956484</v>
      </c>
      <c r="AL24" s="33">
        <f>$AJ24/$AI24*F24</f>
        <v>28980.473969329374</v>
      </c>
      <c r="AM24" s="33">
        <f>$AJ24/$AI24*G24</f>
        <v>26995.717160179807</v>
      </c>
      <c r="AN24" s="33">
        <f>$AJ24/$AI24*H24</f>
        <v>38229.606060400809</v>
      </c>
      <c r="AO24" s="33">
        <f>$AJ24/$AI24*I24</f>
        <v>47921.809333959136</v>
      </c>
      <c r="AP24" s="33">
        <f>$AJ24/$AI24*J24</f>
        <v>42658.532263383</v>
      </c>
      <c r="AQ24" s="33">
        <f>$AJ24/$AI24*K24</f>
        <v>25484.514045537111</v>
      </c>
      <c r="AR24" s="33">
        <f>$AJ24/$AI24*L24</f>
        <v>30049.392929141432</v>
      </c>
      <c r="AS24" s="33">
        <f>$AJ24/$AI24*M24</f>
        <v>33065.486011850779</v>
      </c>
      <c r="AT24" s="33">
        <f>$AJ24/$AI24*N24</f>
        <v>24325.687754325772</v>
      </c>
      <c r="AU24" s="33">
        <f>$AJ24/$AI24*O24</f>
        <v>37060.015261890905</v>
      </c>
      <c r="AV24" s="33">
        <f>$AJ24/$AI24*P24</f>
        <v>47059.641693180951</v>
      </c>
      <c r="AW24" s="33">
        <f>$AJ24/$AI24*Q24</f>
        <v>38945.521959721693</v>
      </c>
      <c r="AX24" s="33">
        <f>$AJ24/$AI24*R24</f>
        <v>28746.870620689897</v>
      </c>
      <c r="AY24" s="33">
        <f>$AJ24/$AI24*S24</f>
        <v>26999.271478627445</v>
      </c>
      <c r="AZ24" s="33">
        <f>$AJ24/$AI24*T24</f>
        <v>27355.72730561061</v>
      </c>
      <c r="BA24" s="33">
        <f>$AJ24/$AI24*U24</f>
        <v>35758.33921973643</v>
      </c>
      <c r="BB24" s="33">
        <f>$AJ24/$AI24*V24</f>
        <v>33802.558568598077</v>
      </c>
      <c r="BC24" s="33">
        <f>$AJ24/$AI24*W24</f>
        <v>40674.266288685722</v>
      </c>
      <c r="BD24" s="33">
        <f>$AJ24/$AI24*X24</f>
        <v>40480.386680030082</v>
      </c>
      <c r="BE24" s="33">
        <f>$AJ24/$AI24*Y24</f>
        <v>32638.561590311721</v>
      </c>
      <c r="BF24" s="33">
        <f>$AJ24/$AI24*Z24</f>
        <v>31716.799876894816</v>
      </c>
      <c r="BG24" s="33">
        <f>$AJ24/$AI24*AA24</f>
        <v>27730.386320643458</v>
      </c>
      <c r="BH24" s="33">
        <f>$AJ24/$AI24*AB24</f>
        <v>24333.769597462662</v>
      </c>
      <c r="BI24" s="33">
        <f>$AJ24/$AI24*AC24</f>
        <v>33266.313466805259</v>
      </c>
      <c r="BJ24" s="33">
        <f>$AJ24/$AI24*AD24</f>
        <v>34570.646785132492</v>
      </c>
      <c r="BK24" s="33">
        <f>$AJ24/$AI24*AE24</f>
        <v>37090.99707102614</v>
      </c>
      <c r="BL24" s="33">
        <f>$AJ24/$AI24*AF24</f>
        <v>37848.616973465971</v>
      </c>
      <c r="BM24" s="33">
        <f>$AJ24/$AI24*AG24</f>
        <v>34884.086896236273</v>
      </c>
      <c r="BN24" s="33">
        <f>$AJ24/$AI24*AH24</f>
        <v>33861.585642817765</v>
      </c>
    </row>
    <row r="25" spans="1:66" ht="24.75" x14ac:dyDescent="0.25">
      <c r="A25" s="1" t="s">
        <v>15</v>
      </c>
      <c r="B25" s="4">
        <v>23</v>
      </c>
      <c r="C25" s="4" t="s">
        <v>4</v>
      </c>
      <c r="D25" s="4" t="str">
        <f>A25&amp;C25</f>
        <v>UTAWALA EXPRESSBAKERY</v>
      </c>
      <c r="E25" s="2">
        <v>65769.679999999993</v>
      </c>
      <c r="F25" s="2">
        <v>69999.850000000006</v>
      </c>
      <c r="G25" s="2">
        <v>71534.570000000007</v>
      </c>
      <c r="H25" s="2">
        <v>72657.09</v>
      </c>
      <c r="I25" s="2">
        <v>87132.61</v>
      </c>
      <c r="J25" s="2">
        <v>92616.43</v>
      </c>
      <c r="K25" s="2">
        <v>60890.5</v>
      </c>
      <c r="L25" s="2">
        <v>60528.61</v>
      </c>
      <c r="M25" s="2">
        <v>69930.81</v>
      </c>
      <c r="N25" s="2">
        <v>70930.27</v>
      </c>
      <c r="O25" s="2">
        <v>75739.259999999995</v>
      </c>
      <c r="P25" s="2">
        <v>77864.990000000005</v>
      </c>
      <c r="Q25" s="2">
        <v>92292.5</v>
      </c>
      <c r="R25" s="2">
        <v>54619.88</v>
      </c>
      <c r="S25" s="2">
        <v>64634.54</v>
      </c>
      <c r="T25" s="2">
        <v>61232.26</v>
      </c>
      <c r="U25" s="2">
        <v>64923.61</v>
      </c>
      <c r="V25" s="2">
        <v>75755.47</v>
      </c>
      <c r="W25" s="2">
        <v>78334.09</v>
      </c>
      <c r="X25" s="2">
        <v>95753.58</v>
      </c>
      <c r="Y25" s="2">
        <v>69996.5</v>
      </c>
      <c r="Z25" s="2">
        <v>68837.570000000007</v>
      </c>
      <c r="AA25" s="2">
        <v>56997.02</v>
      </c>
      <c r="AB25" s="2">
        <v>63522.3</v>
      </c>
      <c r="AC25" s="2">
        <v>70583.570000000007</v>
      </c>
      <c r="AD25" s="2">
        <v>75443.850000000006</v>
      </c>
      <c r="AE25" s="2">
        <v>84851.88</v>
      </c>
      <c r="AF25" s="2">
        <v>82858.61</v>
      </c>
      <c r="AG25" s="2">
        <v>79878.960000000006</v>
      </c>
      <c r="AH25" s="2">
        <v>71853.33</v>
      </c>
      <c r="AI25" s="24">
        <f>SUM(E25:AH25)</f>
        <v>2187964.1900000009</v>
      </c>
      <c r="AJ25" s="26">
        <v>1653078.0895075006</v>
      </c>
      <c r="AK25" s="33">
        <f>$AJ25/$AI25*E25</f>
        <v>49691.131810488914</v>
      </c>
      <c r="AL25" s="33">
        <f>$AJ25/$AI25*F25</f>
        <v>52887.162793926524</v>
      </c>
      <c r="AM25" s="33">
        <f>$AJ25/$AI25*G25</f>
        <v>54046.693656965443</v>
      </c>
      <c r="AN25" s="33">
        <f>$AJ25/$AI25*H25</f>
        <v>54894.794016886757</v>
      </c>
      <c r="AO25" s="33">
        <f>$AJ25/$AI25*I25</f>
        <v>65831.520063681703</v>
      </c>
      <c r="AP25" s="33">
        <f>$AJ25/$AI25*J25</f>
        <v>69974.724385870824</v>
      </c>
      <c r="AQ25" s="33">
        <f>$AJ25/$AI25*K25</f>
        <v>46004.752668806897</v>
      </c>
      <c r="AR25" s="33">
        <f>$AJ25/$AI25*L25</f>
        <v>45731.333006571993</v>
      </c>
      <c r="AS25" s="33">
        <f>$AJ25/$AI25*M25</f>
        <v>52835.000829018121</v>
      </c>
      <c r="AT25" s="33">
        <f>$AJ25/$AI25*N25</f>
        <v>53590.125357513803</v>
      </c>
      <c r="AU25" s="33">
        <f>$AJ25/$AI25*O25</f>
        <v>57223.47367189396</v>
      </c>
      <c r="AV25" s="33">
        <f>$AJ25/$AI25*P25</f>
        <v>58829.531807246167</v>
      </c>
      <c r="AW25" s="33">
        <f>$AJ25/$AI25*Q25</f>
        <v>69729.984737945342</v>
      </c>
      <c r="AX25" s="33">
        <f>$AJ25/$AI25*R25</f>
        <v>41267.09536298622</v>
      </c>
      <c r="AY25" s="33">
        <f>$AJ25/$AI25*S25</f>
        <v>48833.496630214999</v>
      </c>
      <c r="AZ25" s="33">
        <f>$AJ25/$AI25*T25</f>
        <v>46262.963461493629</v>
      </c>
      <c r="BA25" s="33">
        <f>$AJ25/$AI25*U25</f>
        <v>49051.898414630828</v>
      </c>
      <c r="BB25" s="33">
        <f>$AJ25/$AI25*V25</f>
        <v>57235.720853979212</v>
      </c>
      <c r="BC25" s="33">
        <f>$AJ25/$AI25*W25</f>
        <v>59183.952110527251</v>
      </c>
      <c r="BD25" s="33">
        <f>$AJ25/$AI25*X25</f>
        <v>72344.943218610701</v>
      </c>
      <c r="BE25" s="33">
        <f>$AJ25/$AI25*Y25</f>
        <v>52884.631759997734</v>
      </c>
      <c r="BF25" s="33">
        <f>$AJ25/$AI25*Z25</f>
        <v>52009.022461166882</v>
      </c>
      <c r="BG25" s="33">
        <f>$AJ25/$AI25*AA25</f>
        <v>43063.101928199641</v>
      </c>
      <c r="BH25" s="33">
        <f>$AJ25/$AI25*AB25</f>
        <v>47993.163144558719</v>
      </c>
      <c r="BI25" s="33">
        <f>$AJ25/$AI25*AC25</f>
        <v>53328.18223419776</v>
      </c>
      <c r="BJ25" s="33">
        <f>$AJ25/$AI25*AD25</f>
        <v>57000.281811326357</v>
      </c>
      <c r="BK25" s="33">
        <f>$AJ25/$AI25*AE25</f>
        <v>64108.354388341089</v>
      </c>
      <c r="BL25" s="33">
        <f>$AJ25/$AI25*AF25</f>
        <v>62602.374090065445</v>
      </c>
      <c r="BM25" s="33">
        <f>$AJ25/$AI25*AG25</f>
        <v>60351.15162860413</v>
      </c>
      <c r="BN25" s="33">
        <f>$AJ25/$AI25*AH25</f>
        <v>54287.527201782919</v>
      </c>
    </row>
    <row r="26" spans="1:66" x14ac:dyDescent="0.25">
      <c r="A26" s="1" t="s">
        <v>18</v>
      </c>
      <c r="B26" s="4">
        <v>24</v>
      </c>
      <c r="C26" s="4" t="s">
        <v>4</v>
      </c>
      <c r="D26" s="4" t="str">
        <f>A26&amp;C26</f>
        <v>KAHAWA WESTBAKERY</v>
      </c>
      <c r="E26" s="2">
        <v>82697.440000000002</v>
      </c>
      <c r="F26" s="2">
        <v>70266.47</v>
      </c>
      <c r="G26" s="2">
        <v>82063.13</v>
      </c>
      <c r="H26" s="2">
        <v>93658.68</v>
      </c>
      <c r="I26" s="2">
        <v>99057.99</v>
      </c>
      <c r="J26" s="2">
        <v>101831.64</v>
      </c>
      <c r="K26" s="2">
        <v>75647.3</v>
      </c>
      <c r="L26" s="2">
        <v>76717.399999999994</v>
      </c>
      <c r="M26" s="2">
        <v>80667.429999999993</v>
      </c>
      <c r="N26" s="2">
        <v>73307.09</v>
      </c>
      <c r="O26" s="2">
        <v>79941.78</v>
      </c>
      <c r="P26" s="2">
        <v>105940.99</v>
      </c>
      <c r="Q26" s="2">
        <v>104829.88</v>
      </c>
      <c r="R26" s="2">
        <v>91261.74</v>
      </c>
      <c r="S26" s="2">
        <v>72165.95</v>
      </c>
      <c r="T26" s="2">
        <v>68885.75</v>
      </c>
      <c r="U26" s="2">
        <v>78407.16</v>
      </c>
      <c r="V26" s="2">
        <v>85974.02</v>
      </c>
      <c r="W26" s="2">
        <v>129828.5</v>
      </c>
      <c r="X26" s="2">
        <v>99317.3</v>
      </c>
      <c r="Y26" s="2">
        <v>81663.88</v>
      </c>
      <c r="Z26" s="2">
        <v>86755.99</v>
      </c>
      <c r="AA26" s="2">
        <v>71896.06</v>
      </c>
      <c r="AB26" s="2">
        <v>75836.47</v>
      </c>
      <c r="AC26" s="2">
        <v>101460.61</v>
      </c>
      <c r="AD26" s="2">
        <v>109807.36</v>
      </c>
      <c r="AE26" s="2">
        <v>107587.13</v>
      </c>
      <c r="AF26" s="2">
        <v>113967.92</v>
      </c>
      <c r="AG26" s="2">
        <v>109070.39999999999</v>
      </c>
      <c r="AH26" s="2">
        <v>68178.100000000006</v>
      </c>
      <c r="AI26" s="24">
        <f>SUM(E26:AH26)</f>
        <v>2678691.5599999996</v>
      </c>
      <c r="AJ26" s="26">
        <v>2270956.3696277854</v>
      </c>
      <c r="AK26" s="33">
        <f>$AJ26/$AI26*E26</f>
        <v>70109.706143215546</v>
      </c>
      <c r="AL26" s="33">
        <f>$AJ26/$AI26*F26</f>
        <v>59570.90767768713</v>
      </c>
      <c r="AM26" s="33">
        <f>$AJ26/$AI26*G26</f>
        <v>69571.947202869836</v>
      </c>
      <c r="AN26" s="33">
        <f>$AJ26/$AI26*H26</f>
        <v>79402.488548151654</v>
      </c>
      <c r="AO26" s="33">
        <f>$AJ26/$AI26*I26</f>
        <v>83979.946296252747</v>
      </c>
      <c r="AP26" s="33">
        <f>$AJ26/$AI26*J26</f>
        <v>86331.407072355723</v>
      </c>
      <c r="AQ26" s="33">
        <f>$AJ26/$AI26*K26</f>
        <v>64132.69834625678</v>
      </c>
      <c r="AR26" s="33">
        <f>$AJ26/$AI26*L26</f>
        <v>65039.913811981649</v>
      </c>
      <c r="AS26" s="33">
        <f>$AJ26/$AI26*M26</f>
        <v>68388.692716829071</v>
      </c>
      <c r="AT26" s="33">
        <f>$AJ26/$AI26*N26</f>
        <v>62148.701799163966</v>
      </c>
      <c r="AU26" s="33">
        <f>$AJ26/$AI26*O26</f>
        <v>67773.497031656429</v>
      </c>
      <c r="AV26" s="33">
        <f>$AJ26/$AI26*P26</f>
        <v>89815.255193163612</v>
      </c>
      <c r="AW26" s="33">
        <f>$AJ26/$AI26*Q26</f>
        <v>88873.272036335693</v>
      </c>
      <c r="AX26" s="33">
        <f>$AJ26/$AI26*R26</f>
        <v>77370.397118925815</v>
      </c>
      <c r="AY26" s="33">
        <f>$AJ26/$AI26*S26</f>
        <v>61181.25963809745</v>
      </c>
      <c r="AZ26" s="33">
        <f>$AJ26/$AI26*T26</f>
        <v>58400.353021266557</v>
      </c>
      <c r="BA26" s="33">
        <f>$AJ26/$AI26*U26</f>
        <v>66472.468157709402</v>
      </c>
      <c r="BB26" s="33">
        <f>$AJ26/$AI26*V26</f>
        <v>72887.543775852508</v>
      </c>
      <c r="BC26" s="33">
        <f>$AJ26/$AI26*W26</f>
        <v>110066.74431535558</v>
      </c>
      <c r="BD26" s="33">
        <f>$AJ26/$AI26*X26</f>
        <v>84199.785603249402</v>
      </c>
      <c r="BE26" s="33">
        <f>$AJ26/$AI26*Y26</f>
        <v>69233.468766564198</v>
      </c>
      <c r="BF26" s="33">
        <f>$AJ26/$AI26*Z26</f>
        <v>73550.486751025746</v>
      </c>
      <c r="BG26" s="33">
        <f>$AJ26/$AI26*AA26</f>
        <v>60952.450758511906</v>
      </c>
      <c r="BH26" s="33">
        <f>$AJ26/$AI26*AB26</f>
        <v>64293.073965031821</v>
      </c>
      <c r="BI26" s="33">
        <f>$AJ26/$AI26*AC26</f>
        <v>86016.853148191731</v>
      </c>
      <c r="BJ26" s="33">
        <f>$AJ26/$AI26*AD26</f>
        <v>93093.108347275091</v>
      </c>
      <c r="BK26" s="33">
        <f>$AJ26/$AI26*AE26</f>
        <v>91210.829127140212</v>
      </c>
      <c r="BL26" s="33">
        <f>$AJ26/$AI26*AF26</f>
        <v>96620.371573213124</v>
      </c>
      <c r="BM26" s="33">
        <f>$AJ26/$AI26*AG26</f>
        <v>92468.324205960627</v>
      </c>
      <c r="BN26" s="33">
        <f>$AJ26/$AI26*AH26</f>
        <v>57800.417478494666</v>
      </c>
    </row>
    <row r="27" spans="1:66" x14ac:dyDescent="0.25">
      <c r="A27" s="1" t="s">
        <v>26</v>
      </c>
      <c r="B27" s="4">
        <v>25</v>
      </c>
      <c r="C27" s="4" t="s">
        <v>4</v>
      </c>
      <c r="D27" s="4" t="str">
        <f>A27&amp;C27</f>
        <v>ROYSAMBUBAKERY</v>
      </c>
      <c r="E27" s="2">
        <v>22891.34</v>
      </c>
      <c r="F27" s="2">
        <v>34344.129999999997</v>
      </c>
      <c r="G27" s="2">
        <v>24588.1</v>
      </c>
      <c r="H27" s="2">
        <v>27016.55</v>
      </c>
      <c r="I27" s="2">
        <v>35221.370000000003</v>
      </c>
      <c r="J27" s="2">
        <v>40949.93</v>
      </c>
      <c r="K27" s="2">
        <v>21880.93</v>
      </c>
      <c r="L27" s="2">
        <v>27323.24</v>
      </c>
      <c r="M27" s="2">
        <v>25001.69</v>
      </c>
      <c r="N27" s="2">
        <v>26072.75</v>
      </c>
      <c r="O27" s="2">
        <v>27473.89</v>
      </c>
      <c r="P27" s="2">
        <v>38937.96</v>
      </c>
      <c r="Q27" s="2">
        <v>49807.24</v>
      </c>
      <c r="R27" s="2">
        <v>27179.31</v>
      </c>
      <c r="S27" s="2">
        <v>28399.79</v>
      </c>
      <c r="T27" s="2">
        <v>25924.41</v>
      </c>
      <c r="U27" s="2">
        <v>28144.62</v>
      </c>
      <c r="V27" s="2">
        <v>44263.68</v>
      </c>
      <c r="W27" s="2">
        <v>36912.07</v>
      </c>
      <c r="X27" s="2">
        <v>49532.75</v>
      </c>
      <c r="Y27" s="2">
        <v>25783.72</v>
      </c>
      <c r="Z27" s="2">
        <v>25806.06</v>
      </c>
      <c r="AA27" s="2">
        <v>25407.1</v>
      </c>
      <c r="AB27" s="2">
        <v>27653.96</v>
      </c>
      <c r="AC27" s="2">
        <v>38688.03</v>
      </c>
      <c r="AD27" s="2">
        <v>32147.58</v>
      </c>
      <c r="AE27" s="2">
        <v>38600.99</v>
      </c>
      <c r="AF27" s="2">
        <v>49166.03</v>
      </c>
      <c r="AG27" s="2">
        <v>37918</v>
      </c>
      <c r="AH27" s="2">
        <v>26122.79</v>
      </c>
      <c r="AI27" s="24">
        <f>SUM(E27:AH27)</f>
        <v>969160.01</v>
      </c>
      <c r="AJ27" s="26">
        <v>921880.03362911381</v>
      </c>
      <c r="AK27" s="33">
        <f>$AJ27/$AI27*E27</f>
        <v>21774.597663202672</v>
      </c>
      <c r="AL27" s="33">
        <f>$AJ27/$AI27*F27</f>
        <v>32668.669149238474</v>
      </c>
      <c r="AM27" s="33">
        <f>$AJ27/$AI27*G27</f>
        <v>23388.582092729983</v>
      </c>
      <c r="AN27" s="33">
        <f>$AJ27/$AI27*H27</f>
        <v>25698.561399105431</v>
      </c>
      <c r="AO27" s="33">
        <f>$AJ27/$AI27*I27</f>
        <v>33503.113443634</v>
      </c>
      <c r="AP27" s="33">
        <f>$AJ27/$AI27*J27</f>
        <v>38952.208568232047</v>
      </c>
      <c r="AQ27" s="33">
        <f>$AJ27/$AI27*K27</f>
        <v>20813.479999279258</v>
      </c>
      <c r="AR27" s="33">
        <f>$AJ27/$AI27*L27</f>
        <v>25990.289684008265</v>
      </c>
      <c r="AS27" s="33">
        <f>$AJ27/$AI27*M27</f>
        <v>23781.99531570094</v>
      </c>
      <c r="AT27" s="33">
        <f>$AJ27/$AI27*N27</f>
        <v>24800.804200333725</v>
      </c>
      <c r="AU27" s="33">
        <f>$AJ27/$AI27*O27</f>
        <v>26133.590300658991</v>
      </c>
      <c r="AV27" s="33">
        <f>$AJ27/$AI27*P27</f>
        <v>37038.391497652781</v>
      </c>
      <c r="AW27" s="33">
        <f>$AJ27/$AI27*Q27</f>
        <v>47377.419221180346</v>
      </c>
      <c r="AX27" s="33">
        <f>$AJ27/$AI27*R27</f>
        <v>25853.381235587825</v>
      </c>
      <c r="AY27" s="33">
        <f>$AJ27/$AI27*S27</f>
        <v>27014.320741793472</v>
      </c>
      <c r="AZ27" s="33">
        <f>$AJ27/$AI27*T27</f>
        <v>24659.700891512159</v>
      </c>
      <c r="BA27" s="33">
        <f>$AJ27/$AI27*U27</f>
        <v>26771.599079989512</v>
      </c>
      <c r="BB27" s="33">
        <f>$AJ27/$AI27*V27</f>
        <v>42104.298966017312</v>
      </c>
      <c r="BC27" s="33">
        <f>$AJ27/$AI27*W27</f>
        <v>35111.333507167925</v>
      </c>
      <c r="BD27" s="33">
        <f>$AJ27/$AI27*X27</f>
        <v>47116.320075714313</v>
      </c>
      <c r="BE27" s="33">
        <f>$AJ27/$AI27*Y27</f>
        <v>24525.874381345609</v>
      </c>
      <c r="BF27" s="33">
        <f>$AJ27/$AI27*Z27</f>
        <v>24547.124535849274</v>
      </c>
      <c r="BG27" s="33">
        <f>$AJ27/$AI27*AA27</f>
        <v>24167.627595796337</v>
      </c>
      <c r="BH27" s="33">
        <f>$AJ27/$AI27*AB27</f>
        <v>26304.875677627439</v>
      </c>
      <c r="BI27" s="33">
        <f>$AJ27/$AI27*AC27</f>
        <v>36800.654205123632</v>
      </c>
      <c r="BJ27" s="33">
        <f>$AJ27/$AI27*AD27</f>
        <v>30579.276719738598</v>
      </c>
      <c r="BK27" s="33">
        <f>$AJ27/$AI27*AE27</f>
        <v>36717.860407093234</v>
      </c>
      <c r="BL27" s="33">
        <f>$AJ27/$AI27*AF27</f>
        <v>46767.490323718594</v>
      </c>
      <c r="BM27" s="33">
        <f>$AJ27/$AI27*AG27</f>
        <v>36068.189725604483</v>
      </c>
      <c r="BN27" s="33">
        <f>$AJ27/$AI27*AH27</f>
        <v>24848.40302447712</v>
      </c>
    </row>
    <row r="28" spans="1:66" x14ac:dyDescent="0.25">
      <c r="A28" s="1" t="s">
        <v>27</v>
      </c>
      <c r="B28" s="4">
        <v>26</v>
      </c>
      <c r="C28" s="4" t="s">
        <v>4</v>
      </c>
      <c r="D28" s="4" t="str">
        <f>A28&amp;C28</f>
        <v>BURUBURUBAKERY</v>
      </c>
      <c r="E28" s="2">
        <v>98256.26</v>
      </c>
      <c r="F28" s="2">
        <v>89009.61</v>
      </c>
      <c r="G28" s="2">
        <v>96777.26</v>
      </c>
      <c r="H28" s="2">
        <v>98524.99</v>
      </c>
      <c r="I28" s="2">
        <v>129516.74</v>
      </c>
      <c r="J28" s="2">
        <v>130506.47</v>
      </c>
      <c r="K28" s="2">
        <v>88128.6</v>
      </c>
      <c r="L28" s="2">
        <v>85401.33</v>
      </c>
      <c r="M28" s="2">
        <v>94111.26</v>
      </c>
      <c r="N28" s="2">
        <v>92609.82</v>
      </c>
      <c r="O28" s="2">
        <v>99503.99</v>
      </c>
      <c r="P28" s="2">
        <v>113791.61</v>
      </c>
      <c r="Q28" s="2">
        <v>128487.4</v>
      </c>
      <c r="R28" s="2">
        <v>87057.85</v>
      </c>
      <c r="S28" s="2">
        <v>83136.539999999994</v>
      </c>
      <c r="T28" s="2">
        <v>82971.81</v>
      </c>
      <c r="U28" s="2">
        <v>94390.02</v>
      </c>
      <c r="V28" s="2">
        <v>98137.27</v>
      </c>
      <c r="W28" s="2">
        <v>122376.99</v>
      </c>
      <c r="X28" s="2">
        <v>122877.12</v>
      </c>
      <c r="Y28" s="2">
        <v>102541.74</v>
      </c>
      <c r="Z28" s="2">
        <v>91640.33</v>
      </c>
      <c r="AA28" s="2">
        <v>91488.81</v>
      </c>
      <c r="AB28" s="2">
        <v>87801.4</v>
      </c>
      <c r="AC28" s="2">
        <v>100126.47</v>
      </c>
      <c r="AD28" s="2">
        <v>108679.98</v>
      </c>
      <c r="AE28" s="2">
        <v>120179.92</v>
      </c>
      <c r="AF28" s="2">
        <v>119904.42</v>
      </c>
      <c r="AG28" s="2">
        <v>112192.95</v>
      </c>
      <c r="AH28" s="2">
        <v>91305.19</v>
      </c>
      <c r="AI28" s="24">
        <f>SUM(E28:AH28)</f>
        <v>3061434.1500000004</v>
      </c>
      <c r="AJ28" s="26">
        <v>2572222.5959151341</v>
      </c>
      <c r="AK28" s="33">
        <f>$AJ28/$AI28*E28</f>
        <v>82555.090124055845</v>
      </c>
      <c r="AL28" s="33">
        <f>$AJ28/$AI28*F28</f>
        <v>74786.037810283669</v>
      </c>
      <c r="AM28" s="33">
        <f>$AJ28/$AI28*G28</f>
        <v>81312.43160750455</v>
      </c>
      <c r="AN28" s="33">
        <f>$AJ28/$AI28*H28</f>
        <v>82780.877563645336</v>
      </c>
      <c r="AO28" s="33">
        <f>$AJ28/$AI28*I28</f>
        <v>108820.20283770123</v>
      </c>
      <c r="AP28" s="33">
        <f>$AJ28/$AI28*J28</f>
        <v>109651.7758015865</v>
      </c>
      <c r="AQ28" s="33">
        <f>$AJ28/$AI28*K28</f>
        <v>74045.811590089725</v>
      </c>
      <c r="AR28" s="33">
        <f>$AJ28/$AI28*L28</f>
        <v>71754.354326780143</v>
      </c>
      <c r="AS28" s="33">
        <f>$AJ28/$AI28*M28</f>
        <v>79072.453510732579</v>
      </c>
      <c r="AT28" s="33">
        <f>$AJ28/$AI28*N28</f>
        <v>77810.94086496465</v>
      </c>
      <c r="AU28" s="33">
        <f>$AJ28/$AI28*O28</f>
        <v>83603.435161822286</v>
      </c>
      <c r="AV28" s="33">
        <f>$AJ28/$AI28*P28</f>
        <v>95607.919728589462</v>
      </c>
      <c r="AW28" s="33">
        <f>$AJ28/$AI28*Q28</f>
        <v>107955.34947906234</v>
      </c>
      <c r="AX28" s="33">
        <f>$AJ28/$AI28*R28</f>
        <v>73146.165473391069</v>
      </c>
      <c r="AY28" s="33">
        <f>$AJ28/$AI28*S28</f>
        <v>69851.4736089301</v>
      </c>
      <c r="AZ28" s="33">
        <f>$AJ28/$AI28*T28</f>
        <v>69713.067160362494</v>
      </c>
      <c r="BA28" s="33">
        <f>$AJ28/$AI28*U28</f>
        <v>79306.668174744642</v>
      </c>
      <c r="BB28" s="33">
        <f>$AJ28/$AI28*V28</f>
        <v>82455.11450750113</v>
      </c>
      <c r="BC28" s="33">
        <f>$AJ28/$AI28*W28</f>
        <v>102821.37177377485</v>
      </c>
      <c r="BD28" s="33">
        <f>$AJ28/$AI28*X28</f>
        <v>103241.58191838795</v>
      </c>
      <c r="BE28" s="33">
        <f>$AJ28/$AI28*Y28</f>
        <v>86155.758291405597</v>
      </c>
      <c r="BF28" s="33">
        <f>$AJ28/$AI28*Z28</f>
        <v>76996.373586255169</v>
      </c>
      <c r="BG28" s="33">
        <f>$AJ28/$AI28*AA28</f>
        <v>76869.066203951006</v>
      </c>
      <c r="BH28" s="33">
        <f>$AJ28/$AI28*AB28</f>
        <v>73770.897549105546</v>
      </c>
      <c r="BI28" s="33">
        <f>$AJ28/$AI28*AC28</f>
        <v>84126.44400116161</v>
      </c>
      <c r="BJ28" s="33">
        <f>$AJ28/$AI28*AD28</f>
        <v>91313.118813809808</v>
      </c>
      <c r="BK28" s="33">
        <f>$AJ28/$AI28*AE28</f>
        <v>100975.38952430942</v>
      </c>
      <c r="BL28" s="33">
        <f>$AJ28/$AI28*AF28</f>
        <v>100743.91391828516</v>
      </c>
      <c r="BM28" s="33">
        <f>$AJ28/$AI28*AG28</f>
        <v>94264.72266025281</v>
      </c>
      <c r="BN28" s="33">
        <f>$AJ28/$AI28*AH28</f>
        <v>76714.788342687214</v>
      </c>
    </row>
    <row r="29" spans="1:66" x14ac:dyDescent="0.25">
      <c r="A29" s="1" t="s">
        <v>30</v>
      </c>
      <c r="B29" s="4">
        <v>27</v>
      </c>
      <c r="C29" s="4" t="s">
        <v>4</v>
      </c>
      <c r="D29" s="4" t="str">
        <f>A29&amp;C29</f>
        <v>TOM MBOYABAKERY</v>
      </c>
      <c r="E29" s="2">
        <v>134269.96</v>
      </c>
      <c r="F29" s="2">
        <v>133067.97</v>
      </c>
      <c r="G29" s="2">
        <v>142739.82999999999</v>
      </c>
      <c r="H29" s="2">
        <v>172558.96</v>
      </c>
      <c r="I29" s="2">
        <v>179138.83</v>
      </c>
      <c r="J29" s="2">
        <v>130018.8</v>
      </c>
      <c r="K29" s="2">
        <v>125235.52</v>
      </c>
      <c r="L29" s="2">
        <v>137403.14000000001</v>
      </c>
      <c r="M29" s="2">
        <v>129280.31</v>
      </c>
      <c r="N29" s="2">
        <v>140556.17000000001</v>
      </c>
      <c r="O29" s="2">
        <v>155342.41</v>
      </c>
      <c r="P29" s="2">
        <v>166856.89000000001</v>
      </c>
      <c r="Q29" s="2">
        <v>119165.46</v>
      </c>
      <c r="R29" s="2">
        <v>125822.73</v>
      </c>
      <c r="S29" s="2">
        <v>121747.76</v>
      </c>
      <c r="T29" s="2">
        <v>137276.18</v>
      </c>
      <c r="U29" s="2">
        <v>140837.31</v>
      </c>
      <c r="V29" s="2">
        <v>148791.35</v>
      </c>
      <c r="W29" s="2">
        <v>162327.82999999999</v>
      </c>
      <c r="X29" s="2">
        <v>123168.11</v>
      </c>
      <c r="Y29" s="2">
        <v>128662.83</v>
      </c>
      <c r="Z29" s="2">
        <v>141789.72</v>
      </c>
      <c r="AA29" s="2">
        <v>129358.87</v>
      </c>
      <c r="AB29" s="2">
        <v>128574.76</v>
      </c>
      <c r="AC29" s="2">
        <v>137260</v>
      </c>
      <c r="AD29" s="2">
        <v>160781.82999999999</v>
      </c>
      <c r="AE29" s="2">
        <v>118129.67</v>
      </c>
      <c r="AF29" s="2">
        <v>185023.98</v>
      </c>
      <c r="AG29" s="2">
        <v>138378.57</v>
      </c>
      <c r="AH29" s="2">
        <v>138479.28</v>
      </c>
      <c r="AI29" s="24">
        <f>SUM(E29:AH29)</f>
        <v>4232045.03</v>
      </c>
      <c r="AJ29" s="26">
        <v>3664966.8829616127</v>
      </c>
      <c r="AK29" s="33">
        <f>$AJ29/$AI29*E29</f>
        <v>116278.28940576759</v>
      </c>
      <c r="AL29" s="33">
        <f>$AJ29/$AI29*F29</f>
        <v>115237.36155352992</v>
      </c>
      <c r="AM29" s="33">
        <f>$AJ29/$AI29*G29</f>
        <v>123613.22862142854</v>
      </c>
      <c r="AN29" s="33">
        <f>$AJ29/$AI29*H29</f>
        <v>149436.70714162925</v>
      </c>
      <c r="AO29" s="33">
        <f>$AJ29/$AI29*I29</f>
        <v>155134.89926228175</v>
      </c>
      <c r="AP29" s="33">
        <f>$AJ29/$AI29*J29</f>
        <v>112596.76888702891</v>
      </c>
      <c r="AQ29" s="33">
        <f>$AJ29/$AI29*K29</f>
        <v>108454.43045072626</v>
      </c>
      <c r="AR29" s="33">
        <f>$AJ29/$AI29*L29</f>
        <v>118991.63504763987</v>
      </c>
      <c r="AS29" s="33">
        <f>$AJ29/$AI29*M29</f>
        <v>111957.23377475759</v>
      </c>
      <c r="AT29" s="33">
        <f>$AJ29/$AI29*N29</f>
        <v>121722.17086402849</v>
      </c>
      <c r="AU29" s="33">
        <f>$AJ29/$AI29*O29</f>
        <v>134527.11021117013</v>
      </c>
      <c r="AV29" s="33">
        <f>$AJ29/$AI29*P29</f>
        <v>144498.69311621401</v>
      </c>
      <c r="AW29" s="33">
        <f>$AJ29/$AI29*Q29</f>
        <v>103197.73570388657</v>
      </c>
      <c r="AX29" s="33">
        <f>$AJ29/$AI29*R29</f>
        <v>108962.95651509658</v>
      </c>
      <c r="AY29" s="33">
        <f>$AJ29/$AI29*S29</f>
        <v>105434.01719777034</v>
      </c>
      <c r="AZ29" s="33">
        <f>$AJ29/$AI29*T29</f>
        <v>118881.68721103547</v>
      </c>
      <c r="BA29" s="33">
        <f>$AJ29/$AI29*U29</f>
        <v>121965.63915942037</v>
      </c>
      <c r="BB29" s="33">
        <f>$AJ29/$AI29*V29</f>
        <v>128853.86765866959</v>
      </c>
      <c r="BC29" s="33">
        <f>$AJ29/$AI29*W29</f>
        <v>140576.51015424629</v>
      </c>
      <c r="BD29" s="33">
        <f>$AJ29/$AI29*X29</f>
        <v>106664.0456297255</v>
      </c>
      <c r="BE29" s="33">
        <f>$AJ29/$AI29*Y29</f>
        <v>111422.49377675452</v>
      </c>
      <c r="BF29" s="33">
        <f>$AJ29/$AI29*Z29</f>
        <v>122790.42979474153</v>
      </c>
      <c r="BG29" s="33">
        <f>$AJ29/$AI29*AA29</f>
        <v>112025.26702966969</v>
      </c>
      <c r="BH29" s="33">
        <f>$AJ29/$AI29*AB29</f>
        <v>111346.22482614213</v>
      </c>
      <c r="BI29" s="33">
        <f>$AJ29/$AI29*AC29</f>
        <v>118867.6752702962</v>
      </c>
      <c r="BJ29" s="33">
        <f>$AJ29/$AI29*AD29</f>
        <v>139237.66835060445</v>
      </c>
      <c r="BK29" s="33">
        <f>$AJ29/$AI29*AE29</f>
        <v>102300.73767555917</v>
      </c>
      <c r="BL29" s="33">
        <f>$AJ29/$AI29*AF29</f>
        <v>160231.46125497436</v>
      </c>
      <c r="BM29" s="33">
        <f>$AJ29/$AI29*AG29</f>
        <v>119836.36108937747</v>
      </c>
      <c r="BN29" s="33">
        <f>$AJ29/$AI29*AH29</f>
        <v>119923.57632744007</v>
      </c>
    </row>
    <row r="30" spans="1:66" x14ac:dyDescent="0.25">
      <c r="A30" s="1" t="s">
        <v>28</v>
      </c>
      <c r="B30" s="4">
        <v>28</v>
      </c>
      <c r="C30" s="4" t="s">
        <v>4</v>
      </c>
      <c r="D30" s="4" t="str">
        <f>A30&amp;C30</f>
        <v>KERICHOBAKERY</v>
      </c>
      <c r="E30" s="2">
        <v>42637.58</v>
      </c>
      <c r="F30" s="2">
        <v>51291.99</v>
      </c>
      <c r="G30" s="2">
        <v>46843.1</v>
      </c>
      <c r="H30" s="2">
        <v>54397.34</v>
      </c>
      <c r="I30" s="2">
        <v>56111.6</v>
      </c>
      <c r="J30" s="2">
        <v>36295.75</v>
      </c>
      <c r="K30" s="2">
        <v>45716.54</v>
      </c>
      <c r="L30" s="2">
        <v>51011.47</v>
      </c>
      <c r="M30" s="2">
        <v>45711.61</v>
      </c>
      <c r="N30" s="2">
        <v>58969.89</v>
      </c>
      <c r="O30" s="2">
        <v>54394.92</v>
      </c>
      <c r="P30" s="2">
        <v>45841.51</v>
      </c>
      <c r="Q30" s="2">
        <v>33925.06</v>
      </c>
      <c r="R30" s="2">
        <v>42753.51</v>
      </c>
      <c r="S30" s="2">
        <v>46871.61</v>
      </c>
      <c r="T30" s="2">
        <v>40255.06</v>
      </c>
      <c r="U30" s="2">
        <v>52231.47</v>
      </c>
      <c r="V30" s="2">
        <v>57054.79</v>
      </c>
      <c r="W30" s="2">
        <v>54270.77</v>
      </c>
      <c r="X30" s="2">
        <v>41328.550000000003</v>
      </c>
      <c r="Y30" s="2">
        <v>52101.95</v>
      </c>
      <c r="Z30" s="2">
        <v>45110.89</v>
      </c>
      <c r="AA30" s="2">
        <v>47668.68</v>
      </c>
      <c r="AB30" s="2">
        <v>43369.440000000002</v>
      </c>
      <c r="AC30" s="2">
        <v>46759.199999999997</v>
      </c>
      <c r="AD30" s="2">
        <v>51419.92</v>
      </c>
      <c r="AE30" s="2">
        <v>44657.61</v>
      </c>
      <c r="AF30" s="2">
        <v>55743.82</v>
      </c>
      <c r="AG30" s="2">
        <v>33007.379999999997</v>
      </c>
      <c r="AH30" s="2">
        <v>47472.160000000003</v>
      </c>
      <c r="AI30" s="24">
        <f>SUM(E30:AH30)</f>
        <v>1425225.1699999997</v>
      </c>
      <c r="AJ30" s="26">
        <v>1243106.149506968</v>
      </c>
      <c r="AK30" s="33">
        <f>$AJ30/$AI30*E30</f>
        <v>37189.237892911558</v>
      </c>
      <c r="AL30" s="33">
        <f>$AJ30/$AI30*F30</f>
        <v>44737.764622449038</v>
      </c>
      <c r="AM30" s="33">
        <f>$AJ30/$AI30*G30</f>
        <v>40857.365487005722</v>
      </c>
      <c r="AN30" s="33">
        <f>$AJ30/$AI30*H30</f>
        <v>47446.304832534908</v>
      </c>
      <c r="AO30" s="33">
        <f>$AJ30/$AI30*I30</f>
        <v>48941.512181317426</v>
      </c>
      <c r="AP30" s="33">
        <f>$AJ30/$AI30*J30</f>
        <v>31657.783609005124</v>
      </c>
      <c r="AQ30" s="33">
        <f>$AJ30/$AI30*K30</f>
        <v>39874.760286601799</v>
      </c>
      <c r="AR30" s="33">
        <f>$AJ30/$AI30*L30</f>
        <v>44493.090205802517</v>
      </c>
      <c r="AS30" s="33">
        <f>$AJ30/$AI30*M30</f>
        <v>39870.460254967453</v>
      </c>
      <c r="AT30" s="33">
        <f>$AJ30/$AI30*N30</f>
        <v>51434.56236795865</v>
      </c>
      <c r="AU30" s="33">
        <f>$AJ30/$AI30*O30</f>
        <v>47444.194066499382</v>
      </c>
      <c r="AV30" s="33">
        <f>$AJ30/$AI30*P30</f>
        <v>39983.761291336989</v>
      </c>
      <c r="AW30" s="33">
        <f>$AJ30/$AI30*Q30</f>
        <v>29590.026612000449</v>
      </c>
      <c r="AX30" s="33">
        <f>$AJ30/$AI30*R30</f>
        <v>37290.3540526215</v>
      </c>
      <c r="AY30" s="33">
        <f>$AJ30/$AI30*S30</f>
        <v>40882.232404225862</v>
      </c>
      <c r="AZ30" s="33">
        <f>$AJ30/$AI30*T30</f>
        <v>35111.162564419188</v>
      </c>
      <c r="BA30" s="33">
        <f>$AJ30/$AI30*U30</f>
        <v>45557.195397263953</v>
      </c>
      <c r="BB30" s="33">
        <f>$AJ30/$AI30*V30</f>
        <v>49764.178882575223</v>
      </c>
      <c r="BC30" s="33">
        <f>$AJ30/$AI30*W30</f>
        <v>47335.908280007628</v>
      </c>
      <c r="BD30" s="33">
        <f>$AJ30/$AI30*X30</f>
        <v>36047.479188994548</v>
      </c>
      <c r="BE30" s="33">
        <f>$AJ30/$AI30*Y30</f>
        <v>45444.225803495021</v>
      </c>
      <c r="BF30" s="33">
        <f>$AJ30/$AI30*Z30</f>
        <v>39346.501836430798</v>
      </c>
      <c r="BG30" s="33">
        <f>$AJ30/$AI30*AA30</f>
        <v>41577.450703371898</v>
      </c>
      <c r="BH30" s="33">
        <f>$AJ30/$AI30*AB30</f>
        <v>37827.578897356616</v>
      </c>
      <c r="BI30" s="33">
        <f>$AJ30/$AI30*AC30</f>
        <v>40784.186449658497</v>
      </c>
      <c r="BJ30" s="33">
        <f>$AJ30/$AI30*AD30</f>
        <v>44849.347390599585</v>
      </c>
      <c r="BK30" s="33">
        <f>$AJ30/$AI30*AE30</f>
        <v>38951.143146934373</v>
      </c>
      <c r="BL30" s="33">
        <f>$AJ30/$AI30*AF30</f>
        <v>48620.728076960309</v>
      </c>
      <c r="BM30" s="33">
        <f>$AJ30/$AI30*AG30</f>
        <v>28789.610175852642</v>
      </c>
      <c r="BN30" s="33">
        <f>$AJ30/$AI30*AH30</f>
        <v>41406.0425458096</v>
      </c>
    </row>
    <row r="31" spans="1:66" x14ac:dyDescent="0.25">
      <c r="A31" s="1" t="s">
        <v>29</v>
      </c>
      <c r="B31" s="4">
        <v>29</v>
      </c>
      <c r="C31" s="4" t="s">
        <v>4</v>
      </c>
      <c r="D31" s="4" t="str">
        <f>A31&amp;C31</f>
        <v>MFANGANOBAKERY</v>
      </c>
      <c r="E31" s="2">
        <v>244436.83</v>
      </c>
      <c r="F31" s="2">
        <v>233287.16</v>
      </c>
      <c r="G31" s="2">
        <v>261997.28</v>
      </c>
      <c r="H31" s="2">
        <v>292962.83</v>
      </c>
      <c r="I31" s="2">
        <v>302096.34999999998</v>
      </c>
      <c r="J31" s="2">
        <v>250397.8</v>
      </c>
      <c r="K31" s="2">
        <v>244441.23</v>
      </c>
      <c r="L31" s="2">
        <v>230369.57</v>
      </c>
      <c r="M31" s="2">
        <v>219178.69</v>
      </c>
      <c r="N31" s="2">
        <v>233884.69</v>
      </c>
      <c r="O31" s="2">
        <v>278403.96999999997</v>
      </c>
      <c r="P31" s="2">
        <v>271838.03000000003</v>
      </c>
      <c r="Q31" s="2">
        <v>211653.79</v>
      </c>
      <c r="R31" s="2">
        <v>222077.92</v>
      </c>
      <c r="S31" s="2">
        <v>232265.23</v>
      </c>
      <c r="T31" s="2">
        <v>233481.82</v>
      </c>
      <c r="U31" s="2">
        <v>252942.2</v>
      </c>
      <c r="V31" s="2">
        <v>258249.25</v>
      </c>
      <c r="W31" s="2">
        <v>266501.21999999997</v>
      </c>
      <c r="X31" s="2">
        <v>244223.54</v>
      </c>
      <c r="Y31" s="2">
        <v>249663.91</v>
      </c>
      <c r="Z31" s="2">
        <v>247729.95</v>
      </c>
      <c r="AA31" s="2">
        <v>228095.24</v>
      </c>
      <c r="AB31" s="2">
        <v>222733.84</v>
      </c>
      <c r="AC31" s="2">
        <v>246059.08</v>
      </c>
      <c r="AD31" s="2">
        <v>252834.46</v>
      </c>
      <c r="AE31" s="2">
        <v>221504.91</v>
      </c>
      <c r="AF31" s="2">
        <v>284424.18</v>
      </c>
      <c r="AG31" s="2">
        <v>241991.73</v>
      </c>
      <c r="AH31" s="2">
        <v>242269.77</v>
      </c>
      <c r="AI31" s="24">
        <f>SUM(E31:AH31)</f>
        <v>7421996.4700000007</v>
      </c>
      <c r="AJ31" s="26">
        <v>6437781.2917692112</v>
      </c>
      <c r="AK31" s="33">
        <f>$AJ31/$AI31*E31</f>
        <v>212022.58146498026</v>
      </c>
      <c r="AL31" s="33">
        <f>$AJ31/$AI31*F31</f>
        <v>202351.4455077571</v>
      </c>
      <c r="AM31" s="33">
        <f>$AJ31/$AI31*G31</f>
        <v>227254.37751096365</v>
      </c>
      <c r="AN31" s="33">
        <f>$AJ31/$AI31*H31</f>
        <v>254113.65173524042</v>
      </c>
      <c r="AO31" s="33">
        <f>$AJ31/$AI31*I31</f>
        <v>262035.99505912504</v>
      </c>
      <c r="AP31" s="33">
        <f>$AJ31/$AI31*J31</f>
        <v>217193.07990187826</v>
      </c>
      <c r="AQ31" s="33">
        <f>$AJ31/$AI31*K31</f>
        <v>212026.3979903314</v>
      </c>
      <c r="AR31" s="33">
        <f>$AJ31/$AI31*L31</f>
        <v>199820.75091702619</v>
      </c>
      <c r="AS31" s="33">
        <f>$AJ31/$AI31*M31</f>
        <v>190113.86973032114</v>
      </c>
      <c r="AT31" s="33">
        <f>$AJ31/$AI31*N31</f>
        <v>202869.73832436238</v>
      </c>
      <c r="AU31" s="33">
        <f>$AJ31/$AI31*O31</f>
        <v>241485.41121850957</v>
      </c>
      <c r="AV31" s="33">
        <f>$AJ31/$AI31*P31</f>
        <v>235790.1665675944</v>
      </c>
      <c r="AW31" s="33">
        <f>$AJ31/$AI31*Q31</f>
        <v>183586.83072696871</v>
      </c>
      <c r="AX31" s="33">
        <f>$AJ31/$AI31*R31</f>
        <v>192628.63900163234</v>
      </c>
      <c r="AY31" s="33">
        <f>$AJ31/$AI31*S31</f>
        <v>201465.03147319239</v>
      </c>
      <c r="AZ31" s="33">
        <f>$AJ31/$AI31*T31</f>
        <v>202520.29205885978</v>
      </c>
      <c r="BA31" s="33">
        <f>$AJ31/$AI31*U31</f>
        <v>219400.07242538422</v>
      </c>
      <c r="BB31" s="33">
        <f>$AJ31/$AI31*V31</f>
        <v>224003.36580373364</v>
      </c>
      <c r="BC31" s="33">
        <f>$AJ31/$AI31*W31</f>
        <v>231161.05959959724</v>
      </c>
      <c r="BD31" s="33">
        <f>$AJ31/$AI31*X31</f>
        <v>211837.57539858404</v>
      </c>
      <c r="BE31" s="33">
        <f>$AJ31/$AI31*Y31</f>
        <v>216556.50949507282</v>
      </c>
      <c r="BF31" s="33">
        <f>$AJ31/$AI31*Z31</f>
        <v>214879.00782050926</v>
      </c>
      <c r="BG31" s="33">
        <f>$AJ31/$AI31*AA31</f>
        <v>197848.01498478861</v>
      </c>
      <c r="BH31" s="33">
        <f>$AJ31/$AI31*AB31</f>
        <v>193197.57884443141</v>
      </c>
      <c r="BI31" s="33">
        <f>$AJ31/$AI31*AC31</f>
        <v>213429.70834017973</v>
      </c>
      <c r="BJ31" s="33">
        <f>$AJ31/$AI31*AD31</f>
        <v>219306.61959780892</v>
      </c>
      <c r="BK31" s="33">
        <f>$AJ31/$AI31*AE31</f>
        <v>192131.61463993834</v>
      </c>
      <c r="BL31" s="33">
        <f>$AJ31/$AI31*AF31</f>
        <v>246707.29396490785</v>
      </c>
      <c r="BM31" s="33">
        <f>$AJ31/$AI31*AG31</f>
        <v>209901.72097951241</v>
      </c>
      <c r="BN31" s="33">
        <f>$AJ31/$AI31*AH31</f>
        <v>210142.89068601909</v>
      </c>
    </row>
    <row r="32" spans="1:66" x14ac:dyDescent="0.25">
      <c r="A32" s="1" t="s">
        <v>31</v>
      </c>
      <c r="B32" s="4">
        <v>30</v>
      </c>
      <c r="C32" s="4" t="s">
        <v>4</v>
      </c>
      <c r="D32" s="4" t="str">
        <f>A32&amp;C32</f>
        <v>KILIMANIBAKERY</v>
      </c>
      <c r="E32" s="2">
        <v>96355.36</v>
      </c>
      <c r="F32" s="2">
        <v>82324.259999999995</v>
      </c>
      <c r="G32" s="2">
        <v>86006.58</v>
      </c>
      <c r="H32" s="2">
        <v>85622.23</v>
      </c>
      <c r="I32" s="2">
        <v>99781.65</v>
      </c>
      <c r="J32" s="2">
        <v>96516.88</v>
      </c>
      <c r="K32" s="2">
        <v>73689.740000000005</v>
      </c>
      <c r="L32" s="2">
        <v>87060.36</v>
      </c>
      <c r="M32" s="2">
        <v>86071.74</v>
      </c>
      <c r="N32" s="2">
        <v>79113.98</v>
      </c>
      <c r="O32" s="2">
        <v>87709.06</v>
      </c>
      <c r="P32" s="2">
        <v>84926.27</v>
      </c>
      <c r="Q32" s="2">
        <v>88375.23</v>
      </c>
      <c r="R32" s="2">
        <v>80961.37</v>
      </c>
      <c r="S32" s="2">
        <v>76128.89</v>
      </c>
      <c r="T32" s="2">
        <v>84298.59</v>
      </c>
      <c r="U32" s="2">
        <v>84002.47</v>
      </c>
      <c r="V32" s="2">
        <v>94724.79</v>
      </c>
      <c r="W32" s="2">
        <v>81931.61</v>
      </c>
      <c r="X32" s="2">
        <v>83984.72</v>
      </c>
      <c r="Y32" s="2">
        <v>80346.679999999993</v>
      </c>
      <c r="Z32" s="2">
        <v>71702.27</v>
      </c>
      <c r="AA32" s="2">
        <v>82184.06</v>
      </c>
      <c r="AB32" s="2">
        <v>78479.23</v>
      </c>
      <c r="AC32" s="2">
        <v>88761.16</v>
      </c>
      <c r="AD32" s="2">
        <v>95354.23</v>
      </c>
      <c r="AE32" s="2">
        <v>88145.919999999998</v>
      </c>
      <c r="AF32" s="2">
        <v>96051.04</v>
      </c>
      <c r="AG32" s="2">
        <v>87050.65</v>
      </c>
      <c r="AH32" s="2">
        <v>79901.02</v>
      </c>
      <c r="AI32" s="24">
        <f>SUM(E32:AH32)</f>
        <v>2567562.04</v>
      </c>
      <c r="AJ32" s="26">
        <v>2619215.0098693389</v>
      </c>
      <c r="AK32" s="33">
        <f>$AJ32/$AI32*E32</f>
        <v>98293.79047579458</v>
      </c>
      <c r="AL32" s="33">
        <f>$AJ32/$AI32*F32</f>
        <v>83980.419600059991</v>
      </c>
      <c r="AM32" s="33">
        <f>$AJ32/$AI32*G32</f>
        <v>87736.818730786385</v>
      </c>
      <c r="AN32" s="33">
        <f>$AJ32/$AI32*H32</f>
        <v>87344.736563594313</v>
      </c>
      <c r="AO32" s="33">
        <f>$AJ32/$AI32*I32</f>
        <v>101789.00891895445</v>
      </c>
      <c r="AP32" s="33">
        <f>$AJ32/$AI32*J32</f>
        <v>98458.559856944223</v>
      </c>
      <c r="AQ32" s="33">
        <f>$AJ32/$AI32*K32</f>
        <v>75172.194507661843</v>
      </c>
      <c r="AR32" s="33">
        <f>$AJ32/$AI32*L32</f>
        <v>88811.798166570574</v>
      </c>
      <c r="AS32" s="33">
        <f>$AJ32/$AI32*M32</f>
        <v>87803.28958811496</v>
      </c>
      <c r="AT32" s="33">
        <f>$AJ32/$AI32*N32</f>
        <v>80705.556741484877</v>
      </c>
      <c r="AU32" s="33">
        <f>$AJ32/$AI32*O32</f>
        <v>89473.54839906047</v>
      </c>
      <c r="AV32" s="33">
        <f>$AJ32/$AI32*P32</f>
        <v>86634.775577308406</v>
      </c>
      <c r="AW32" s="33">
        <f>$AJ32/$AI32*Q32</f>
        <v>90153.120084551134</v>
      </c>
      <c r="AX32" s="33">
        <f>$AJ32/$AI32*R32</f>
        <v>82590.111638971415</v>
      </c>
      <c r="AY32" s="33">
        <f>$AJ32/$AI32*S32</f>
        <v>77660.414146289462</v>
      </c>
      <c r="AZ32" s="33">
        <f>$AJ32/$AI32*T32</f>
        <v>85994.468215000306</v>
      </c>
      <c r="BA32" s="33">
        <f>$AJ32/$AI32*U32</f>
        <v>85692.391016225985</v>
      </c>
      <c r="BB32" s="33">
        <f>$AJ32/$AI32*V32</f>
        <v>96630.417458080599</v>
      </c>
      <c r="BC32" s="33">
        <f>$AJ32/$AI32*W32</f>
        <v>83579.870457486919</v>
      </c>
      <c r="BD32" s="33">
        <f>$AJ32/$AI32*X32</f>
        <v>85674.283930320787</v>
      </c>
      <c r="BE32" s="33">
        <f>$AJ32/$AI32*Y32</f>
        <v>81963.055603193367</v>
      </c>
      <c r="BF32" s="33">
        <f>$AJ32/$AI32*Z32</f>
        <v>73144.74154856411</v>
      </c>
      <c r="BG32" s="33">
        <f>$AJ32/$AI32*AA32</f>
        <v>83837.399124346892</v>
      </c>
      <c r="BH32" s="33">
        <f>$AJ32/$AI32*AB32</f>
        <v>80058.037148340183</v>
      </c>
      <c r="BI32" s="33">
        <f>$AJ32/$AI32*AC32</f>
        <v>90546.814037418153</v>
      </c>
      <c r="BJ32" s="33">
        <f>$AJ32/$AI32*AD32</f>
        <v>97272.520227216475</v>
      </c>
      <c r="BK32" s="33">
        <f>$AJ32/$AI32*AE32</f>
        <v>89919.196937006418</v>
      </c>
      <c r="BL32" s="33">
        <f>$AJ32/$AI32*AF32</f>
        <v>97983.348313390801</v>
      </c>
      <c r="BM32" s="33">
        <f>$AJ32/$AI32*AG32</f>
        <v>88801.892825492294</v>
      </c>
      <c r="BN32" s="33">
        <f>$AJ32/$AI32*AH32</f>
        <v>81508.430031108524</v>
      </c>
    </row>
    <row r="33" spans="1:66" x14ac:dyDescent="0.25">
      <c r="A33" s="1" t="s">
        <v>33</v>
      </c>
      <c r="B33" s="4">
        <v>31</v>
      </c>
      <c r="C33" s="4" t="s">
        <v>4</v>
      </c>
      <c r="D33" s="4" t="str">
        <f>A33&amp;C33</f>
        <v>EMBAKASIBAKERY</v>
      </c>
      <c r="E33" s="2">
        <v>68105.78</v>
      </c>
      <c r="F33" s="2">
        <v>71113.33</v>
      </c>
      <c r="G33" s="2">
        <v>77423.539999999994</v>
      </c>
      <c r="H33" s="2">
        <v>80246.820000000007</v>
      </c>
      <c r="I33" s="2">
        <v>89091.13</v>
      </c>
      <c r="J33" s="2">
        <v>87558.92</v>
      </c>
      <c r="K33" s="2">
        <v>63125.3</v>
      </c>
      <c r="L33" s="2">
        <v>57261.61</v>
      </c>
      <c r="M33" s="2">
        <v>75207.06</v>
      </c>
      <c r="N33" s="2">
        <v>73767.199999999997</v>
      </c>
      <c r="O33" s="2">
        <v>77177.820000000007</v>
      </c>
      <c r="P33" s="2">
        <v>80539.89</v>
      </c>
      <c r="Q33" s="2">
        <v>84574.5</v>
      </c>
      <c r="R33" s="2">
        <v>66593.75</v>
      </c>
      <c r="S33" s="2">
        <v>72177.5</v>
      </c>
      <c r="T33" s="2">
        <v>75360.990000000005</v>
      </c>
      <c r="U33" s="2">
        <v>71172.3</v>
      </c>
      <c r="V33" s="2">
        <v>71485.850000000006</v>
      </c>
      <c r="W33" s="2">
        <v>80028.47</v>
      </c>
      <c r="X33" s="2">
        <v>96536.06</v>
      </c>
      <c r="Y33" s="2">
        <v>69307.570000000007</v>
      </c>
      <c r="Z33" s="2">
        <v>73923.92</v>
      </c>
      <c r="AA33" s="2">
        <v>67440.13</v>
      </c>
      <c r="AB33" s="2">
        <v>64282.78</v>
      </c>
      <c r="AC33" s="2">
        <v>70903.33</v>
      </c>
      <c r="AD33" s="2">
        <v>75612.3</v>
      </c>
      <c r="AE33" s="2">
        <v>95076.68</v>
      </c>
      <c r="AF33" s="2">
        <v>83277.27</v>
      </c>
      <c r="AG33" s="2">
        <v>94462.92</v>
      </c>
      <c r="AH33" s="2">
        <v>71782.399999999994</v>
      </c>
      <c r="AI33" s="24">
        <f>SUM(E33:AH33)</f>
        <v>2284617.1199999996</v>
      </c>
      <c r="AJ33" s="26">
        <v>2148247.9797958964</v>
      </c>
      <c r="AK33" s="33">
        <f>$AJ33/$AI33*E33</f>
        <v>64040.535727677547</v>
      </c>
      <c r="AL33" s="33">
        <f>$AJ33/$AI33*F33</f>
        <v>66868.564614914096</v>
      </c>
      <c r="AM33" s="33">
        <f>$AJ33/$AI33*G33</f>
        <v>72802.117229011565</v>
      </c>
      <c r="AN33" s="33">
        <f>$AJ33/$AI33*H33</f>
        <v>75456.875220319183</v>
      </c>
      <c r="AO33" s="33">
        <f>$AJ33/$AI33*I33</f>
        <v>83773.267023506167</v>
      </c>
      <c r="AP33" s="33">
        <f>$AJ33/$AI33*J33</f>
        <v>82332.514869323277</v>
      </c>
      <c r="AQ33" s="33">
        <f>$AJ33/$AI33*K33</f>
        <v>59357.341329478404</v>
      </c>
      <c r="AR33" s="33">
        <f>$AJ33/$AI33*L33</f>
        <v>53843.655869286544</v>
      </c>
      <c r="AS33" s="33">
        <f>$AJ33/$AI33*M33</f>
        <v>70717.93925425403</v>
      </c>
      <c r="AT33" s="33">
        <f>$AJ33/$AI33*N33</f>
        <v>69364.02471465322</v>
      </c>
      <c r="AU33" s="33">
        <f>$AJ33/$AI33*O33</f>
        <v>72571.064292843686</v>
      </c>
      <c r="AV33" s="33">
        <f>$AJ33/$AI33*P33</f>
        <v>75732.451827851022</v>
      </c>
      <c r="AW33" s="33">
        <f>$AJ33/$AI33*Q33</f>
        <v>79526.235348900853</v>
      </c>
      <c r="AX33" s="33">
        <f>$AJ33/$AI33*R33</f>
        <v>62618.759026253378</v>
      </c>
      <c r="AY33" s="33">
        <f>$AJ33/$AI33*S33</f>
        <v>67869.214147234583</v>
      </c>
      <c r="AZ33" s="33">
        <f>$AJ33/$AI33*T33</f>
        <v>70862.681149355471</v>
      </c>
      <c r="BA33" s="33">
        <f>$AJ33/$AI33*U33</f>
        <v>66924.014686726805</v>
      </c>
      <c r="BB33" s="33">
        <f>$AJ33/$AI33*V33</f>
        <v>67218.848839972154</v>
      </c>
      <c r="BC33" s="33">
        <f>$AJ33/$AI33*W33</f>
        <v>75251.55856472638</v>
      </c>
      <c r="BD33" s="33">
        <f>$AJ33/$AI33*X33</f>
        <v>90773.808029791646</v>
      </c>
      <c r="BE33" s="33">
        <f>$AJ33/$AI33*Y33</f>
        <v>65170.590701457542</v>
      </c>
      <c r="BF33" s="33">
        <f>$AJ33/$AI33*Z33</f>
        <v>69511.390074234179</v>
      </c>
      <c r="BG33" s="33">
        <f>$AJ33/$AI33*AA33</f>
        <v>63414.618476496689</v>
      </c>
      <c r="BH33" s="33">
        <f>$AJ33/$AI33*AB33</f>
        <v>60445.731173836284</v>
      </c>
      <c r="BI33" s="33">
        <f>$AJ33/$AI33*AC33</f>
        <v>66671.09954656288</v>
      </c>
      <c r="BJ33" s="33">
        <f>$AJ33/$AI33*AD33</f>
        <v>71098.990417580906</v>
      </c>
      <c r="BK33" s="33">
        <f>$AJ33/$AI33*AE33</f>
        <v>89401.538641932668</v>
      </c>
      <c r="BL33" s="33">
        <f>$AJ33/$AI33*AF33</f>
        <v>78306.437203104491</v>
      </c>
      <c r="BM33" s="33">
        <f>$AJ33/$AI33*AG33</f>
        <v>88824.414068831538</v>
      </c>
      <c r="BN33" s="33">
        <f>$AJ33/$AI33*AH33</f>
        <v>67497.697725779522</v>
      </c>
    </row>
    <row r="34" spans="1:66" x14ac:dyDescent="0.25">
      <c r="A34" s="1" t="s">
        <v>32</v>
      </c>
      <c r="B34" s="4">
        <v>32</v>
      </c>
      <c r="C34" s="4" t="s">
        <v>4</v>
      </c>
      <c r="D34" s="4" t="str">
        <f>A34&amp;C34</f>
        <v>OGINGA ODINGABAKERY</v>
      </c>
      <c r="E34" s="2">
        <v>74144.160000000003</v>
      </c>
      <c r="F34" s="2">
        <v>71836.02</v>
      </c>
      <c r="G34" s="2">
        <v>69681.990000000005</v>
      </c>
      <c r="H34" s="2">
        <v>84200.34</v>
      </c>
      <c r="I34" s="2">
        <v>68158.16</v>
      </c>
      <c r="J34" s="2">
        <v>52605.27</v>
      </c>
      <c r="K34" s="2">
        <v>74417.47</v>
      </c>
      <c r="L34" s="2">
        <v>70963.06</v>
      </c>
      <c r="M34" s="2">
        <v>67631.78</v>
      </c>
      <c r="N34" s="2">
        <v>76599.33</v>
      </c>
      <c r="O34" s="2">
        <v>75918.789999999994</v>
      </c>
      <c r="P34" s="2">
        <v>70976.509999999995</v>
      </c>
      <c r="Q34" s="2">
        <v>39307.65</v>
      </c>
      <c r="R34" s="2">
        <v>72957.3</v>
      </c>
      <c r="S34" s="2">
        <v>71758.539999999994</v>
      </c>
      <c r="T34" s="2">
        <v>61197.5</v>
      </c>
      <c r="U34" s="2">
        <v>77276.61</v>
      </c>
      <c r="V34" s="2">
        <v>81613.820000000007</v>
      </c>
      <c r="W34" s="2">
        <v>68443.199999999997</v>
      </c>
      <c r="X34" s="2">
        <v>51562.96</v>
      </c>
      <c r="Y34" s="2">
        <v>85519.88</v>
      </c>
      <c r="Z34" s="2">
        <v>82357.95</v>
      </c>
      <c r="AA34" s="2">
        <v>62791.09</v>
      </c>
      <c r="AB34" s="2">
        <v>76320.160000000003</v>
      </c>
      <c r="AC34" s="2">
        <v>81384.820000000007</v>
      </c>
      <c r="AD34" s="2">
        <v>72039.509999999995</v>
      </c>
      <c r="AE34" s="2">
        <v>43440.27</v>
      </c>
      <c r="AF34" s="2">
        <v>69182.37</v>
      </c>
      <c r="AG34" s="2">
        <v>47310.93</v>
      </c>
      <c r="AH34" s="2">
        <v>78781.19</v>
      </c>
      <c r="AI34" s="24">
        <f>SUM(E34:AH34)</f>
        <v>2080378.6300000001</v>
      </c>
      <c r="AJ34" s="26">
        <v>1647344.5207441095</v>
      </c>
      <c r="AK34" s="33">
        <f>$AJ34/$AI34*E34</f>
        <v>58710.935576748634</v>
      </c>
      <c r="AL34" s="33">
        <f>$AJ34/$AI34*F34</f>
        <v>56883.238576174124</v>
      </c>
      <c r="AM34" s="33">
        <f>$AJ34/$AI34*G34</f>
        <v>55177.573334833687</v>
      </c>
      <c r="AN34" s="33">
        <f>$AJ34/$AI34*H34</f>
        <v>66673.905770600555</v>
      </c>
      <c r="AO34" s="33">
        <f>$AJ34/$AI34*I34</f>
        <v>53970.930964619809</v>
      </c>
      <c r="AP34" s="33">
        <f>$AJ34/$AI34*J34</f>
        <v>41655.399669609411</v>
      </c>
      <c r="AQ34" s="33">
        <f>$AJ34/$AI34*K34</f>
        <v>58927.355667049487</v>
      </c>
      <c r="AR34" s="33">
        <f>$AJ34/$AI34*L34</f>
        <v>56191.986583824641</v>
      </c>
      <c r="AS34" s="33">
        <f>$AJ34/$AI34*M34</f>
        <v>53554.117795937484</v>
      </c>
      <c r="AT34" s="33">
        <f>$AJ34/$AI34*N34</f>
        <v>60655.058049779087</v>
      </c>
      <c r="AU34" s="33">
        <f>$AJ34/$AI34*O34</f>
        <v>60116.173529441934</v>
      </c>
      <c r="AV34" s="33">
        <f>$AJ34/$AI34*P34</f>
        <v>56202.636945006248</v>
      </c>
      <c r="AW34" s="33">
        <f>$AJ34/$AI34*Q34</f>
        <v>31125.700349473016</v>
      </c>
      <c r="AX34" s="33">
        <f>$AJ34/$AI34*R34</f>
        <v>57771.122366933858</v>
      </c>
      <c r="AY34" s="33">
        <f>$AJ34/$AI34*S34</f>
        <v>56821.886160980706</v>
      </c>
      <c r="AZ34" s="33">
        <f>$AJ34/$AI34*T34</f>
        <v>48459.143376337044</v>
      </c>
      <c r="BA34" s="33">
        <f>$AJ34/$AI34*U34</f>
        <v>61191.361144283364</v>
      </c>
      <c r="BB34" s="33">
        <f>$AJ34/$AI34*V34</f>
        <v>64625.774008261193</v>
      </c>
      <c r="BC34" s="33">
        <f>$AJ34/$AI34*W34</f>
        <v>54196.639436828489</v>
      </c>
      <c r="BD34" s="33">
        <f>$AJ34/$AI34*X34</f>
        <v>40830.048148181413</v>
      </c>
      <c r="BE34" s="33">
        <f>$AJ34/$AI34*Y34</f>
        <v>67718.78142811617</v>
      </c>
      <c r="BF34" s="33">
        <f>$AJ34/$AI34*Z34</f>
        <v>65215.012169307527</v>
      </c>
      <c r="BG34" s="33">
        <f>$AJ34/$AI34*AA34</f>
        <v>49721.025091980606</v>
      </c>
      <c r="BH34" s="33">
        <f>$AJ34/$AI34*AB34</f>
        <v>60433.997727766393</v>
      </c>
      <c r="BI34" s="33">
        <f>$AJ34/$AI34*AC34</f>
        <v>64444.44072122853</v>
      </c>
      <c r="BJ34" s="33">
        <f>$AJ34/$AI34*AD34</f>
        <v>57044.371810140387</v>
      </c>
      <c r="BK34" s="33">
        <f>$AJ34/$AI34*AE34</f>
        <v>34398.10894622808</v>
      </c>
      <c r="BL34" s="33">
        <f>$AJ34/$AI34*AF34</f>
        <v>54781.950029736487</v>
      </c>
      <c r="BM34" s="33">
        <f>$AJ34/$AI34*AG34</f>
        <v>37463.084932192418</v>
      </c>
      <c r="BN34" s="33">
        <f>$AJ34/$AI34*AH34</f>
        <v>62382.760432508687</v>
      </c>
    </row>
    <row r="35" spans="1:66" x14ac:dyDescent="0.25">
      <c r="A35" s="1" t="s">
        <v>34</v>
      </c>
      <c r="B35" s="4">
        <v>33</v>
      </c>
      <c r="C35" s="4" t="s">
        <v>4</v>
      </c>
      <c r="D35" s="4" t="str">
        <f>A35&amp;C35</f>
        <v>KISERIANBAKERY</v>
      </c>
      <c r="E35" s="2">
        <v>67216.160000000003</v>
      </c>
      <c r="F35" s="2">
        <v>89210.47</v>
      </c>
      <c r="G35" s="2">
        <v>75559.820000000007</v>
      </c>
      <c r="H35" s="2">
        <v>84796.84</v>
      </c>
      <c r="I35" s="2">
        <v>109830.09</v>
      </c>
      <c r="J35" s="2">
        <v>81101.58</v>
      </c>
      <c r="K35" s="2">
        <v>83420.2</v>
      </c>
      <c r="L35" s="2">
        <v>69293.3</v>
      </c>
      <c r="M35" s="2">
        <v>83100.399999999994</v>
      </c>
      <c r="N35" s="2">
        <v>80067.27</v>
      </c>
      <c r="O35" s="2">
        <v>82031.509999999995</v>
      </c>
      <c r="P35" s="2">
        <v>95572.25</v>
      </c>
      <c r="Q35" s="2">
        <v>84280.4</v>
      </c>
      <c r="R35" s="2">
        <v>79451.16</v>
      </c>
      <c r="S35" s="2">
        <v>87730.78</v>
      </c>
      <c r="T35" s="2">
        <v>70227.44</v>
      </c>
      <c r="U35" s="2">
        <v>84409.16</v>
      </c>
      <c r="V35" s="2">
        <v>91999.63</v>
      </c>
      <c r="W35" s="2">
        <v>97379.27</v>
      </c>
      <c r="X35" s="2">
        <v>99581.4</v>
      </c>
      <c r="Y35" s="2">
        <v>79564.95</v>
      </c>
      <c r="Z35" s="2">
        <v>75493.679999999993</v>
      </c>
      <c r="AA35" s="2">
        <v>65397.96</v>
      </c>
      <c r="AB35" s="2">
        <v>64471.86</v>
      </c>
      <c r="AC35" s="2">
        <v>75589.02</v>
      </c>
      <c r="AD35" s="2">
        <v>108347.47</v>
      </c>
      <c r="AE35" s="2">
        <v>89067.02</v>
      </c>
      <c r="AF35" s="2">
        <v>110121.47</v>
      </c>
      <c r="AG35" s="2">
        <v>100560.13</v>
      </c>
      <c r="AH35" s="2">
        <v>67364.490000000005</v>
      </c>
      <c r="AI35" s="24">
        <f>SUM(E35:AH35)</f>
        <v>2532237.1800000002</v>
      </c>
      <c r="AJ35" s="26">
        <v>2049345.8603024641</v>
      </c>
      <c r="AK35" s="33">
        <f>$AJ35/$AI35*E35</f>
        <v>54398.205795804664</v>
      </c>
      <c r="AL35" s="33">
        <f>$AJ35/$AI35*F35</f>
        <v>72198.255690305101</v>
      </c>
      <c r="AM35" s="33">
        <f>$AJ35/$AI35*G35</f>
        <v>61150.750626842673</v>
      </c>
      <c r="AN35" s="33">
        <f>$AJ35/$AI35*H35</f>
        <v>68626.293932202025</v>
      </c>
      <c r="AO35" s="33">
        <f>$AJ35/$AI35*I35</f>
        <v>88885.765541973058</v>
      </c>
      <c r="AP35" s="33">
        <f>$AJ35/$AI35*J35</f>
        <v>65635.710805331866</v>
      </c>
      <c r="AQ35" s="33">
        <f>$AJ35/$AI35*K35</f>
        <v>67512.175749510003</v>
      </c>
      <c r="AR35" s="33">
        <f>$AJ35/$AI35*L35</f>
        <v>56079.240374196197</v>
      </c>
      <c r="AS35" s="33">
        <f>$AJ35/$AI35*M35</f>
        <v>67253.360812543964</v>
      </c>
      <c r="AT35" s="33">
        <f>$AJ35/$AI35*N35</f>
        <v>64798.64114475235</v>
      </c>
      <c r="AU35" s="33">
        <f>$AJ35/$AI35*O35</f>
        <v>66388.305471788452</v>
      </c>
      <c r="AV35" s="33">
        <f>$AJ35/$AI35*P35</f>
        <v>77346.860098346777</v>
      </c>
      <c r="AW35" s="33">
        <f>$AJ35/$AI35*Q35</f>
        <v>68208.337753194093</v>
      </c>
      <c r="AX35" s="33">
        <f>$AJ35/$AI35*R35</f>
        <v>64300.021786359168</v>
      </c>
      <c r="AY35" s="33">
        <f>$AJ35/$AI35*S35</f>
        <v>71000.738885804603</v>
      </c>
      <c r="AZ35" s="33">
        <f>$AJ35/$AI35*T35</f>
        <v>56835.24220414443</v>
      </c>
      <c r="BA35" s="33">
        <f>$AJ35/$AI35*U35</f>
        <v>68312.543542073865</v>
      </c>
      <c r="BB35" s="33">
        <f>$AJ35/$AI35*V35</f>
        <v>74455.529829104853</v>
      </c>
      <c r="BC35" s="33">
        <f>$AJ35/$AI35*W35</f>
        <v>78809.285887578633</v>
      </c>
      <c r="BD35" s="33">
        <f>$AJ35/$AI35*X35</f>
        <v>80591.475184454786</v>
      </c>
      <c r="BE35" s="33">
        <f>$AJ35/$AI35*Y35</f>
        <v>64392.112316932536</v>
      </c>
      <c r="BF35" s="33">
        <f>$AJ35/$AI35*Z35</f>
        <v>61097.223360016731</v>
      </c>
      <c r="BG35" s="33">
        <f>$AJ35/$AI35*AA35</f>
        <v>52926.73200471139</v>
      </c>
      <c r="BH35" s="33">
        <f>$AJ35/$AI35*AB35</f>
        <v>52177.236966799457</v>
      </c>
      <c r="BI35" s="33">
        <f>$AJ35/$AI35*AC35</f>
        <v>61174.382259611302</v>
      </c>
      <c r="BJ35" s="33">
        <f>$AJ35/$AI35*AD35</f>
        <v>87685.877481170784</v>
      </c>
      <c r="BK35" s="33">
        <f>$AJ35/$AI35*AE35</f>
        <v>72082.161247816752</v>
      </c>
      <c r="BL35" s="33">
        <f>$AJ35/$AI35*AF35</f>
        <v>89121.580102114269</v>
      </c>
      <c r="BM35" s="33">
        <f>$AJ35/$AI35*AG35</f>
        <v>81383.563812524706</v>
      </c>
      <c r="BN35" s="33">
        <f>$AJ35/$AI35*AH35</f>
        <v>54518.249634454354</v>
      </c>
    </row>
    <row r="36" spans="1:66" x14ac:dyDescent="0.25">
      <c r="A36" s="1" t="s">
        <v>35</v>
      </c>
      <c r="B36" s="4">
        <v>34</v>
      </c>
      <c r="C36" s="4" t="s">
        <v>4</v>
      </c>
      <c r="D36" s="4" t="str">
        <f>A36&amp;C36</f>
        <v>NANYUKIBAKERY</v>
      </c>
      <c r="E36" s="2">
        <v>77279.53</v>
      </c>
      <c r="F36" s="2">
        <v>107415.26</v>
      </c>
      <c r="G36" s="2">
        <v>88968.68</v>
      </c>
      <c r="H36" s="2">
        <v>107989.43</v>
      </c>
      <c r="I36" s="2">
        <v>119949.64</v>
      </c>
      <c r="J36" s="2">
        <v>89637.74</v>
      </c>
      <c r="K36" s="2">
        <v>72297.919999999998</v>
      </c>
      <c r="L36" s="2">
        <v>80005.36</v>
      </c>
      <c r="M36" s="2">
        <v>93524.36</v>
      </c>
      <c r="N36" s="2">
        <v>85916.67</v>
      </c>
      <c r="O36" s="2">
        <v>110344.12</v>
      </c>
      <c r="P36" s="2">
        <v>99398.12</v>
      </c>
      <c r="Q36" s="2">
        <v>87442.67</v>
      </c>
      <c r="R36" s="2">
        <v>83345.710000000006</v>
      </c>
      <c r="S36" s="2">
        <v>83329.95</v>
      </c>
      <c r="T36" s="2">
        <v>88599.47</v>
      </c>
      <c r="U36" s="2">
        <v>100303.47</v>
      </c>
      <c r="V36" s="2">
        <v>121067.74</v>
      </c>
      <c r="W36" s="2">
        <v>117706.81</v>
      </c>
      <c r="X36" s="2">
        <v>95966.19</v>
      </c>
      <c r="Y36" s="2">
        <v>90536.88</v>
      </c>
      <c r="Z36" s="2">
        <v>110324.09</v>
      </c>
      <c r="AA36" s="2">
        <v>74758.5</v>
      </c>
      <c r="AB36" s="2">
        <v>86368.16</v>
      </c>
      <c r="AC36" s="2">
        <v>98747.47</v>
      </c>
      <c r="AD36" s="2">
        <v>92560.05</v>
      </c>
      <c r="AE36" s="2">
        <v>102102.6</v>
      </c>
      <c r="AF36" s="2">
        <v>107445.61</v>
      </c>
      <c r="AG36" s="2">
        <v>90007.47</v>
      </c>
      <c r="AH36" s="2">
        <v>84142.71</v>
      </c>
      <c r="AI36" s="24">
        <f>SUM(E36:AH36)</f>
        <v>2847482.38</v>
      </c>
      <c r="AJ36" s="26">
        <v>2486722.9961743304</v>
      </c>
      <c r="AK36" s="33">
        <f>$AJ36/$AI36*E36</f>
        <v>67488.664981499925</v>
      </c>
      <c r="AL36" s="33">
        <f>$AJ36/$AI36*F36</f>
        <v>93806.374029975457</v>
      </c>
      <c r="AM36" s="33">
        <f>$AJ36/$AI36*G36</f>
        <v>77696.867959293653</v>
      </c>
      <c r="AN36" s="33">
        <f>$AJ36/$AI36*H36</f>
        <v>94307.800045020165</v>
      </c>
      <c r="AO36" s="33">
        <f>$AJ36/$AI36*I36</f>
        <v>104752.72130422536</v>
      </c>
      <c r="AP36" s="33">
        <f>$AJ36/$AI36*J36</f>
        <v>78281.161965643361</v>
      </c>
      <c r="AQ36" s="33">
        <f>$AJ36/$AI36*K36</f>
        <v>63138.195868159171</v>
      </c>
      <c r="AR36" s="33">
        <f>$AJ36/$AI36*L36</f>
        <v>69869.148243581381</v>
      </c>
      <c r="AS36" s="33">
        <f>$AJ36/$AI36*M36</f>
        <v>81675.369915541567</v>
      </c>
      <c r="AT36" s="33">
        <f>$AJ36/$AI36*N36</f>
        <v>75031.529797814306</v>
      </c>
      <c r="AU36" s="33">
        <f>$AJ36/$AI36*O36</f>
        <v>96364.164577067495</v>
      </c>
      <c r="AV36" s="33">
        <f>$AJ36/$AI36*P36</f>
        <v>86804.958835424171</v>
      </c>
      <c r="AW36" s="33">
        <f>$AJ36/$AI36*Q36</f>
        <v>76364.194512024769</v>
      </c>
      <c r="AX36" s="33">
        <f>$AJ36/$AI36*R36</f>
        <v>72786.295411414234</v>
      </c>
      <c r="AY36" s="33">
        <f>$AJ36/$AI36*S36</f>
        <v>72772.532111351335</v>
      </c>
      <c r="AZ36" s="33">
        <f>$AJ36/$AI36*T36</f>
        <v>77374.434709533729</v>
      </c>
      <c r="BA36" s="33">
        <f>$AJ36/$AI36*U36</f>
        <v>87595.60627907452</v>
      </c>
      <c r="BB36" s="33">
        <f>$AJ36/$AI36*V36</f>
        <v>105729.1645656662</v>
      </c>
      <c r="BC36" s="33">
        <f>$AJ36/$AI36*W36</f>
        <v>102794.04476361418</v>
      </c>
      <c r="BD36" s="33">
        <f>$AJ36/$AI36*X36</f>
        <v>83807.83431862187</v>
      </c>
      <c r="BE36" s="33">
        <f>$AJ36/$AI36*Y36</f>
        <v>79066.386180017667</v>
      </c>
      <c r="BF36" s="33">
        <f>$AJ36/$AI36*Z36</f>
        <v>96346.672261061191</v>
      </c>
      <c r="BG36" s="33">
        <f>$AJ36/$AI36*AA36</f>
        <v>65287.034755768596</v>
      </c>
      <c r="BH36" s="33">
        <f>$AJ36/$AI36*AB36</f>
        <v>75425.818652217247</v>
      </c>
      <c r="BI36" s="33">
        <f>$AJ36/$AI36*AC36</f>
        <v>86236.742389617459</v>
      </c>
      <c r="BJ36" s="33">
        <f>$AJ36/$AI36*AD36</f>
        <v>80833.23235947323</v>
      </c>
      <c r="BK36" s="33">
        <f>$AJ36/$AI36*AE36</f>
        <v>89166.797017788471</v>
      </c>
      <c r="BL36" s="33">
        <f>$AJ36/$AI36*AF36</f>
        <v>93832.878862266603</v>
      </c>
      <c r="BM36" s="33">
        <f>$AJ36/$AI36*AG36</f>
        <v>78604.04933444089</v>
      </c>
      <c r="BN36" s="33">
        <f>$AJ36/$AI36*AH36</f>
        <v>73482.320167132275</v>
      </c>
    </row>
    <row r="37" spans="1:66" ht="24.75" x14ac:dyDescent="0.25">
      <c r="A37" s="1" t="s">
        <v>69</v>
      </c>
      <c r="B37" s="4">
        <v>35</v>
      </c>
      <c r="C37" s="4" t="s">
        <v>4</v>
      </c>
      <c r="D37" s="4" t="str">
        <f>A37&amp;C37</f>
        <v>MOMBASA ROADBAKERY</v>
      </c>
      <c r="E37" s="2">
        <v>47243.79</v>
      </c>
      <c r="F37" s="2">
        <v>56670.75</v>
      </c>
      <c r="G37" s="2">
        <v>51315.93</v>
      </c>
      <c r="H37" s="2">
        <v>55823.99</v>
      </c>
      <c r="I37" s="2">
        <v>58664.89</v>
      </c>
      <c r="J37" s="2">
        <v>59055.03</v>
      </c>
      <c r="K37" s="2">
        <v>52592.51</v>
      </c>
      <c r="L37" s="2">
        <v>54489.75</v>
      </c>
      <c r="M37" s="2">
        <v>53533.16</v>
      </c>
      <c r="N37" s="2">
        <v>52721.2</v>
      </c>
      <c r="O37" s="2">
        <v>49833.27</v>
      </c>
      <c r="P37" s="2">
        <v>55048.480000000003</v>
      </c>
      <c r="Q37" s="2">
        <v>52610.27</v>
      </c>
      <c r="R37" s="2">
        <v>55594.67</v>
      </c>
      <c r="S37" s="2">
        <v>46434.54</v>
      </c>
      <c r="T37" s="2">
        <v>45975.37</v>
      </c>
      <c r="U37" s="2">
        <v>47846.03</v>
      </c>
      <c r="V37" s="2">
        <v>47377.69</v>
      </c>
      <c r="W37" s="2">
        <v>51440.34</v>
      </c>
      <c r="X37" s="2">
        <v>58024.82</v>
      </c>
      <c r="Y37" s="2">
        <v>51593.89</v>
      </c>
      <c r="Z37" s="2">
        <v>50313.27</v>
      </c>
      <c r="AA37" s="2">
        <v>40125.51</v>
      </c>
      <c r="AB37" s="2">
        <v>51680.1</v>
      </c>
      <c r="AC37" s="2">
        <v>55546.13</v>
      </c>
      <c r="AD37" s="2">
        <v>53344.65</v>
      </c>
      <c r="AE37" s="2">
        <v>56935.96</v>
      </c>
      <c r="AF37" s="2">
        <v>61092.160000000003</v>
      </c>
      <c r="AG37" s="2">
        <v>59260.03</v>
      </c>
      <c r="AH37" s="2">
        <v>52552.72</v>
      </c>
      <c r="AI37" s="24">
        <f>SUM(E37:AH37)</f>
        <v>1584740.8999999997</v>
      </c>
      <c r="AJ37" s="26">
        <v>1378726.4225701585</v>
      </c>
      <c r="AK37" s="33">
        <f>$AJ37/$AI37*E37</f>
        <v>41102.152140678547</v>
      </c>
      <c r="AL37" s="33">
        <f>$AJ37/$AI37*F37</f>
        <v>49303.618283511096</v>
      </c>
      <c r="AM37" s="33">
        <f>$AJ37/$AI37*G37</f>
        <v>44644.918667626167</v>
      </c>
      <c r="AN37" s="33">
        <f>$AJ37/$AI37*H37</f>
        <v>48566.936100590523</v>
      </c>
      <c r="AO37" s="33">
        <f>$AJ37/$AI37*I37</f>
        <v>51038.522398312482</v>
      </c>
      <c r="AP37" s="33">
        <f>$AJ37/$AI37*J37</f>
        <v>51377.94465118771</v>
      </c>
      <c r="AQ37" s="33">
        <f>$AJ37/$AI37*K37</f>
        <v>45755.544749482586</v>
      </c>
      <c r="AR37" s="33">
        <f>$AJ37/$AI37*L37</f>
        <v>47406.145751802273</v>
      </c>
      <c r="AS37" s="33">
        <f>$AJ37/$AI37*M37</f>
        <v>46573.911341390842</v>
      </c>
      <c r="AT37" s="33">
        <f>$AJ37/$AI37*N37</f>
        <v>45867.505198866165</v>
      </c>
      <c r="AU37" s="33">
        <f>$AJ37/$AI37*O37</f>
        <v>43355.002746551698</v>
      </c>
      <c r="AV37" s="33">
        <f>$AJ37/$AI37*P37</f>
        <v>47892.241500377088</v>
      </c>
      <c r="AW37" s="33">
        <f>$AJ37/$AI37*Q37</f>
        <v>45770.995970098418</v>
      </c>
      <c r="AX37" s="33">
        <f>$AJ37/$AI37*R37</f>
        <v>48367.427434395446</v>
      </c>
      <c r="AY37" s="33">
        <f>$AJ37/$AI37*S37</f>
        <v>40398.103701299653</v>
      </c>
      <c r="AZ37" s="33">
        <f>$AJ37/$AI37*T37</f>
        <v>39998.625268294272</v>
      </c>
      <c r="BA37" s="33">
        <f>$AJ37/$AI37*U37</f>
        <v>41626.101639759843</v>
      </c>
      <c r="BB37" s="33">
        <f>$AJ37/$AI37*V37</f>
        <v>41218.645296109913</v>
      </c>
      <c r="BC37" s="33">
        <f>$AJ37/$AI37*W37</f>
        <v>44753.155512041521</v>
      </c>
      <c r="BD37" s="33">
        <f>$AJ37/$AI37*X37</f>
        <v>50481.660755318044</v>
      </c>
      <c r="BE37" s="33">
        <f>$AJ37/$AI37*Y37</f>
        <v>44886.744190282647</v>
      </c>
      <c r="BF37" s="33">
        <f>$AJ37/$AI37*Z37</f>
        <v>43772.603303736585</v>
      </c>
      <c r="BG37" s="33">
        <f>$AJ37/$AI37*AA37</f>
        <v>34909.240277765995</v>
      </c>
      <c r="BH37" s="33">
        <f>$AJ37/$AI37*AB37</f>
        <v>44961.746990355372</v>
      </c>
      <c r="BI37" s="33">
        <f>$AJ37/$AI37*AC37</f>
        <v>48325.197578050123</v>
      </c>
      <c r="BJ37" s="33">
        <f>$AJ37/$AI37*AD37</f>
        <v>46409.907422568082</v>
      </c>
      <c r="BK37" s="33">
        <f>$AJ37/$AI37*AE37</f>
        <v>49534.351291367348</v>
      </c>
      <c r="BL37" s="33">
        <f>$AJ37/$AI37*AF37</f>
        <v>53150.250115891977</v>
      </c>
      <c r="BM37" s="33">
        <f>$AJ37/$AI37*AG37</f>
        <v>51556.294889152094</v>
      </c>
      <c r="BN37" s="33">
        <f>$AJ37/$AI37*AH37</f>
        <v>45720.927403294278</v>
      </c>
    </row>
    <row r="38" spans="1:66" x14ac:dyDescent="0.25">
      <c r="A38" s="1" t="s">
        <v>37</v>
      </c>
      <c r="B38" s="4">
        <v>36</v>
      </c>
      <c r="C38" s="4" t="s">
        <v>4</v>
      </c>
      <c r="D38" s="4" t="str">
        <f>A38&amp;C38</f>
        <v>PIONEERBAKERY</v>
      </c>
      <c r="E38" s="2">
        <v>93849.36</v>
      </c>
      <c r="F38" s="2">
        <v>89970.84</v>
      </c>
      <c r="G38" s="2">
        <v>101190.02</v>
      </c>
      <c r="H38" s="2">
        <v>115612.29</v>
      </c>
      <c r="I38" s="2">
        <v>82699.570000000007</v>
      </c>
      <c r="J38" s="2">
        <v>63773.54</v>
      </c>
      <c r="K38" s="2">
        <v>93132.71</v>
      </c>
      <c r="L38" s="2">
        <v>82225.08</v>
      </c>
      <c r="M38" s="2">
        <v>87677.26</v>
      </c>
      <c r="N38" s="2">
        <v>83349.259999999995</v>
      </c>
      <c r="O38" s="2">
        <v>113160.47</v>
      </c>
      <c r="P38" s="2">
        <v>80486.95</v>
      </c>
      <c r="Q38" s="2">
        <v>56243.78</v>
      </c>
      <c r="R38" s="2">
        <v>85163.08</v>
      </c>
      <c r="S38" s="2">
        <v>89291.46</v>
      </c>
      <c r="T38" s="2">
        <v>77447.16</v>
      </c>
      <c r="U38" s="2">
        <v>88904.78</v>
      </c>
      <c r="V38" s="2">
        <v>92777.95</v>
      </c>
      <c r="W38" s="2">
        <v>76293.78</v>
      </c>
      <c r="X38" s="2">
        <v>65063.09</v>
      </c>
      <c r="Y38" s="2">
        <v>83188.289999999994</v>
      </c>
      <c r="Z38" s="2">
        <v>96189.18</v>
      </c>
      <c r="AA38" s="2">
        <v>87302.36</v>
      </c>
      <c r="AB38" s="2">
        <v>87664.33</v>
      </c>
      <c r="AC38" s="2">
        <v>86266.05</v>
      </c>
      <c r="AD38" s="2">
        <v>78532.570000000007</v>
      </c>
      <c r="AE38" s="2">
        <v>53112.54</v>
      </c>
      <c r="AF38" s="2">
        <v>86050.78</v>
      </c>
      <c r="AG38" s="2">
        <v>61177.13</v>
      </c>
      <c r="AH38" s="2">
        <v>94805.98</v>
      </c>
      <c r="AI38" s="24">
        <f>SUM(E38:AH38)</f>
        <v>2532601.6399999997</v>
      </c>
      <c r="AJ38" s="26">
        <v>2338093.9737157621</v>
      </c>
      <c r="AK38" s="33">
        <f>$AJ38/$AI38*E38</f>
        <v>86641.586101587265</v>
      </c>
      <c r="AL38" s="33">
        <f>$AJ38/$AI38*F38</f>
        <v>83060.94234944311</v>
      </c>
      <c r="AM38" s="33">
        <f>$AJ38/$AI38*G38</f>
        <v>93418.472224545141</v>
      </c>
      <c r="AN38" s="33">
        <f>$AJ38/$AI38*H38</f>
        <v>106733.0899053193</v>
      </c>
      <c r="AO38" s="33">
        <f>$AJ38/$AI38*I38</f>
        <v>76348.11696871715</v>
      </c>
      <c r="AP38" s="33">
        <f>$AJ38/$AI38*J38</f>
        <v>58875.634920824392</v>
      </c>
      <c r="AQ38" s="33">
        <f>$AJ38/$AI38*K38</f>
        <v>85979.975913945062</v>
      </c>
      <c r="AR38" s="33">
        <f>$AJ38/$AI38*L38</f>
        <v>75910.068523961178</v>
      </c>
      <c r="AS38" s="33">
        <f>$AJ38/$AI38*M38</f>
        <v>80943.512789445274</v>
      </c>
      <c r="AT38" s="33">
        <f>$AJ38/$AI38*N38</f>
        <v>76947.909786423508</v>
      </c>
      <c r="AU38" s="33">
        <f>$AJ38/$AI38*O38</f>
        <v>104469.57341851968</v>
      </c>
      <c r="AV38" s="33">
        <f>$AJ38/$AI38*P38</f>
        <v>74305.429557315569</v>
      </c>
      <c r="AW38" s="33">
        <f>$AJ38/$AI38*Q38</f>
        <v>51924.171966103255</v>
      </c>
      <c r="AX38" s="33">
        <f>$AJ38/$AI38*R38</f>
        <v>78622.425645698226</v>
      </c>
      <c r="AY38" s="33">
        <f>$AJ38/$AI38*S38</f>
        <v>82433.739768991887</v>
      </c>
      <c r="AZ38" s="33">
        <f>$AJ38/$AI38*T38</f>
        <v>71499.100062732512</v>
      </c>
      <c r="BA38" s="33">
        <f>$AJ38/$AI38*U38</f>
        <v>82076.757382391035</v>
      </c>
      <c r="BB38" s="33">
        <f>$AJ38/$AI38*V38</f>
        <v>85652.462022689957</v>
      </c>
      <c r="BC38" s="33">
        <f>$AJ38/$AI38*W38</f>
        <v>70434.301404778438</v>
      </c>
      <c r="BD38" s="33">
        <f>$AJ38/$AI38*X38</f>
        <v>60066.145515220574</v>
      </c>
      <c r="BE38" s="33">
        <f>$AJ38/$AI38*Y38</f>
        <v>76799.302527782944</v>
      </c>
      <c r="BF38" s="33">
        <f>$AJ38/$AI38*Z38</f>
        <v>88801.704359103518</v>
      </c>
      <c r="BG38" s="33">
        <f>$AJ38/$AI38*AA38</f>
        <v>80597.405680888696</v>
      </c>
      <c r="BH38" s="33">
        <f>$AJ38/$AI38*AB38</f>
        <v>80931.575833153896</v>
      </c>
      <c r="BI38" s="33">
        <f>$AJ38/$AI38*AC38</f>
        <v>79640.685868490022</v>
      </c>
      <c r="BJ38" s="33">
        <f>$AJ38/$AI38*AD38</f>
        <v>72501.148920290245</v>
      </c>
      <c r="BK38" s="33">
        <f>$AJ38/$AI38*AE38</f>
        <v>49033.415970913367</v>
      </c>
      <c r="BL38" s="33">
        <f>$AJ38/$AI38*AF38</f>
        <v>79441.94893261652</v>
      </c>
      <c r="BM38" s="33">
        <f>$AJ38/$AI38*AG38</f>
        <v>56478.633166416876</v>
      </c>
      <c r="BN38" s="33">
        <f>$AJ38/$AI38*AH38</f>
        <v>87524.736227453875</v>
      </c>
    </row>
    <row r="39" spans="1:66" ht="24.75" x14ac:dyDescent="0.25">
      <c r="A39" s="1" t="s">
        <v>81</v>
      </c>
      <c r="B39" s="4">
        <v>37</v>
      </c>
      <c r="C39" s="4" t="s">
        <v>4</v>
      </c>
      <c r="D39" s="4" t="str">
        <f>A39&amp;C39</f>
        <v>MTWAPA EXPRESSBAKERY</v>
      </c>
      <c r="E39" s="2">
        <v>78537.990000000005</v>
      </c>
      <c r="F39" s="2">
        <v>85107.95</v>
      </c>
      <c r="G39" s="2">
        <v>74344.679999999993</v>
      </c>
      <c r="H39" s="2">
        <v>83622.960000000006</v>
      </c>
      <c r="I39" s="2">
        <v>86280.99</v>
      </c>
      <c r="J39" s="2">
        <v>96172.19</v>
      </c>
      <c r="K39" s="2">
        <v>71048.850000000006</v>
      </c>
      <c r="L39" s="2">
        <v>70391.33</v>
      </c>
      <c r="M39" s="2">
        <v>60774.37</v>
      </c>
      <c r="N39" s="2">
        <v>79673.850000000006</v>
      </c>
      <c r="O39" s="2">
        <v>78240.539999999994</v>
      </c>
      <c r="P39" s="2">
        <v>82048.679999999993</v>
      </c>
      <c r="Q39" s="2">
        <v>87879.81</v>
      </c>
      <c r="R39" s="2">
        <v>77919.61</v>
      </c>
      <c r="S39" s="2">
        <v>66141.23</v>
      </c>
      <c r="T39" s="2">
        <v>70326.02</v>
      </c>
      <c r="U39" s="2">
        <v>72894.47</v>
      </c>
      <c r="V39" s="2">
        <v>71024.75</v>
      </c>
      <c r="W39" s="2">
        <v>68070.509999999995</v>
      </c>
      <c r="X39" s="2">
        <v>92060.85</v>
      </c>
      <c r="Y39" s="2">
        <v>71772.37</v>
      </c>
      <c r="Z39" s="2">
        <v>75161.03</v>
      </c>
      <c r="AA39" s="2">
        <v>60330.61</v>
      </c>
      <c r="AB39" s="2">
        <v>59955.78</v>
      </c>
      <c r="AC39" s="2">
        <v>65079.79</v>
      </c>
      <c r="AD39" s="2">
        <v>76893.440000000002</v>
      </c>
      <c r="AE39" s="2">
        <v>85727.92</v>
      </c>
      <c r="AF39" s="2">
        <v>87512.58</v>
      </c>
      <c r="AG39" s="2">
        <v>96168.4</v>
      </c>
      <c r="AH39" s="2">
        <v>70070.78</v>
      </c>
      <c r="AI39" s="24">
        <f>SUM(E39:AH39)</f>
        <v>2301234.3299999996</v>
      </c>
      <c r="AJ39" s="26">
        <v>1869166.5616945222</v>
      </c>
      <c r="AK39" s="33">
        <f>$AJ39/$AI39*E39</f>
        <v>63792.106182727941</v>
      </c>
      <c r="AL39" s="33">
        <f>$AJ39/$AI39*F39</f>
        <v>69128.524722803573</v>
      </c>
      <c r="AM39" s="33">
        <f>$AJ39/$AI39*G39</f>
        <v>60386.11022106537</v>
      </c>
      <c r="AN39" s="33">
        <f>$AJ39/$AI39*H39</f>
        <v>67922.348708364094</v>
      </c>
      <c r="AO39" s="33">
        <f>$AJ39/$AI39*I39</f>
        <v>70081.320843974841</v>
      </c>
      <c r="AP39" s="33">
        <f>$AJ39/$AI39*J39</f>
        <v>78115.400665403911</v>
      </c>
      <c r="AQ39" s="33">
        <f>$AJ39/$AI39*K39</f>
        <v>57709.088090498757</v>
      </c>
      <c r="AR39" s="33">
        <f>$AJ39/$AI39*L39</f>
        <v>57175.020620001131</v>
      </c>
      <c r="AS39" s="33">
        <f>$AJ39/$AI39*M39</f>
        <v>49363.690924970142</v>
      </c>
      <c r="AT39" s="33">
        <f>$AJ39/$AI39*N39</f>
        <v>64714.703026990363</v>
      </c>
      <c r="AU39" s="33">
        <f>$AJ39/$AI39*O39</f>
        <v>63550.5038450051</v>
      </c>
      <c r="AV39" s="33">
        <f>$AJ39/$AI39*P39</f>
        <v>66643.64731912117</v>
      </c>
      <c r="AW39" s="33">
        <f>$AJ39/$AI39*Q39</f>
        <v>71379.95473067183</v>
      </c>
      <c r="AX39" s="33">
        <f>$AJ39/$AI39*R39</f>
        <v>63289.829989750819</v>
      </c>
      <c r="AY39" s="33">
        <f>$AJ39/$AI39*S39</f>
        <v>53722.897252861076</v>
      </c>
      <c r="AZ39" s="33">
        <f>$AJ39/$AI39*T39</f>
        <v>57121.972885334202</v>
      </c>
      <c r="BA39" s="33">
        <f>$AJ39/$AI39*U39</f>
        <v>59208.18409503065</v>
      </c>
      <c r="BB39" s="33">
        <f>$AJ39/$AI39*V39</f>
        <v>57689.512980937077</v>
      </c>
      <c r="BC39" s="33">
        <f>$AJ39/$AI39*W39</f>
        <v>55289.945691663917</v>
      </c>
      <c r="BD39" s="33">
        <f>$AJ39/$AI39*X39</f>
        <v>74775.984443607347</v>
      </c>
      <c r="BE39" s="33">
        <f>$AJ39/$AI39*Y39</f>
        <v>58296.763744858217</v>
      </c>
      <c r="BF39" s="33">
        <f>$AJ39/$AI39*Z39</f>
        <v>61049.186598271743</v>
      </c>
      <c r="BG39" s="33">
        <f>$AJ39/$AI39*AA39</f>
        <v>49003.248990568107</v>
      </c>
      <c r="BH39" s="33">
        <f>$AJ39/$AI39*AB39</f>
        <v>48698.795118493304</v>
      </c>
      <c r="BI39" s="33">
        <f>$AJ39/$AI39*AC39</f>
        <v>52860.747697128943</v>
      </c>
      <c r="BJ39" s="33">
        <f>$AJ39/$AI39*AD39</f>
        <v>62456.328322576373</v>
      </c>
      <c r="BK39" s="33">
        <f>$AJ39/$AI39*AE39</f>
        <v>69632.09238566464</v>
      </c>
      <c r="BL39" s="33">
        <f>$AJ39/$AI39*AF39</f>
        <v>71081.673922193237</v>
      </c>
      <c r="BM39" s="33">
        <f>$AJ39/$AI39*AG39</f>
        <v>78112.322256057902</v>
      </c>
      <c r="BN39" s="33">
        <f>$AJ39/$AI39*AH39</f>
        <v>56914.655417926653</v>
      </c>
    </row>
    <row r="40" spans="1:66" x14ac:dyDescent="0.25">
      <c r="A40" s="1" t="s">
        <v>38</v>
      </c>
      <c r="B40" s="4">
        <v>38</v>
      </c>
      <c r="C40" s="4" t="s">
        <v>4</v>
      </c>
      <c r="D40" s="4" t="str">
        <f>A40&amp;C40</f>
        <v>ELDORETBAKERY</v>
      </c>
      <c r="E40" s="2">
        <v>94628.02</v>
      </c>
      <c r="F40" s="2">
        <v>81370.600000000006</v>
      </c>
      <c r="G40" s="2">
        <v>97669.119999999995</v>
      </c>
      <c r="H40" s="2">
        <v>118598.29</v>
      </c>
      <c r="I40" s="2">
        <v>98147.5</v>
      </c>
      <c r="J40" s="2">
        <v>82020.13</v>
      </c>
      <c r="K40" s="2">
        <v>116973.43</v>
      </c>
      <c r="L40" s="2">
        <v>103544.33</v>
      </c>
      <c r="M40" s="2">
        <v>114187.46</v>
      </c>
      <c r="N40" s="2">
        <v>90549.54</v>
      </c>
      <c r="O40" s="2">
        <v>132643.88</v>
      </c>
      <c r="P40" s="2">
        <v>112598.36</v>
      </c>
      <c r="Q40" s="2">
        <v>83543.37</v>
      </c>
      <c r="R40" s="2">
        <v>113246.39999999999</v>
      </c>
      <c r="S40" s="2">
        <v>93657.75</v>
      </c>
      <c r="T40" s="2">
        <v>88242.4</v>
      </c>
      <c r="U40" s="2">
        <v>99350.67</v>
      </c>
      <c r="V40" s="2">
        <v>122465.85</v>
      </c>
      <c r="W40" s="2">
        <v>114476.33</v>
      </c>
      <c r="X40" s="2">
        <v>90894.33</v>
      </c>
      <c r="Y40" s="2">
        <v>113814.78</v>
      </c>
      <c r="Z40" s="2">
        <v>113045.33</v>
      </c>
      <c r="AA40" s="2">
        <v>101465.4</v>
      </c>
      <c r="AB40" s="2">
        <v>84389.19</v>
      </c>
      <c r="AC40" s="2">
        <v>104847.57</v>
      </c>
      <c r="AD40" s="2">
        <v>106335.16</v>
      </c>
      <c r="AE40" s="2">
        <v>84983.4</v>
      </c>
      <c r="AF40" s="2">
        <v>115827.75</v>
      </c>
      <c r="AG40" s="2">
        <v>88741.27</v>
      </c>
      <c r="AH40" s="2">
        <v>95694.64</v>
      </c>
      <c r="AI40" s="24">
        <f>SUM(E40:AH40)</f>
        <v>3057952.2499999995</v>
      </c>
      <c r="AJ40" s="26">
        <v>2682069.2035822603</v>
      </c>
      <c r="AK40" s="33">
        <f>$AJ40/$AI40*E40</f>
        <v>82996.357525846339</v>
      </c>
      <c r="AL40" s="33">
        <f>$AJ40/$AI40*F40</f>
        <v>71368.537666672433</v>
      </c>
      <c r="AM40" s="33">
        <f>$AJ40/$AI40*G40</f>
        <v>85663.645955550892</v>
      </c>
      <c r="AN40" s="33">
        <f>$AJ40/$AI40*H40</f>
        <v>104020.20541900808</v>
      </c>
      <c r="AO40" s="33">
        <f>$AJ40/$AI40*I40</f>
        <v>86083.223555433186</v>
      </c>
      <c r="AP40" s="33">
        <f>$AJ40/$AI40*J40</f>
        <v>71938.227533413417</v>
      </c>
      <c r="AQ40" s="33">
        <f>$AJ40/$AI40*K40</f>
        <v>102595.07297420531</v>
      </c>
      <c r="AR40" s="33">
        <f>$AJ40/$AI40*L40</f>
        <v>90816.675995695739</v>
      </c>
      <c r="AS40" s="33">
        <f>$AJ40/$AI40*M40</f>
        <v>100151.55400195712</v>
      </c>
      <c r="AT40" s="33">
        <f>$AJ40/$AI40*N40</f>
        <v>79419.203695067525</v>
      </c>
      <c r="AU40" s="33">
        <f>$AJ40/$AI40*O40</f>
        <v>116339.31353625975</v>
      </c>
      <c r="AV40" s="33">
        <f>$AJ40/$AI40*P40</f>
        <v>98757.785943148279</v>
      </c>
      <c r="AW40" s="33">
        <f>$AJ40/$AI40*Q40</f>
        <v>73274.23109385639</v>
      </c>
      <c r="AX40" s="33">
        <f>$AJ40/$AI40*R40</f>
        <v>99326.168960472845</v>
      </c>
      <c r="AY40" s="33">
        <f>$AJ40/$AI40*S40</f>
        <v>82145.352973319474</v>
      </c>
      <c r="AZ40" s="33">
        <f>$AJ40/$AI40*T40</f>
        <v>77395.657008766982</v>
      </c>
      <c r="BA40" s="33">
        <f>$AJ40/$AI40*U40</f>
        <v>87138.500073787611</v>
      </c>
      <c r="BB40" s="33">
        <f>$AJ40/$AI40*V40</f>
        <v>107412.36550555183</v>
      </c>
      <c r="BC40" s="33">
        <f>$AJ40/$AI40*W40</f>
        <v>100404.91614351403</v>
      </c>
      <c r="BD40" s="33">
        <f>$AJ40/$AI40*X40</f>
        <v>79721.612158346543</v>
      </c>
      <c r="BE40" s="33">
        <f>$AJ40/$AI40*Y40</f>
        <v>99824.683773427198</v>
      </c>
      <c r="BF40" s="33">
        <f>$AJ40/$AI40*Z40</f>
        <v>99149.814455668442</v>
      </c>
      <c r="BG40" s="33">
        <f>$AJ40/$AI40*AA40</f>
        <v>88993.28776934155</v>
      </c>
      <c r="BH40" s="33">
        <f>$AJ40/$AI40*AB40</f>
        <v>74016.083022307517</v>
      </c>
      <c r="BI40" s="33">
        <f>$AJ40/$AI40*AC40</f>
        <v>91959.721924184836</v>
      </c>
      <c r="BJ40" s="33">
        <f>$AJ40/$AI40*AD40</f>
        <v>93264.457577449837</v>
      </c>
      <c r="BK40" s="33">
        <f>$AJ40/$AI40*AE40</f>
        <v>74537.252815413536</v>
      </c>
      <c r="BL40" s="33">
        <f>$AJ40/$AI40*AF40</f>
        <v>101590.21979340102</v>
      </c>
      <c r="BM40" s="33">
        <f>$AJ40/$AI40*AG40</f>
        <v>77833.205980825354</v>
      </c>
      <c r="BN40" s="33">
        <f>$AJ40/$AI40*AH40</f>
        <v>83931.868750367546</v>
      </c>
    </row>
    <row r="41" spans="1:66" x14ac:dyDescent="0.25">
      <c r="A41" s="1" t="s">
        <v>36</v>
      </c>
      <c r="B41" s="4">
        <v>39</v>
      </c>
      <c r="C41" s="4" t="s">
        <v>4</v>
      </c>
      <c r="D41" s="4" t="str">
        <f>A41&amp;C41</f>
        <v>KAKAMEGABAKERY</v>
      </c>
      <c r="E41" s="2">
        <v>94295.5</v>
      </c>
      <c r="F41" s="2">
        <v>107815.95</v>
      </c>
      <c r="G41" s="2">
        <v>110918.92</v>
      </c>
      <c r="H41" s="2">
        <v>117003.08</v>
      </c>
      <c r="I41" s="2">
        <v>83521.259999999995</v>
      </c>
      <c r="J41" s="2">
        <v>67900.06</v>
      </c>
      <c r="K41" s="2">
        <v>108505.29</v>
      </c>
      <c r="L41" s="2">
        <v>105224.09</v>
      </c>
      <c r="M41" s="2">
        <v>95929.85</v>
      </c>
      <c r="N41" s="2">
        <v>92567.679999999993</v>
      </c>
      <c r="O41" s="2">
        <v>123024.78</v>
      </c>
      <c r="P41" s="2">
        <v>109386.5</v>
      </c>
      <c r="Q41" s="2">
        <v>80492.160000000003</v>
      </c>
      <c r="R41" s="2">
        <v>86460.74</v>
      </c>
      <c r="S41" s="2">
        <v>105573.12</v>
      </c>
      <c r="T41" s="2">
        <v>93545.85</v>
      </c>
      <c r="U41" s="2">
        <v>108211.78</v>
      </c>
      <c r="V41" s="2">
        <v>128140.47</v>
      </c>
      <c r="W41" s="2">
        <v>133412.88</v>
      </c>
      <c r="X41" s="2">
        <v>99766.12</v>
      </c>
      <c r="Y41" s="2">
        <v>115646.81</v>
      </c>
      <c r="Z41" s="2">
        <v>115431.67</v>
      </c>
      <c r="AA41" s="2">
        <v>105352.12</v>
      </c>
      <c r="AB41" s="2">
        <v>87845.64</v>
      </c>
      <c r="AC41" s="2">
        <v>111246.64</v>
      </c>
      <c r="AD41" s="2">
        <v>111668.78</v>
      </c>
      <c r="AE41" s="2">
        <v>81485.88</v>
      </c>
      <c r="AF41" s="2">
        <v>126068.54</v>
      </c>
      <c r="AG41" s="2">
        <v>78122.89</v>
      </c>
      <c r="AH41" s="2">
        <v>106136.81</v>
      </c>
      <c r="AI41" s="24">
        <f>SUM(E41:AH41)</f>
        <v>3090701.8600000003</v>
      </c>
      <c r="AJ41" s="26">
        <v>2615797.1262983731</v>
      </c>
      <c r="AK41" s="33">
        <f>$AJ41/$AI41*E41</f>
        <v>79806.43526802944</v>
      </c>
      <c r="AL41" s="33">
        <f>$AJ41/$AI41*F41</f>
        <v>91249.387664693422</v>
      </c>
      <c r="AM41" s="33">
        <f>$AJ41/$AI41*G41</f>
        <v>93875.567858272523</v>
      </c>
      <c r="AN41" s="33">
        <f>$AJ41/$AI41*H41</f>
        <v>99024.860467149236</v>
      </c>
      <c r="AO41" s="33">
        <f>$AJ41/$AI41*I41</f>
        <v>70687.721362040145</v>
      </c>
      <c r="AP41" s="33">
        <f>$AJ41/$AI41*J41</f>
        <v>57466.811704538552</v>
      </c>
      <c r="AQ41" s="33">
        <f>$AJ41/$AI41*K41</f>
        <v>91832.806471398551</v>
      </c>
      <c r="AR41" s="33">
        <f>$AJ41/$AI41*L41</f>
        <v>89055.78237797461</v>
      </c>
      <c r="AS41" s="33">
        <f>$AJ41/$AI41*M41</f>
        <v>81189.657664435465</v>
      </c>
      <c r="AT41" s="33">
        <f>$AJ41/$AI41*N41</f>
        <v>78344.105093367805</v>
      </c>
      <c r="AU41" s="33">
        <f>$AJ41/$AI41*O41</f>
        <v>104121.29042672836</v>
      </c>
      <c r="AV41" s="33">
        <f>$AJ41/$AI41*P41</f>
        <v>92578.613310776258</v>
      </c>
      <c r="AW41" s="33">
        <f>$AJ41/$AI41*Q41</f>
        <v>68124.060603357211</v>
      </c>
      <c r="AX41" s="33">
        <f>$AJ41/$AI41*R41</f>
        <v>73175.532767055949</v>
      </c>
      <c r="AY41" s="33">
        <f>$AJ41/$AI41*S41</f>
        <v>89351.181841380603</v>
      </c>
      <c r="AZ41" s="33">
        <f>$AJ41/$AI41*T41</f>
        <v>79171.973451731974</v>
      </c>
      <c r="BA41" s="33">
        <f>$AJ41/$AI41*U41</f>
        <v>91584.396029590425</v>
      </c>
      <c r="BB41" s="33">
        <f>$AJ41/$AI41*V41</f>
        <v>108450.92421451575</v>
      </c>
      <c r="BC41" s="33">
        <f>$AJ41/$AI41*W41</f>
        <v>112913.19704165502</v>
      </c>
      <c r="BD41" s="33">
        <f>$AJ41/$AI41*X41</f>
        <v>84436.461949111646</v>
      </c>
      <c r="BE41" s="33">
        <f>$AJ41/$AI41*Y41</f>
        <v>97876.989423876003</v>
      </c>
      <c r="BF41" s="33">
        <f>$AJ41/$AI41*Z41</f>
        <v>97694.906965184302</v>
      </c>
      <c r="BG41" s="33">
        <f>$AJ41/$AI41*AA41</f>
        <v>89164.139806562031</v>
      </c>
      <c r="BH41" s="33">
        <f>$AJ41/$AI41*AB41</f>
        <v>74347.634640450691</v>
      </c>
      <c r="BI41" s="33">
        <f>$AJ41/$AI41*AC41</f>
        <v>94152.93172999534</v>
      </c>
      <c r="BJ41" s="33">
        <f>$AJ41/$AI41*AD41</f>
        <v>94510.207406820278</v>
      </c>
      <c r="BK41" s="33">
        <f>$AJ41/$AI41*AE41</f>
        <v>68965.08961168259</v>
      </c>
      <c r="BL41" s="33">
        <f>$AJ41/$AI41*AF41</f>
        <v>106697.35858916894</v>
      </c>
      <c r="BM41" s="33">
        <f>$AJ41/$AI41*AG41</f>
        <v>66118.843038494786</v>
      </c>
      <c r="BN41" s="33">
        <f>$AJ41/$AI41*AH41</f>
        <v>89828.257518334809</v>
      </c>
    </row>
    <row r="42" spans="1:66" x14ac:dyDescent="0.25">
      <c r="A42" s="1" t="s">
        <v>39</v>
      </c>
      <c r="B42" s="4">
        <v>40</v>
      </c>
      <c r="C42" s="4" t="s">
        <v>4</v>
      </c>
      <c r="D42" s="4" t="str">
        <f>A42&amp;C42</f>
        <v>CHANIABAKERY</v>
      </c>
      <c r="E42" s="2">
        <v>65793.850000000006</v>
      </c>
      <c r="F42" s="2">
        <v>69924.75</v>
      </c>
      <c r="G42" s="2">
        <v>70095.399999999994</v>
      </c>
      <c r="H42" s="2">
        <v>81736.95</v>
      </c>
      <c r="I42" s="2">
        <v>99849.5</v>
      </c>
      <c r="J42" s="2">
        <v>86381.3</v>
      </c>
      <c r="K42" s="2">
        <v>69747.570000000007</v>
      </c>
      <c r="L42" s="2">
        <v>60103.68</v>
      </c>
      <c r="M42" s="2">
        <v>76141.919999999998</v>
      </c>
      <c r="N42" s="2">
        <v>64155.4</v>
      </c>
      <c r="O42" s="2">
        <v>71730.649999999994</v>
      </c>
      <c r="P42" s="2">
        <v>91256.34</v>
      </c>
      <c r="Q42" s="2">
        <v>70319.990000000005</v>
      </c>
      <c r="R42" s="2">
        <v>60282.720000000001</v>
      </c>
      <c r="S42" s="2">
        <v>54334.720000000001</v>
      </c>
      <c r="T42" s="2">
        <v>59762.3</v>
      </c>
      <c r="U42" s="2">
        <v>63195.75</v>
      </c>
      <c r="V42" s="2">
        <v>83391.92</v>
      </c>
      <c r="W42" s="2">
        <v>70415.960000000006</v>
      </c>
      <c r="X42" s="2">
        <v>94800.2</v>
      </c>
      <c r="Y42" s="2">
        <v>71152.44</v>
      </c>
      <c r="Z42" s="2">
        <v>58621.78</v>
      </c>
      <c r="AA42" s="2">
        <v>54373.03</v>
      </c>
      <c r="AB42" s="2">
        <v>54390.69</v>
      </c>
      <c r="AC42" s="2">
        <v>63228.41</v>
      </c>
      <c r="AD42" s="2">
        <v>79517.850000000006</v>
      </c>
      <c r="AE42" s="2">
        <v>75300.850000000006</v>
      </c>
      <c r="AF42" s="2">
        <v>99552.61</v>
      </c>
      <c r="AG42" s="2">
        <v>96858.13</v>
      </c>
      <c r="AH42" s="2">
        <v>70943.75</v>
      </c>
      <c r="AI42" s="24">
        <f>SUM(E42:AH42)</f>
        <v>2187360.41</v>
      </c>
      <c r="AJ42" s="26">
        <v>1839159.2470397318</v>
      </c>
      <c r="AK42" s="33">
        <f>$AJ42/$AI42*E42</f>
        <v>55320.269614756842</v>
      </c>
      <c r="AL42" s="33">
        <f>$AJ42/$AI42*F42</f>
        <v>58793.580596734617</v>
      </c>
      <c r="AM42" s="33">
        <f>$AJ42/$AI42*G42</f>
        <v>58937.06519308759</v>
      </c>
      <c r="AN42" s="33">
        <f>$AJ42/$AI42*H42</f>
        <v>68725.422079539319</v>
      </c>
      <c r="AO42" s="33">
        <f>$AJ42/$AI42*I42</f>
        <v>83954.674500711888</v>
      </c>
      <c r="AP42" s="33">
        <f>$AJ42/$AI42*J42</f>
        <v>72630.448068827027</v>
      </c>
      <c r="AQ42" s="33">
        <f>$AJ42/$AI42*K42</f>
        <v>58644.605496929056</v>
      </c>
      <c r="AR42" s="33">
        <f>$AJ42/$AI42*L42</f>
        <v>50535.905444643657</v>
      </c>
      <c r="AS42" s="33">
        <f>$AJ42/$AI42*M42</f>
        <v>64021.052779024874</v>
      </c>
      <c r="AT42" s="33">
        <f>$AJ42/$AI42*N42</f>
        <v>53942.640919213125</v>
      </c>
      <c r="AU42" s="33">
        <f>$AJ42/$AI42*O42</f>
        <v>60312.003289695873</v>
      </c>
      <c r="AV42" s="33">
        <f>$AJ42/$AI42*P42</f>
        <v>76729.441016993514</v>
      </c>
      <c r="AW42" s="33">
        <f>$AJ42/$AI42*Q42</f>
        <v>59125.903197745756</v>
      </c>
      <c r="AX42" s="33">
        <f>$AJ42/$AI42*R42</f>
        <v>50686.44445508044</v>
      </c>
      <c r="AY42" s="33">
        <f>$AJ42/$AI42*S42</f>
        <v>45685.293683867421</v>
      </c>
      <c r="AZ42" s="33">
        <f>$AJ42/$AI42*T42</f>
        <v>50248.86898696432</v>
      </c>
      <c r="BA42" s="33">
        <f>$AJ42/$AI42*U42</f>
        <v>53135.755522845509</v>
      </c>
      <c r="BB42" s="33">
        <f>$AJ42/$AI42*V42</f>
        <v>70116.94099208714</v>
      </c>
      <c r="BC42" s="33">
        <f>$AJ42/$AI42*W42</f>
        <v>59206.59594144336</v>
      </c>
      <c r="BD42" s="33">
        <f>$AJ42/$AI42*X42</f>
        <v>79709.161624268381</v>
      </c>
      <c r="BE42" s="33">
        <f>$AJ42/$AI42*Y42</f>
        <v>59825.837286430404</v>
      </c>
      <c r="BF42" s="33">
        <f>$AJ42/$AI42*Z42</f>
        <v>49289.905893893731</v>
      </c>
      <c r="BG42" s="33">
        <f>$AJ42/$AI42*AA42</f>
        <v>45717.505197997409</v>
      </c>
      <c r="BH42" s="33">
        <f>$AJ42/$AI42*AB42</f>
        <v>45732.353940872265</v>
      </c>
      <c r="BI42" s="33">
        <f>$AJ42/$AI42*AC42</f>
        <v>53163.216448230152</v>
      </c>
      <c r="BJ42" s="33">
        <f>$AJ42/$AI42*AD42</f>
        <v>66859.575799041893</v>
      </c>
      <c r="BK42" s="33">
        <f>$AJ42/$AI42*AE42</f>
        <v>63313.870889457939</v>
      </c>
      <c r="BL42" s="33">
        <f>$AJ42/$AI42*AF42</f>
        <v>83705.045776356565</v>
      </c>
      <c r="BM42" s="33">
        <f>$AJ42/$AI42*AG42</f>
        <v>81439.494207759053</v>
      </c>
      <c r="BN42" s="33">
        <f>$AJ42/$AI42*AH42</f>
        <v>59650.368195232608</v>
      </c>
    </row>
    <row r="43" spans="1:66" x14ac:dyDescent="0.25">
      <c r="A43" s="1" t="s">
        <v>40</v>
      </c>
      <c r="B43" s="4">
        <v>41</v>
      </c>
      <c r="C43" s="4" t="s">
        <v>4</v>
      </c>
      <c r="D43" s="4" t="str">
        <f>A43&amp;C43</f>
        <v>OTCBAKERY</v>
      </c>
      <c r="E43" s="2">
        <v>228983.43</v>
      </c>
      <c r="F43" s="2">
        <v>231495.91</v>
      </c>
      <c r="G43" s="2">
        <v>236627.91</v>
      </c>
      <c r="H43" s="2">
        <v>291246.21999999997</v>
      </c>
      <c r="I43" s="2">
        <v>309380.28000000003</v>
      </c>
      <c r="J43" s="2">
        <v>238009.61</v>
      </c>
      <c r="K43" s="2">
        <v>229970.94</v>
      </c>
      <c r="L43" s="2">
        <v>212089.26</v>
      </c>
      <c r="M43" s="2">
        <v>224655.88</v>
      </c>
      <c r="N43" s="2">
        <v>224175.6</v>
      </c>
      <c r="O43" s="2">
        <v>259927.33</v>
      </c>
      <c r="P43" s="2">
        <v>328100.14</v>
      </c>
      <c r="Q43" s="2">
        <v>248370.5</v>
      </c>
      <c r="R43" s="2">
        <v>213428.05</v>
      </c>
      <c r="S43" s="2">
        <v>203857.88</v>
      </c>
      <c r="T43" s="2">
        <v>216067.39</v>
      </c>
      <c r="U43" s="2">
        <v>239707.95</v>
      </c>
      <c r="V43" s="2">
        <v>270639.12</v>
      </c>
      <c r="W43" s="2">
        <v>333809.56</v>
      </c>
      <c r="X43" s="2">
        <v>260817.05</v>
      </c>
      <c r="Y43" s="2">
        <v>213101.56</v>
      </c>
      <c r="Z43" s="2">
        <v>260066.31</v>
      </c>
      <c r="AA43" s="2">
        <v>234211.49</v>
      </c>
      <c r="AB43" s="2">
        <v>219878.74</v>
      </c>
      <c r="AC43" s="2">
        <v>222602.78</v>
      </c>
      <c r="AD43" s="2">
        <v>310376.45</v>
      </c>
      <c r="AE43" s="2">
        <v>237930.26</v>
      </c>
      <c r="AF43" s="2">
        <v>329137</v>
      </c>
      <c r="AG43" s="2">
        <v>251365.77</v>
      </c>
      <c r="AH43" s="2">
        <v>233844.33</v>
      </c>
      <c r="AI43" s="24">
        <f>SUM(E43:AH43)</f>
        <v>7513874.6999999993</v>
      </c>
      <c r="AJ43" s="26">
        <v>5806577.3352949051</v>
      </c>
      <c r="AK43" s="33">
        <f>$AJ43/$AI43*E43</f>
        <v>176953.97486413867</v>
      </c>
      <c r="AL43" s="33">
        <f>$AJ43/$AI43*F43</f>
        <v>178895.57091223114</v>
      </c>
      <c r="AM43" s="33">
        <f>$AJ43/$AI43*G43</f>
        <v>182861.48145432913</v>
      </c>
      <c r="AN43" s="33">
        <f>$AJ43/$AI43*H43</f>
        <v>225069.45717930509</v>
      </c>
      <c r="AO43" s="33">
        <f>$AJ43/$AI43*I43</f>
        <v>239083.10872354472</v>
      </c>
      <c r="AP43" s="33">
        <f>$AJ43/$AI43*J43</f>
        <v>183929.23254474549</v>
      </c>
      <c r="AQ43" s="33">
        <f>$AJ43/$AI43*K43</f>
        <v>177717.10353121336</v>
      </c>
      <c r="AR43" s="33">
        <f>$AJ43/$AI43*L43</f>
        <v>163898.48637953313</v>
      </c>
      <c r="AS43" s="33">
        <f>$AJ43/$AI43*M43</f>
        <v>173609.72775454083</v>
      </c>
      <c r="AT43" s="33">
        <f>$AJ43/$AI43*N43</f>
        <v>173238.57664090896</v>
      </c>
      <c r="AU43" s="33">
        <f>$AJ43/$AI43*O43</f>
        <v>200866.82350475175</v>
      </c>
      <c r="AV43" s="33">
        <f>$AJ43/$AI43*P43</f>
        <v>253549.4552006684</v>
      </c>
      <c r="AW43" s="33">
        <f>$AJ43/$AI43*Q43</f>
        <v>191935.92835077</v>
      </c>
      <c r="AX43" s="33">
        <f>$AJ43/$AI43*R43</f>
        <v>164933.07745019862</v>
      </c>
      <c r="AY43" s="33">
        <f>$AJ43/$AI43*S43</f>
        <v>157537.43479769083</v>
      </c>
      <c r="AZ43" s="33">
        <f>$AJ43/$AI43*T43</f>
        <v>166972.70845763842</v>
      </c>
      <c r="BA43" s="33">
        <f>$AJ43/$AI43*U43</f>
        <v>185241.67691537426</v>
      </c>
      <c r="BB43" s="33">
        <f>$AJ43/$AI43*V43</f>
        <v>209144.68805770189</v>
      </c>
      <c r="BC43" s="33">
        <f>$AJ43/$AI43*W43</f>
        <v>257961.58477340126</v>
      </c>
      <c r="BD43" s="33">
        <f>$AJ43/$AI43*X43</f>
        <v>201554.38194736972</v>
      </c>
      <c r="BE43" s="33">
        <f>$AJ43/$AI43*Y43</f>
        <v>164680.77228011101</v>
      </c>
      <c r="BF43" s="33">
        <f>$AJ43/$AI43*Z43</f>
        <v>200974.22456615878</v>
      </c>
      <c r="BG43" s="33">
        <f>$AJ43/$AI43*AA43</f>
        <v>180994.11872008585</v>
      </c>
      <c r="BH43" s="33">
        <f>$AJ43/$AI43*AB43</f>
        <v>169918.04617093247</v>
      </c>
      <c r="BI43" s="33">
        <f>$AJ43/$AI43*AC43</f>
        <v>172023.13170349222</v>
      </c>
      <c r="BJ43" s="33">
        <f>$AJ43/$AI43*AD43</f>
        <v>239852.92967146399</v>
      </c>
      <c r="BK43" s="33">
        <f>$AJ43/$AI43*AE43</f>
        <v>183867.91239635978</v>
      </c>
      <c r="BL43" s="33">
        <f>$AJ43/$AI43*AF43</f>
        <v>254350.72059518899</v>
      </c>
      <c r="BM43" s="33">
        <f>$AJ43/$AI43*AG43</f>
        <v>194250.61519204627</v>
      </c>
      <c r="BN43" s="33">
        <f>$AJ43/$AI43*AH43</f>
        <v>180710.38455901088</v>
      </c>
    </row>
    <row r="44" spans="1:66" x14ac:dyDescent="0.25">
      <c r="A44" s="1" t="s">
        <v>41</v>
      </c>
      <c r="B44" s="4">
        <v>42</v>
      </c>
      <c r="C44" s="4" t="s">
        <v>4</v>
      </c>
      <c r="D44" s="4" t="str">
        <f>A44&amp;C44</f>
        <v>MTWAPA MALLBAKERY</v>
      </c>
      <c r="E44" s="2">
        <v>79594.12</v>
      </c>
      <c r="F44" s="2">
        <v>43981.13</v>
      </c>
      <c r="G44" s="2">
        <v>65412.3</v>
      </c>
      <c r="H44" s="2">
        <v>70000.44</v>
      </c>
      <c r="I44" s="2">
        <v>65496.85</v>
      </c>
      <c r="J44" s="2">
        <v>50810.3</v>
      </c>
      <c r="K44" s="2">
        <v>46637.06</v>
      </c>
      <c r="L44" s="2">
        <v>59457.71</v>
      </c>
      <c r="M44" s="2">
        <v>44665.41</v>
      </c>
      <c r="N44" s="2">
        <v>42557.34</v>
      </c>
      <c r="O44" s="2">
        <v>47157.58</v>
      </c>
      <c r="P44" s="2">
        <v>56191.61</v>
      </c>
      <c r="Q44" s="2">
        <v>59733.96</v>
      </c>
      <c r="R44" s="2">
        <v>59090.41</v>
      </c>
      <c r="S44" s="2">
        <v>56226.37</v>
      </c>
      <c r="T44" s="2">
        <v>77674.78</v>
      </c>
      <c r="U44" s="2">
        <v>57393.61</v>
      </c>
      <c r="V44" s="2">
        <v>53734.41</v>
      </c>
      <c r="W44" s="2">
        <v>67072.960000000006</v>
      </c>
      <c r="X44" s="2">
        <v>62400.61</v>
      </c>
      <c r="Y44" s="2">
        <v>59699.13</v>
      </c>
      <c r="Z44" s="2">
        <v>38777.89</v>
      </c>
      <c r="AA44" s="2">
        <v>42939.3</v>
      </c>
      <c r="AB44" s="2">
        <v>36574.44</v>
      </c>
      <c r="AC44" s="2">
        <v>45241.96</v>
      </c>
      <c r="AD44" s="2">
        <v>53337.1</v>
      </c>
      <c r="AE44" s="2">
        <v>52602.82</v>
      </c>
      <c r="AF44" s="2">
        <v>62056.82</v>
      </c>
      <c r="AG44" s="2">
        <v>66845.960000000006</v>
      </c>
      <c r="AH44" s="2">
        <v>69083.67</v>
      </c>
      <c r="AI44" s="24">
        <f>SUM(E44:AH44)</f>
        <v>1692448.0499999998</v>
      </c>
      <c r="AJ44" s="26">
        <v>1051005.2700351975</v>
      </c>
      <c r="AK44" s="33">
        <f>$AJ44/$AI44*E44</f>
        <v>49427.714832259648</v>
      </c>
      <c r="AL44" s="33">
        <f>$AJ44/$AI44*F44</f>
        <v>27312.152601731636</v>
      </c>
      <c r="AM44" s="33">
        <f>$AJ44/$AI44*G44</f>
        <v>40620.846249976988</v>
      </c>
      <c r="AN44" s="33">
        <f>$AJ44/$AI44*H44</f>
        <v>43470.067719232298</v>
      </c>
      <c r="AO44" s="33">
        <f>$AJ44/$AI44*I44</f>
        <v>40673.351551738815</v>
      </c>
      <c r="AP44" s="33">
        <f>$AJ44/$AI44*J44</f>
        <v>31553.047121339652</v>
      </c>
      <c r="AQ44" s="33">
        <f>$AJ44/$AI44*K44</f>
        <v>28961.477333941042</v>
      </c>
      <c r="AR44" s="33">
        <f>$AJ44/$AI44*L44</f>
        <v>36923.063342608642</v>
      </c>
      <c r="AS44" s="33">
        <f>$AJ44/$AI44*M44</f>
        <v>27737.088472690681</v>
      </c>
      <c r="AT44" s="33">
        <f>$AJ44/$AI44*N44</f>
        <v>26427.983191968411</v>
      </c>
      <c r="AU44" s="33">
        <f>$AJ44/$AI44*O44</f>
        <v>29284.718725698222</v>
      </c>
      <c r="AV44" s="33">
        <f>$AJ44/$AI44*P44</f>
        <v>34894.824831853781</v>
      </c>
      <c r="AW44" s="33">
        <f>$AJ44/$AI44*Q44</f>
        <v>37094.613781540706</v>
      </c>
      <c r="AX44" s="33">
        <f>$AJ44/$AI44*R44</f>
        <v>36694.971120998693</v>
      </c>
      <c r="AY44" s="33">
        <f>$AJ44/$AI44*S44</f>
        <v>34916.410689798686</v>
      </c>
      <c r="AZ44" s="33">
        <f>$AJ44/$AI44*T44</f>
        <v>48235.81032742752</v>
      </c>
      <c r="BA44" s="33">
        <f>$AJ44/$AI44*U44</f>
        <v>35641.263302790787</v>
      </c>
      <c r="BB44" s="33">
        <f>$AJ44/$AI44*V44</f>
        <v>33368.910846174585</v>
      </c>
      <c r="BC44" s="33">
        <f>$AJ44/$AI44*W44</f>
        <v>41652.11123429166</v>
      </c>
      <c r="BD44" s="33">
        <f>$AJ44/$AI44*X44</f>
        <v>38750.595602276277</v>
      </c>
      <c r="BE44" s="33">
        <f>$AJ44/$AI44*Y44</f>
        <v>37072.984453801328</v>
      </c>
      <c r="BF44" s="33">
        <f>$AJ44/$AI44*Z44</f>
        <v>24080.955838405316</v>
      </c>
      <c r="BG44" s="33">
        <f>$AJ44/$AI44*AA44</f>
        <v>26665.179230536716</v>
      </c>
      <c r="BH44" s="33">
        <f>$AJ44/$AI44*AB44</f>
        <v>22712.619857718018</v>
      </c>
      <c r="BI44" s="33">
        <f>$AJ44/$AI44*AC44</f>
        <v>28095.124329944196</v>
      </c>
      <c r="BJ44" s="33">
        <f>$AJ44/$AI44*AD44</f>
        <v>33122.182502673772</v>
      </c>
      <c r="BK44" s="33">
        <f>$AJ44/$AI44*AE44</f>
        <v>32666.196778514353</v>
      </c>
      <c r="BL44" s="33">
        <f>$AJ44/$AI44*AF44</f>
        <v>38537.103021641138</v>
      </c>
      <c r="BM44" s="33">
        <f>$AJ44/$AI44*AG44</f>
        <v>41511.144900761967</v>
      </c>
      <c r="BN44" s="33">
        <f>$AJ44/$AI44*AH44</f>
        <v>42900.756240862152</v>
      </c>
    </row>
    <row r="45" spans="1:66" x14ac:dyDescent="0.25">
      <c r="A45" s="1" t="s">
        <v>42</v>
      </c>
      <c r="B45" s="4">
        <v>43</v>
      </c>
      <c r="C45" s="4" t="s">
        <v>4</v>
      </c>
      <c r="D45" s="4" t="str">
        <f>A45&amp;C45</f>
        <v>KITALEBAKERY</v>
      </c>
      <c r="E45" s="2">
        <v>77046.820000000007</v>
      </c>
      <c r="F45" s="2">
        <v>78166.92</v>
      </c>
      <c r="G45" s="2">
        <v>84433.37</v>
      </c>
      <c r="H45" s="2">
        <v>93898.92</v>
      </c>
      <c r="I45" s="2">
        <v>87198.99</v>
      </c>
      <c r="J45" s="2">
        <v>56969.61</v>
      </c>
      <c r="K45" s="2">
        <v>73561.02</v>
      </c>
      <c r="L45" s="2">
        <v>76798.3</v>
      </c>
      <c r="M45" s="2">
        <v>73915.820000000007</v>
      </c>
      <c r="N45" s="2">
        <v>75031.820000000007</v>
      </c>
      <c r="O45" s="2">
        <v>86651.65</v>
      </c>
      <c r="P45" s="2">
        <v>80648.850000000006</v>
      </c>
      <c r="Q45" s="2">
        <v>65516.62</v>
      </c>
      <c r="R45" s="2">
        <v>80741.13</v>
      </c>
      <c r="S45" s="2">
        <v>68304.61</v>
      </c>
      <c r="T45" s="2">
        <v>74564.75</v>
      </c>
      <c r="U45" s="2">
        <v>74831.960000000006</v>
      </c>
      <c r="V45" s="2">
        <v>95026.48</v>
      </c>
      <c r="W45" s="2">
        <v>87908.23</v>
      </c>
      <c r="X45" s="2">
        <v>73429.37</v>
      </c>
      <c r="Y45" s="2">
        <v>91918.78</v>
      </c>
      <c r="Z45" s="2">
        <v>70522.679999999993</v>
      </c>
      <c r="AA45" s="2">
        <v>63450.61</v>
      </c>
      <c r="AB45" s="2">
        <v>67906.679999999993</v>
      </c>
      <c r="AC45" s="2">
        <v>91036.82</v>
      </c>
      <c r="AD45" s="2">
        <v>84548.27</v>
      </c>
      <c r="AE45" s="2">
        <v>60307.54</v>
      </c>
      <c r="AF45" s="2">
        <v>78075.199999999997</v>
      </c>
      <c r="AG45" s="2">
        <v>57643.72</v>
      </c>
      <c r="AH45" s="2">
        <v>87238.47</v>
      </c>
      <c r="AI45" s="24">
        <f>SUM(E45:AH45)</f>
        <v>2317294.0100000007</v>
      </c>
      <c r="AJ45" s="26">
        <v>1727729.1185480547</v>
      </c>
      <c r="AK45" s="33">
        <f>$AJ45/$AI45*E45</f>
        <v>57444.602985674057</v>
      </c>
      <c r="AL45" s="33">
        <f>$AJ45/$AI45*F45</f>
        <v>58279.727651484442</v>
      </c>
      <c r="AM45" s="33">
        <f>$AJ45/$AI45*G45</f>
        <v>62951.870283452605</v>
      </c>
      <c r="AN45" s="33">
        <f>$AJ45/$AI45*H45</f>
        <v>70009.199343770044</v>
      </c>
      <c r="AO45" s="33">
        <f>$AJ45/$AI45*I45</f>
        <v>65013.862496878675</v>
      </c>
      <c r="AP45" s="33">
        <f>$AJ45/$AI45*J45</f>
        <v>42475.427651636841</v>
      </c>
      <c r="AQ45" s="33">
        <f>$AJ45/$AI45*K45</f>
        <v>54845.658641345988</v>
      </c>
      <c r="AR45" s="33">
        <f>$AJ45/$AI45*L45</f>
        <v>57259.311331404613</v>
      </c>
      <c r="AS45" s="33">
        <f>$AJ45/$AI45*M45</f>
        <v>55110.190586198703</v>
      </c>
      <c r="AT45" s="33">
        <f>$AJ45/$AI45*N45</f>
        <v>55942.258372150318</v>
      </c>
      <c r="AU45" s="33">
        <f>$AJ45/$AI45*O45</f>
        <v>64605.776491535697</v>
      </c>
      <c r="AV45" s="33">
        <f>$AJ45/$AI45*P45</f>
        <v>60130.206146096345</v>
      </c>
      <c r="AW45" s="33">
        <f>$AJ45/$AI45*Q45</f>
        <v>48847.911242323462</v>
      </c>
      <c r="AX45" s="33">
        <f>$AJ45/$AI45*R45</f>
        <v>60199.00831033256</v>
      </c>
      <c r="AY45" s="33">
        <f>$AJ45/$AI45*S45</f>
        <v>50926.582090491233</v>
      </c>
      <c r="AZ45" s="33">
        <f>$AJ45/$AI45*T45</f>
        <v>55594.020109798679</v>
      </c>
      <c r="BA45" s="33">
        <f>$AJ45/$AI45*U45</f>
        <v>55793.246662741454</v>
      </c>
      <c r="BB45" s="33">
        <f>$AJ45/$AI45*V45</f>
        <v>70849.88603976251</v>
      </c>
      <c r="BC45" s="33">
        <f>$AJ45/$AI45*W45</f>
        <v>65542.657977620896</v>
      </c>
      <c r="BD45" s="33">
        <f>$AJ45/$AI45*X45</f>
        <v>54747.502974660922</v>
      </c>
      <c r="BE45" s="33">
        <f>$AJ45/$AI45*Y45</f>
        <v>68532.845664850494</v>
      </c>
      <c r="BF45" s="33">
        <f>$AJ45/$AI45*Z45</f>
        <v>52580.33172667912</v>
      </c>
      <c r="BG45" s="33">
        <f>$AJ45/$AI45*AA45</f>
        <v>47307.534569873744</v>
      </c>
      <c r="BH45" s="33">
        <f>$AJ45/$AI45*AB45</f>
        <v>50629.893260685021</v>
      </c>
      <c r="BI45" s="33">
        <f>$AJ45/$AI45*AC45</f>
        <v>67875.273528203645</v>
      </c>
      <c r="BJ45" s="33">
        <f>$AJ45/$AI45*AD45</f>
        <v>63037.537477543861</v>
      </c>
      <c r="BK45" s="33">
        <f>$AJ45/$AI45*AE45</f>
        <v>44964.123014326316</v>
      </c>
      <c r="BL45" s="33">
        <f>$AJ45/$AI45*AF45</f>
        <v>58211.34301230211</v>
      </c>
      <c r="BM45" s="33">
        <f>$AJ45/$AI45*AG45</f>
        <v>42978.030891052469</v>
      </c>
      <c r="BN45" s="33">
        <f>$AJ45/$AI45*AH45</f>
        <v>65043.298013177395</v>
      </c>
    </row>
    <row r="46" spans="1:66" x14ac:dyDescent="0.25">
      <c r="A46" s="1" t="s">
        <v>43</v>
      </c>
      <c r="B46" s="4">
        <v>44</v>
      </c>
      <c r="C46" s="4" t="s">
        <v>4</v>
      </c>
      <c r="D46" s="4" t="str">
        <f>A46&amp;C46</f>
        <v>KISIIBAKERY</v>
      </c>
      <c r="E46" s="2">
        <v>72851.5</v>
      </c>
      <c r="F46" s="2">
        <v>84866.6</v>
      </c>
      <c r="G46" s="2">
        <v>80927.710000000006</v>
      </c>
      <c r="H46" s="2">
        <v>94079.89</v>
      </c>
      <c r="I46" s="2">
        <v>89547.19</v>
      </c>
      <c r="J46" s="2">
        <v>67737.47</v>
      </c>
      <c r="K46" s="2">
        <v>67648.399999999994</v>
      </c>
      <c r="L46" s="2">
        <v>71851.06</v>
      </c>
      <c r="M46" s="2">
        <v>90158.26</v>
      </c>
      <c r="N46" s="2">
        <v>80962.649999999994</v>
      </c>
      <c r="O46" s="2">
        <v>108600.75</v>
      </c>
      <c r="P46" s="2">
        <v>105996.47</v>
      </c>
      <c r="Q46" s="2">
        <v>86868.19</v>
      </c>
      <c r="R46" s="2">
        <v>91909.67</v>
      </c>
      <c r="S46" s="2">
        <v>87924.57</v>
      </c>
      <c r="T46" s="2">
        <v>99154.92</v>
      </c>
      <c r="U46" s="2">
        <v>99778.23</v>
      </c>
      <c r="V46" s="2">
        <v>113967.88</v>
      </c>
      <c r="W46" s="2">
        <v>114595.88</v>
      </c>
      <c r="X46" s="2">
        <v>105727.44</v>
      </c>
      <c r="Y46" s="2">
        <v>103590.95</v>
      </c>
      <c r="Z46" s="2">
        <v>89301.33</v>
      </c>
      <c r="AA46" s="2">
        <v>86908.2</v>
      </c>
      <c r="AB46" s="2">
        <v>84696.37</v>
      </c>
      <c r="AC46" s="2">
        <v>109376.81</v>
      </c>
      <c r="AD46" s="2">
        <v>82740.710000000006</v>
      </c>
      <c r="AE46" s="2">
        <v>81835.679999999993</v>
      </c>
      <c r="AF46" s="2">
        <v>118526.47</v>
      </c>
      <c r="AG46" s="2">
        <v>82474.61</v>
      </c>
      <c r="AH46" s="2">
        <v>84284.23</v>
      </c>
      <c r="AI46" s="24">
        <f>SUM(E46:AH46)</f>
        <v>2738890.0900000003</v>
      </c>
      <c r="AJ46" s="26">
        <v>1945826.3691573744</v>
      </c>
      <c r="AK46" s="33">
        <f>$AJ46/$AI46*E46</f>
        <v>51756.866860133276</v>
      </c>
      <c r="AL46" s="33">
        <f>$AJ46/$AI46*F46</f>
        <v>60292.915273840437</v>
      </c>
      <c r="AM46" s="33">
        <f>$AJ46/$AI46*G46</f>
        <v>57494.556896775997</v>
      </c>
      <c r="AN46" s="33">
        <f>$AJ46/$AI46*H46</f>
        <v>66838.436284029623</v>
      </c>
      <c r="AO46" s="33">
        <f>$AJ46/$AI46*I46</f>
        <v>63618.209515645634</v>
      </c>
      <c r="AP46" s="33">
        <f>$AJ46/$AI46*J46</f>
        <v>48123.638033976953</v>
      </c>
      <c r="AQ46" s="33">
        <f>$AJ46/$AI46*K46</f>
        <v>48060.358840944107</v>
      </c>
      <c r="AR46" s="33">
        <f>$AJ46/$AI46*L46</f>
        <v>51046.110871834448</v>
      </c>
      <c r="AS46" s="33">
        <f>$AJ46/$AI46*M46</f>
        <v>64052.340159931904</v>
      </c>
      <c r="AT46" s="33">
        <f>$AJ46/$AI46*N46</f>
        <v>57519.379788934602</v>
      </c>
      <c r="AU46" s="33">
        <f>$AJ46/$AI46*O46</f>
        <v>77154.685334696173</v>
      </c>
      <c r="AV46" s="33">
        <f>$AJ46/$AI46*P46</f>
        <v>75304.491814638139</v>
      </c>
      <c r="AW46" s="33">
        <f>$AJ46/$AI46*Q46</f>
        <v>61714.931665247263</v>
      </c>
      <c r="AX46" s="33">
        <f>$AJ46/$AI46*R46</f>
        <v>65296.617823226501</v>
      </c>
      <c r="AY46" s="33">
        <f>$AJ46/$AI46*S46</f>
        <v>62465.429856962022</v>
      </c>
      <c r="AZ46" s="33">
        <f>$AJ46/$AI46*T46</f>
        <v>70443.957817850911</v>
      </c>
      <c r="BA46" s="33">
        <f>$AJ46/$AI46*U46</f>
        <v>70886.784289270028</v>
      </c>
      <c r="BB46" s="33">
        <f>$AJ46/$AI46*V46</f>
        <v>80967.7273836729</v>
      </c>
      <c r="BC46" s="33">
        <f>$AJ46/$AI46*W46</f>
        <v>81413.885834606146</v>
      </c>
      <c r="BD46" s="33">
        <f>$AJ46/$AI46*X46</f>
        <v>75113.361228563983</v>
      </c>
      <c r="BE46" s="33">
        <f>$AJ46/$AI46*Y46</f>
        <v>73595.506023413691</v>
      </c>
      <c r="BF46" s="33">
        <f>$AJ46/$AI46*Z46</f>
        <v>63443.539902992052</v>
      </c>
      <c r="BG46" s="33">
        <f>$AJ46/$AI46*AA46</f>
        <v>61743.356505409422</v>
      </c>
      <c r="BH46" s="33">
        <f>$AJ46/$AI46*AB46</f>
        <v>60171.976495015006</v>
      </c>
      <c r="BI46" s="33">
        <f>$AJ46/$AI46*AC46</f>
        <v>77706.032034427481</v>
      </c>
      <c r="BJ46" s="33">
        <f>$AJ46/$AI46*AD46</f>
        <v>58782.590768658134</v>
      </c>
      <c r="BK46" s="33">
        <f>$AJ46/$AI46*AE46</f>
        <v>58139.618184505067</v>
      </c>
      <c r="BL46" s="33">
        <f>$AJ46/$AI46*AF46</f>
        <v>84206.347531506981</v>
      </c>
      <c r="BM46" s="33">
        <f>$AJ46/$AI46*AG46</f>
        <v>58593.541781726068</v>
      </c>
      <c r="BN46" s="33">
        <f>$AJ46/$AI46*AH46</f>
        <v>59879.174354939161</v>
      </c>
    </row>
    <row r="47" spans="1:66" x14ac:dyDescent="0.25">
      <c r="A47" s="1" t="s">
        <v>44</v>
      </c>
      <c r="B47" s="4">
        <v>45</v>
      </c>
      <c r="C47" s="4" t="s">
        <v>4</v>
      </c>
      <c r="D47" s="4" t="str">
        <f>A47&amp;C47</f>
        <v>WESTLANDSBAKERY</v>
      </c>
      <c r="E47" s="2">
        <v>84928.36</v>
      </c>
      <c r="F47" s="2">
        <v>74011.95</v>
      </c>
      <c r="G47" s="2">
        <v>91756.5</v>
      </c>
      <c r="H47" s="2">
        <v>90105.91</v>
      </c>
      <c r="I47" s="2">
        <v>84763.09</v>
      </c>
      <c r="J47" s="2">
        <v>342338.4</v>
      </c>
      <c r="K47" s="2">
        <v>260526.46</v>
      </c>
      <c r="L47" s="2">
        <v>514919.17</v>
      </c>
      <c r="M47" s="2">
        <v>405198.86</v>
      </c>
      <c r="N47" s="2">
        <v>503423.56</v>
      </c>
      <c r="O47" s="2">
        <v>182102.14</v>
      </c>
      <c r="P47" s="2">
        <v>92964.88</v>
      </c>
      <c r="Q47" s="2">
        <v>54430.27</v>
      </c>
      <c r="R47" s="2">
        <v>76673.67</v>
      </c>
      <c r="S47" s="2">
        <v>83137.53</v>
      </c>
      <c r="T47" s="2">
        <v>79902.64</v>
      </c>
      <c r="U47" s="2">
        <v>89496.19</v>
      </c>
      <c r="V47" s="2">
        <v>96257.82</v>
      </c>
      <c r="W47" s="2">
        <v>66875.47</v>
      </c>
      <c r="X47" s="2">
        <v>60322.16</v>
      </c>
      <c r="Y47" s="2">
        <v>82756.77</v>
      </c>
      <c r="Z47" s="2">
        <v>83225.08</v>
      </c>
      <c r="AA47" s="2">
        <v>82048.600000000006</v>
      </c>
      <c r="AB47" s="2">
        <v>91082.95</v>
      </c>
      <c r="AC47" s="2">
        <v>94792.15</v>
      </c>
      <c r="AD47" s="2">
        <v>54380.75</v>
      </c>
      <c r="AE47" s="2">
        <v>69888.399999999994</v>
      </c>
      <c r="AF47" s="2">
        <v>70787.850000000006</v>
      </c>
      <c r="AG47" s="2">
        <v>68391.399999999994</v>
      </c>
      <c r="AH47" s="2">
        <v>79204.78</v>
      </c>
      <c r="AI47" s="24">
        <f>SUM(E47:AH47)</f>
        <v>4110693.76</v>
      </c>
      <c r="AJ47" s="26">
        <v>2091816.5204973756</v>
      </c>
      <c r="AK47" s="33">
        <f>$AJ47/$AI47*E47</f>
        <v>43217.655432144988</v>
      </c>
      <c r="AL47" s="33">
        <f>$AJ47/$AI47*F47</f>
        <v>37662.601196598443</v>
      </c>
      <c r="AM47" s="33">
        <f>$AJ47/$AI47*G47</f>
        <v>46692.303968422464</v>
      </c>
      <c r="AN47" s="33">
        <f>$AJ47/$AI47*H47</f>
        <v>45852.365108426297</v>
      </c>
      <c r="AO47" s="33">
        <f>$AJ47/$AI47*I47</f>
        <v>43133.554174175675</v>
      </c>
      <c r="AP47" s="33">
        <f>$AJ47/$AI47*J47</f>
        <v>174206.3900962155</v>
      </c>
      <c r="AQ47" s="33">
        <f>$AJ47/$AI47*K47</f>
        <v>132574.59321287382</v>
      </c>
      <c r="AR47" s="33">
        <f>$AJ47/$AI47*L47</f>
        <v>262027.8934441462</v>
      </c>
      <c r="AS47" s="33">
        <f>$AJ47/$AI47*M47</f>
        <v>206194.31145235768</v>
      </c>
      <c r="AT47" s="33">
        <f>$AJ47/$AI47*N47</f>
        <v>256178.10060742687</v>
      </c>
      <c r="AU47" s="33">
        <f>$AJ47/$AI47*O47</f>
        <v>92666.66093606691</v>
      </c>
      <c r="AV47" s="33">
        <f>$AJ47/$AI47*P47</f>
        <v>47307.214588044648</v>
      </c>
      <c r="AW47" s="33">
        <f>$AJ47/$AI47*Q47</f>
        <v>27698.03460161739</v>
      </c>
      <c r="AX47" s="33">
        <f>$AJ47/$AI47*R47</f>
        <v>39017.075695068081</v>
      </c>
      <c r="AY47" s="33">
        <f>$AJ47/$AI47*S47</f>
        <v>42306.352377693591</v>
      </c>
      <c r="AZ47" s="33">
        <f>$AJ47/$AI47*T47</f>
        <v>40660.207775573734</v>
      </c>
      <c r="BA47" s="33">
        <f>$AJ47/$AI47*U47</f>
        <v>45542.095737039788</v>
      </c>
      <c r="BB47" s="33">
        <f>$AJ47/$AI47*V47</f>
        <v>48982.899203628032</v>
      </c>
      <c r="BC47" s="33">
        <f>$AJ47/$AI47*W47</f>
        <v>34031.047100435586</v>
      </c>
      <c r="BD47" s="33">
        <f>$AJ47/$AI47*X47</f>
        <v>30696.251826865835</v>
      </c>
      <c r="BE47" s="33">
        <f>$AJ47/$AI47*Y47</f>
        <v>42112.594315223723</v>
      </c>
      <c r="BF47" s="33">
        <f>$AJ47/$AI47*Z47</f>
        <v>42350.904112038683</v>
      </c>
      <c r="BG47" s="33">
        <f>$AJ47/$AI47*AA47</f>
        <v>41752.226505844359</v>
      </c>
      <c r="BH47" s="33">
        <f>$AJ47/$AI47*AB47</f>
        <v>46349.553304023415</v>
      </c>
      <c r="BI47" s="33">
        <f>$AJ47/$AI47*AC47</f>
        <v>48237.06093432397</v>
      </c>
      <c r="BJ47" s="33">
        <f>$AJ47/$AI47*AD47</f>
        <v>27672.835265412152</v>
      </c>
      <c r="BK47" s="33">
        <f>$AJ47/$AI47*AE47</f>
        <v>35564.24249689882</v>
      </c>
      <c r="BL47" s="33">
        <f>$AJ47/$AI47*AF47</f>
        <v>36021.94732221798</v>
      </c>
      <c r="BM47" s="33">
        <f>$AJ47/$AI47*AG47</f>
        <v>34802.461271146654</v>
      </c>
      <c r="BN47" s="33">
        <f>$AJ47/$AI47*AH47</f>
        <v>40305.086435424499</v>
      </c>
    </row>
    <row r="48" spans="1:66" x14ac:dyDescent="0.25">
      <c r="A48" s="1" t="s">
        <v>45</v>
      </c>
      <c r="B48" s="4">
        <v>46</v>
      </c>
      <c r="C48" s="4" t="s">
        <v>4</v>
      </c>
      <c r="D48" s="4" t="str">
        <f>A48&amp;C48</f>
        <v>BANDARIBAKERY</v>
      </c>
      <c r="E48" s="2">
        <v>97000.5</v>
      </c>
      <c r="F48" s="2">
        <v>101042.91</v>
      </c>
      <c r="G48" s="2">
        <v>109954.02</v>
      </c>
      <c r="H48" s="2">
        <v>107757.3</v>
      </c>
      <c r="I48" s="2">
        <v>109205.64</v>
      </c>
      <c r="J48" s="2">
        <v>84490.3</v>
      </c>
      <c r="K48" s="2">
        <v>93318.37</v>
      </c>
      <c r="L48" s="2">
        <v>92716.54</v>
      </c>
      <c r="M48" s="2">
        <v>106990.74</v>
      </c>
      <c r="N48" s="2">
        <v>89861.03</v>
      </c>
      <c r="O48" s="2">
        <v>94449.68</v>
      </c>
      <c r="P48" s="2">
        <v>103846.51</v>
      </c>
      <c r="Q48" s="2">
        <v>84716.51</v>
      </c>
      <c r="R48" s="2">
        <v>86872.09</v>
      </c>
      <c r="S48" s="2">
        <v>106992.36</v>
      </c>
      <c r="T48" s="2">
        <v>92263.02</v>
      </c>
      <c r="U48" s="2">
        <v>103162.27</v>
      </c>
      <c r="V48" s="2">
        <v>99526.3</v>
      </c>
      <c r="W48" s="2">
        <v>103825.75</v>
      </c>
      <c r="X48" s="2">
        <v>90376.68</v>
      </c>
      <c r="Y48" s="2">
        <v>104568.36</v>
      </c>
      <c r="Z48" s="2">
        <v>96945.06</v>
      </c>
      <c r="AA48" s="2">
        <v>89844.09</v>
      </c>
      <c r="AB48" s="2">
        <v>97199.55</v>
      </c>
      <c r="AC48" s="2">
        <v>96501.82</v>
      </c>
      <c r="AD48" s="2">
        <v>101518.71</v>
      </c>
      <c r="AE48" s="2">
        <v>86506.96</v>
      </c>
      <c r="AF48" s="2">
        <v>106808.79</v>
      </c>
      <c r="AG48" s="2">
        <v>102149.13</v>
      </c>
      <c r="AH48" s="2">
        <v>110730.4</v>
      </c>
      <c r="AI48" s="24">
        <f>SUM(E48:AH48)</f>
        <v>2951141.3899999997</v>
      </c>
      <c r="AJ48" s="26">
        <v>2447113.9468776705</v>
      </c>
      <c r="AK48" s="33">
        <f>$AJ48/$AI48*E48</f>
        <v>80433.718698956509</v>
      </c>
      <c r="AL48" s="33">
        <f>$AJ48/$AI48*F48</f>
        <v>83785.722748480475</v>
      </c>
      <c r="AM48" s="33">
        <f>$AJ48/$AI48*G48</f>
        <v>91174.898217013702</v>
      </c>
      <c r="AN48" s="33">
        <f>$AJ48/$AI48*H48</f>
        <v>89353.357518353689</v>
      </c>
      <c r="AO48" s="33">
        <f>$AJ48/$AI48*I48</f>
        <v>90554.3345456932</v>
      </c>
      <c r="AP48" s="33">
        <f>$AJ48/$AI48*J48</f>
        <v>70060.144256889864</v>
      </c>
      <c r="AQ48" s="33">
        <f>$AJ48/$AI48*K48</f>
        <v>77380.462183443815</v>
      </c>
      <c r="AR48" s="33">
        <f>$AJ48/$AI48*L48</f>
        <v>76881.419138051337</v>
      </c>
      <c r="AS48" s="33">
        <f>$AJ48/$AI48*M48</f>
        <v>88717.718821585397</v>
      </c>
      <c r="AT48" s="33">
        <f>$AJ48/$AI48*N48</f>
        <v>74513.603631099759</v>
      </c>
      <c r="AU48" s="33">
        <f>$AJ48/$AI48*O48</f>
        <v>78318.554979886263</v>
      </c>
      <c r="AV48" s="33">
        <f>$AJ48/$AI48*P48</f>
        <v>86110.493999601793</v>
      </c>
      <c r="AW48" s="33">
        <f>$AJ48/$AI48*Q48</f>
        <v>70247.71969729368</v>
      </c>
      <c r="AX48" s="33">
        <f>$AJ48/$AI48*R48</f>
        <v>72035.146724505874</v>
      </c>
      <c r="AY48" s="33">
        <f>$AJ48/$AI48*S48</f>
        <v>88719.062140684706</v>
      </c>
      <c r="AZ48" s="33">
        <f>$AJ48/$AI48*T48</f>
        <v>76505.356126991086</v>
      </c>
      <c r="BA48" s="33">
        <f>$AJ48/$AI48*U48</f>
        <v>85543.115814101999</v>
      </c>
      <c r="BB48" s="33">
        <f>$AJ48/$AI48*V48</f>
        <v>82528.135600826339</v>
      </c>
      <c r="BC48" s="33">
        <f>$AJ48/$AI48*W48</f>
        <v>86093.27961410697</v>
      </c>
      <c r="BD48" s="33">
        <f>$AJ48/$AI48*X48</f>
        <v>74941.185417246394</v>
      </c>
      <c r="BE48" s="33">
        <f>$AJ48/$AI48*Y48</f>
        <v>86709.058747647854</v>
      </c>
      <c r="BF48" s="33">
        <f>$AJ48/$AI48*Z48</f>
        <v>80387.747334224667</v>
      </c>
      <c r="BG48" s="33">
        <f>$AJ48/$AI48*AA48</f>
        <v>74499.556825209467</v>
      </c>
      <c r="BH48" s="33">
        <f>$AJ48/$AI48*AB48</f>
        <v>80598.772814213924</v>
      </c>
      <c r="BI48" s="33">
        <f>$AJ48/$AI48*AC48</f>
        <v>80020.208594979777</v>
      </c>
      <c r="BJ48" s="33">
        <f>$AJ48/$AI48*AD48</f>
        <v>84180.260543202807</v>
      </c>
      <c r="BK48" s="33">
        <f>$AJ48/$AI48*AE48</f>
        <v>71732.377525289907</v>
      </c>
      <c r="BL48" s="33">
        <f>$AJ48/$AI48*AF48</f>
        <v>88566.844185709546</v>
      </c>
      <c r="BM48" s="33">
        <f>$AJ48/$AI48*AG48</f>
        <v>84703.010683070082</v>
      </c>
      <c r="BN48" s="33">
        <f>$AJ48/$AI48*AH48</f>
        <v>91818.679749309886</v>
      </c>
    </row>
    <row r="49" spans="1:66" ht="24.75" x14ac:dyDescent="0.25">
      <c r="A49" s="1" t="s">
        <v>82</v>
      </c>
      <c r="B49" s="4">
        <v>47</v>
      </c>
      <c r="C49" s="4" t="s">
        <v>4</v>
      </c>
      <c r="D49" s="4" t="str">
        <f>A49&amp;C49</f>
        <v>KITENGELA OBC MALLBAKERY</v>
      </c>
      <c r="E49" s="2">
        <v>85887.47</v>
      </c>
      <c r="F49" s="2">
        <v>86970.4</v>
      </c>
      <c r="G49" s="2">
        <v>94228.23</v>
      </c>
      <c r="H49" s="2">
        <v>111190.37</v>
      </c>
      <c r="I49" s="2">
        <v>134606.01999999999</v>
      </c>
      <c r="J49" s="2">
        <v>127248.19</v>
      </c>
      <c r="K49" s="2">
        <v>81821.05</v>
      </c>
      <c r="L49" s="2">
        <v>91269.78</v>
      </c>
      <c r="M49" s="2">
        <v>92700.74</v>
      </c>
      <c r="N49" s="2">
        <v>89762.71</v>
      </c>
      <c r="O49" s="2">
        <v>87354.02</v>
      </c>
      <c r="P49" s="2">
        <v>77533.19</v>
      </c>
      <c r="Q49" s="2">
        <v>124544.36</v>
      </c>
      <c r="R49" s="2">
        <v>103961.09</v>
      </c>
      <c r="S49" s="2">
        <v>89289.600000000006</v>
      </c>
      <c r="T49" s="2">
        <v>85065.16</v>
      </c>
      <c r="U49" s="2">
        <v>90621.5</v>
      </c>
      <c r="V49" s="2">
        <v>104267.76</v>
      </c>
      <c r="W49" s="2">
        <v>116772.95</v>
      </c>
      <c r="X49" s="2">
        <v>127338.88</v>
      </c>
      <c r="Y49" s="2">
        <v>99115.4</v>
      </c>
      <c r="Z49" s="2">
        <v>90212.36</v>
      </c>
      <c r="AA49" s="2">
        <v>70710.78</v>
      </c>
      <c r="AB49" s="2">
        <v>74387.539999999994</v>
      </c>
      <c r="AC49" s="2">
        <v>90265.47</v>
      </c>
      <c r="AD49" s="2">
        <v>101466.05</v>
      </c>
      <c r="AE49" s="2">
        <v>114761.88</v>
      </c>
      <c r="AF49" s="2">
        <v>124060.3</v>
      </c>
      <c r="AG49" s="2">
        <v>112490.06</v>
      </c>
      <c r="AH49" s="2">
        <v>88125.68</v>
      </c>
      <c r="AI49" s="24">
        <f>SUM(E49:AH49)</f>
        <v>2968028.9899999998</v>
      </c>
      <c r="AJ49" s="26">
        <v>2552248.9457455506</v>
      </c>
      <c r="AK49" s="33">
        <f>$AJ49/$AI49*E49</f>
        <v>73855.816603817133</v>
      </c>
      <c r="AL49" s="33">
        <f>$AJ49/$AI49*F49</f>
        <v>74787.043003602477</v>
      </c>
      <c r="AM49" s="33">
        <f>$AJ49/$AI49*G49</f>
        <v>81028.150832505606</v>
      </c>
      <c r="AN49" s="33">
        <f>$AJ49/$AI49*H49</f>
        <v>95614.128287054802</v>
      </c>
      <c r="AO49" s="33">
        <f>$AJ49/$AI49*I49</f>
        <v>115749.56774125191</v>
      </c>
      <c r="AP49" s="33">
        <f>$AJ49/$AI49*J49</f>
        <v>109422.46853711814</v>
      </c>
      <c r="AQ49" s="33">
        <f>$AJ49/$AI49*K49</f>
        <v>70359.046123162698</v>
      </c>
      <c r="AR49" s="33">
        <f>$AJ49/$AI49*L49</f>
        <v>78484.138991994259</v>
      </c>
      <c r="AS49" s="33">
        <f>$AJ49/$AI49*M49</f>
        <v>79714.64117499486</v>
      </c>
      <c r="AT49" s="33">
        <f>$AJ49/$AI49*N49</f>
        <v>77188.188773305621</v>
      </c>
      <c r="AU49" s="33">
        <f>$AJ49/$AI49*O49</f>
        <v>75116.923117262326</v>
      </c>
      <c r="AV49" s="33">
        <f>$AJ49/$AI49*P49</f>
        <v>66671.85634119749</v>
      </c>
      <c r="AW49" s="33">
        <f>$AJ49/$AI49*Q49</f>
        <v>107097.4079362191</v>
      </c>
      <c r="AX49" s="33">
        <f>$AJ49/$AI49*R49</f>
        <v>89397.570995780028</v>
      </c>
      <c r="AY49" s="33">
        <f>$AJ49/$AI49*S49</f>
        <v>76781.354977951865</v>
      </c>
      <c r="AZ49" s="33">
        <f>$AJ49/$AI49*T49</f>
        <v>73148.700926157937</v>
      </c>
      <c r="BA49" s="33">
        <f>$AJ49/$AI49*U49</f>
        <v>77926.674104648962</v>
      </c>
      <c r="BB49" s="33">
        <f>$AJ49/$AI49*V49</f>
        <v>89661.280746199889</v>
      </c>
      <c r="BC49" s="33">
        <f>$AJ49/$AI49*W49</f>
        <v>100414.66560240636</v>
      </c>
      <c r="BD49" s="33">
        <f>$AJ49/$AI49*X49</f>
        <v>109500.45411531483</v>
      </c>
      <c r="BE49" s="33">
        <f>$AJ49/$AI49*Y49</f>
        <v>85230.695525365649</v>
      </c>
      <c r="BF49" s="33">
        <f>$AJ49/$AI49*Z49</f>
        <v>77574.848992030253</v>
      </c>
      <c r="BG49" s="33">
        <f>$AJ49/$AI49*AA49</f>
        <v>60805.172158323687</v>
      </c>
      <c r="BH49" s="33">
        <f>$AJ49/$AI49*AB49</f>
        <v>63966.868646254348</v>
      </c>
      <c r="BI49" s="33">
        <f>$AJ49/$AI49*AC49</f>
        <v>77620.519011415265</v>
      </c>
      <c r="BJ49" s="33">
        <f>$AJ49/$AI49*AD49</f>
        <v>87252.051787225078</v>
      </c>
      <c r="BK49" s="33">
        <f>$AJ49/$AI49*AE49</f>
        <v>98685.31885255521</v>
      </c>
      <c r="BL49" s="33">
        <f>$AJ49/$AI49*AF49</f>
        <v>106681.15808527758</v>
      </c>
      <c r="BM49" s="33">
        <f>$AJ49/$AI49*AG49</f>
        <v>96731.749591790125</v>
      </c>
      <c r="BN49" s="33">
        <f>$AJ49/$AI49*AH49</f>
        <v>75780.484163367204</v>
      </c>
    </row>
    <row r="50" spans="1:66" ht="24.75" x14ac:dyDescent="0.25">
      <c r="A50" s="1" t="s">
        <v>47</v>
      </c>
      <c r="B50" s="4">
        <v>48</v>
      </c>
      <c r="C50" s="4" t="s">
        <v>4</v>
      </c>
      <c r="D50" s="4" t="str">
        <f>A50&amp;C50</f>
        <v>MACHAKOS EXPRESSBAKERY</v>
      </c>
      <c r="E50" s="2">
        <v>68333.19</v>
      </c>
      <c r="F50" s="2">
        <v>72299.64</v>
      </c>
      <c r="G50" s="2">
        <v>81749.7</v>
      </c>
      <c r="H50" s="2">
        <v>117846.24</v>
      </c>
      <c r="I50" s="2">
        <v>143352.24</v>
      </c>
      <c r="J50" s="2">
        <v>77193.850000000006</v>
      </c>
      <c r="K50" s="2">
        <v>69547.820000000007</v>
      </c>
      <c r="L50" s="2">
        <v>67870.539999999994</v>
      </c>
      <c r="M50" s="2">
        <v>77331.88</v>
      </c>
      <c r="N50" s="2">
        <v>72544.710000000006</v>
      </c>
      <c r="O50" s="2">
        <v>104114.3</v>
      </c>
      <c r="P50" s="2">
        <v>128122.33</v>
      </c>
      <c r="Q50" s="2">
        <v>73448.710000000006</v>
      </c>
      <c r="R50" s="2">
        <v>73893.919999999998</v>
      </c>
      <c r="S50" s="2">
        <v>66410.37</v>
      </c>
      <c r="T50" s="2">
        <v>63853.47</v>
      </c>
      <c r="U50" s="2">
        <v>81212.800000000003</v>
      </c>
      <c r="V50" s="2">
        <v>103296.07</v>
      </c>
      <c r="W50" s="2">
        <v>126218.59</v>
      </c>
      <c r="X50" s="2">
        <v>94862.06</v>
      </c>
      <c r="Y50" s="2">
        <v>74320.679999999993</v>
      </c>
      <c r="Z50" s="2">
        <v>70447.48</v>
      </c>
      <c r="AA50" s="2">
        <v>67245.929999999993</v>
      </c>
      <c r="AB50" s="2">
        <v>60777.25</v>
      </c>
      <c r="AC50" s="2">
        <v>91917.45</v>
      </c>
      <c r="AD50" s="2">
        <v>99364.73</v>
      </c>
      <c r="AE50" s="2">
        <v>48533.09</v>
      </c>
      <c r="AF50" s="2">
        <v>131330.47</v>
      </c>
      <c r="AG50" s="2">
        <v>80899.72</v>
      </c>
      <c r="AH50" s="2">
        <v>68956.509999999995</v>
      </c>
      <c r="AI50" s="24">
        <f>SUM(E50:AH50)</f>
        <v>2557295.7400000002</v>
      </c>
      <c r="AJ50" s="26">
        <v>1867737.5573608887</v>
      </c>
      <c r="AK50" s="33">
        <f>$AJ50/$AI50*E50</f>
        <v>49907.589247881631</v>
      </c>
      <c r="AL50" s="33">
        <f>$AJ50/$AI50*F50</f>
        <v>52804.511773703416</v>
      </c>
      <c r="AM50" s="33">
        <f>$AJ50/$AI50*G50</f>
        <v>59706.424487683791</v>
      </c>
      <c r="AN50" s="33">
        <f>$AJ50/$AI50*H50</f>
        <v>86069.766980398228</v>
      </c>
      <c r="AO50" s="33">
        <f>$AJ50/$AI50*I50</f>
        <v>104698.23978192364</v>
      </c>
      <c r="AP50" s="33">
        <f>$AJ50/$AI50*J50</f>
        <v>56379.029842783399</v>
      </c>
      <c r="AQ50" s="33">
        <f>$AJ50/$AI50*K50</f>
        <v>50794.702159310982</v>
      </c>
      <c r="AR50" s="33">
        <f>$AJ50/$AI50*L50</f>
        <v>49569.689814743317</v>
      </c>
      <c r="AS50" s="33">
        <f>$AJ50/$AI50*M50</f>
        <v>56479.840950005011</v>
      </c>
      <c r="AT50" s="33">
        <f>$AJ50/$AI50*N50</f>
        <v>52983.500240317939</v>
      </c>
      <c r="AU50" s="33">
        <f>$AJ50/$AI50*O50</f>
        <v>76040.555390882859</v>
      </c>
      <c r="AV50" s="33">
        <f>$AJ50/$AI50*P50</f>
        <v>93574.976071240671</v>
      </c>
      <c r="AW50" s="33">
        <f>$AJ50/$AI50*Q50</f>
        <v>53643.742513217607</v>
      </c>
      <c r="AX50" s="33">
        <f>$AJ50/$AI50*R50</f>
        <v>53968.904529055726</v>
      </c>
      <c r="AY50" s="33">
        <f>$AJ50/$AI50*S50</f>
        <v>48503.245169146074</v>
      </c>
      <c r="AZ50" s="33">
        <f>$AJ50/$AI50*T50</f>
        <v>46635.796643065143</v>
      </c>
      <c r="BA50" s="33">
        <f>$AJ50/$AI50*U50</f>
        <v>59314.29608467513</v>
      </c>
      <c r="BB50" s="33">
        <f>$AJ50/$AI50*V50</f>
        <v>75442.955794694033</v>
      </c>
      <c r="BC50" s="33">
        <f>$AJ50/$AI50*W50</f>
        <v>92184.567194459683</v>
      </c>
      <c r="BD50" s="33">
        <f>$AJ50/$AI50*X50</f>
        <v>69283.121799054046</v>
      </c>
      <c r="BE50" s="33">
        <f>$AJ50/$AI50*Y50</f>
        <v>54280.591467532118</v>
      </c>
      <c r="BF50" s="33">
        <f>$AJ50/$AI50*Z50</f>
        <v>51451.774685015524</v>
      </c>
      <c r="BG50" s="33">
        <f>$AJ50/$AI50*AA50</f>
        <v>49113.501843420461</v>
      </c>
      <c r="BH50" s="33">
        <f>$AJ50/$AI50*AB50</f>
        <v>44389.059381185245</v>
      </c>
      <c r="BI50" s="33">
        <f>$AJ50/$AI50*AC50</f>
        <v>67132.506755687791</v>
      </c>
      <c r="BJ50" s="33">
        <f>$AJ50/$AI50*AD50</f>
        <v>72571.676085466839</v>
      </c>
      <c r="BK50" s="33">
        <f>$AJ50/$AI50*AE50</f>
        <v>35446.45758013743</v>
      </c>
      <c r="BL50" s="33">
        <f>$AJ50/$AI50*AF50</f>
        <v>95918.061962148131</v>
      </c>
      <c r="BM50" s="33">
        <f>$AJ50/$AI50*AG50</f>
        <v>59085.636072728856</v>
      </c>
      <c r="BN50" s="33">
        <f>$AJ50/$AI50*AH50</f>
        <v>50362.835059323908</v>
      </c>
    </row>
    <row r="51" spans="1:66" ht="24.75" x14ac:dyDescent="0.25">
      <c r="A51" s="1" t="s">
        <v>48</v>
      </c>
      <c r="B51" s="4">
        <v>49</v>
      </c>
      <c r="C51" s="4" t="s">
        <v>4</v>
      </c>
      <c r="D51" s="4" t="str">
        <f>A51&amp;C51</f>
        <v>MACHAKOS PIONEERBAKERY</v>
      </c>
      <c r="E51" s="2">
        <v>47079.57</v>
      </c>
      <c r="F51" s="2">
        <v>35375.75</v>
      </c>
      <c r="G51" s="2">
        <v>38264.129999999997</v>
      </c>
      <c r="H51" s="2">
        <v>52352.68</v>
      </c>
      <c r="I51" s="2">
        <v>63708.44</v>
      </c>
      <c r="J51" s="2">
        <v>35621.129999999997</v>
      </c>
      <c r="K51" s="2">
        <v>43157.03</v>
      </c>
      <c r="L51" s="2">
        <v>39535.919999999998</v>
      </c>
      <c r="M51" s="2">
        <v>29574.82</v>
      </c>
      <c r="N51" s="2">
        <v>40077.85</v>
      </c>
      <c r="O51" s="2">
        <v>45585.51</v>
      </c>
      <c r="P51" s="2">
        <v>64376.68</v>
      </c>
      <c r="Q51" s="2">
        <v>38647.75</v>
      </c>
      <c r="R51" s="2">
        <v>30164.03</v>
      </c>
      <c r="S51" s="2">
        <v>41136.160000000003</v>
      </c>
      <c r="T51" s="2">
        <v>34529.300000000003</v>
      </c>
      <c r="U51" s="2">
        <v>37535.440000000002</v>
      </c>
      <c r="V51" s="2">
        <v>44373.89</v>
      </c>
      <c r="W51" s="2">
        <v>50676.89</v>
      </c>
      <c r="X51" s="2">
        <v>48211.96</v>
      </c>
      <c r="Y51" s="2">
        <v>38974.44</v>
      </c>
      <c r="Z51" s="2">
        <v>36286.58</v>
      </c>
      <c r="AA51" s="2">
        <v>39913.089999999997</v>
      </c>
      <c r="AB51" s="2">
        <v>39199.230000000003</v>
      </c>
      <c r="AC51" s="2">
        <v>40985.160000000003</v>
      </c>
      <c r="AD51" s="2">
        <v>36499.06</v>
      </c>
      <c r="AE51" s="2">
        <v>38941.300000000003</v>
      </c>
      <c r="AF51" s="2">
        <v>46871.48</v>
      </c>
      <c r="AG51" s="2">
        <v>46057.72</v>
      </c>
      <c r="AH51" s="2">
        <v>39032.47</v>
      </c>
      <c r="AI51" s="24">
        <f>SUM(E51:AH51)</f>
        <v>1262745.46</v>
      </c>
      <c r="AJ51" s="26">
        <v>1154228.5780563336</v>
      </c>
      <c r="AK51" s="33">
        <f>$AJ51/$AI51*E51</f>
        <v>43033.680862811118</v>
      </c>
      <c r="AL51" s="33">
        <f>$AJ51/$AI51*F51</f>
        <v>32335.655057652191</v>
      </c>
      <c r="AM51" s="33">
        <f>$AJ51/$AI51*G51</f>
        <v>34975.815601398157</v>
      </c>
      <c r="AN51" s="33">
        <f>$AJ51/$AI51*H51</f>
        <v>47853.634250118987</v>
      </c>
      <c r="AO51" s="33">
        <f>$AJ51/$AI51*I51</f>
        <v>58233.511377175928</v>
      </c>
      <c r="AP51" s="33">
        <f>$AJ51/$AI51*J51</f>
        <v>32559.947773369786</v>
      </c>
      <c r="AQ51" s="33">
        <f>$AJ51/$AI51*K51</f>
        <v>39448.233193437518</v>
      </c>
      <c r="AR51" s="33">
        <f>$AJ51/$AI51*L51</f>
        <v>36138.311456490177</v>
      </c>
      <c r="AS51" s="33">
        <f>$AJ51/$AI51*M51</f>
        <v>27033.24107367768</v>
      </c>
      <c r="AT51" s="33">
        <f>$AJ51/$AI51*N51</f>
        <v>36633.669478451367</v>
      </c>
      <c r="AU51" s="33">
        <f>$AJ51/$AI51*O51</f>
        <v>41668.016281977194</v>
      </c>
      <c r="AV51" s="33">
        <f>$AJ51/$AI51*P51</f>
        <v>58844.324664123211</v>
      </c>
      <c r="AW51" s="33">
        <f>$AJ51/$AI51*Q51</f>
        <v>35326.468350618081</v>
      </c>
      <c r="AX51" s="33">
        <f>$AJ51/$AI51*R51</f>
        <v>27571.815982097127</v>
      </c>
      <c r="AY51" s="33">
        <f>$AJ51/$AI51*S51</f>
        <v>37601.031219306729</v>
      </c>
      <c r="AZ51" s="33">
        <f>$AJ51/$AI51*T51</f>
        <v>31561.946649390895</v>
      </c>
      <c r="BA51" s="33">
        <f>$AJ51/$AI51*U51</f>
        <v>34309.747221675876</v>
      </c>
      <c r="BB51" s="33">
        <f>$AJ51/$AI51*V51</f>
        <v>40560.519582092311</v>
      </c>
      <c r="BC51" s="33">
        <f>$AJ51/$AI51*W51</f>
        <v>46321.857047117977</v>
      </c>
      <c r="BD51" s="33">
        <f>$AJ51/$AI51*X51</f>
        <v>44068.756371619689</v>
      </c>
      <c r="BE51" s="33">
        <f>$AJ51/$AI51*Y51</f>
        <v>35625.083507916075</v>
      </c>
      <c r="BF51" s="33">
        <f>$AJ51/$AI51*Z51</f>
        <v>33168.210825265924</v>
      </c>
      <c r="BG51" s="33">
        <f>$AJ51/$AI51*AA51</f>
        <v>36483.068501021946</v>
      </c>
      <c r="BH51" s="33">
        <f>$AJ51/$AI51*AB51</f>
        <v>35830.5556717687</v>
      </c>
      <c r="BI51" s="33">
        <f>$AJ51/$AI51*AC51</f>
        <v>37463.007745212031</v>
      </c>
      <c r="BJ51" s="33">
        <f>$AJ51/$AI51*AD51</f>
        <v>33362.430876760234</v>
      </c>
      <c r="BK51" s="33">
        <f>$AJ51/$AI51*AE51</f>
        <v>35594.791468634627</v>
      </c>
      <c r="BL51" s="33">
        <f>$AJ51/$AI51*AF51</f>
        <v>42843.473546755718</v>
      </c>
      <c r="BM51" s="33">
        <f>$AJ51/$AI51*AG51</f>
        <v>42099.645849541805</v>
      </c>
      <c r="BN51" s="33">
        <f>$AJ51/$AI51*AH51</f>
        <v>35678.126568854583</v>
      </c>
    </row>
    <row r="52" spans="1:66" x14ac:dyDescent="0.25">
      <c r="A52" s="1" t="s">
        <v>49</v>
      </c>
      <c r="B52" s="4">
        <v>50</v>
      </c>
      <c r="C52" s="4" t="s">
        <v>4</v>
      </c>
      <c r="D52" s="4" t="str">
        <f>A52&amp;C52</f>
        <v>MLOLONGOBAKERY</v>
      </c>
      <c r="E52" s="2">
        <v>89982.47</v>
      </c>
      <c r="F52" s="2">
        <v>102589.12</v>
      </c>
      <c r="G52" s="2">
        <v>92564.92</v>
      </c>
      <c r="H52" s="2">
        <v>107711.92</v>
      </c>
      <c r="I52" s="2">
        <v>141637.47</v>
      </c>
      <c r="J52" s="2">
        <v>140417.01999999999</v>
      </c>
      <c r="K52" s="2">
        <v>93924.99</v>
      </c>
      <c r="L52" s="2">
        <v>88116.02</v>
      </c>
      <c r="M52" s="2">
        <v>85749.09</v>
      </c>
      <c r="N52" s="2">
        <v>91564.57</v>
      </c>
      <c r="O52" s="2">
        <v>108616.78</v>
      </c>
      <c r="P52" s="2">
        <v>137247.85</v>
      </c>
      <c r="Q52" s="2">
        <v>136158.19</v>
      </c>
      <c r="R52" s="2">
        <v>87170.95</v>
      </c>
      <c r="S52" s="2">
        <v>77054.37</v>
      </c>
      <c r="T52" s="2">
        <v>71835.850000000006</v>
      </c>
      <c r="U52" s="2">
        <v>95726.57</v>
      </c>
      <c r="V52" s="2">
        <v>100930.99</v>
      </c>
      <c r="W52" s="2">
        <v>140392.68</v>
      </c>
      <c r="X52" s="2">
        <v>135380.04999999999</v>
      </c>
      <c r="Y52" s="2">
        <v>104090.85</v>
      </c>
      <c r="Z52" s="2">
        <v>85083.05</v>
      </c>
      <c r="AA52" s="2">
        <v>71041.47</v>
      </c>
      <c r="AB52" s="2">
        <v>76285.440000000002</v>
      </c>
      <c r="AC52" s="2">
        <v>95686.96</v>
      </c>
      <c r="AD52" s="2">
        <v>124119.95</v>
      </c>
      <c r="AE52" s="2">
        <v>111962.64</v>
      </c>
      <c r="AF52" s="2">
        <v>173617.67</v>
      </c>
      <c r="AG52" s="2">
        <v>140404.01999999999</v>
      </c>
      <c r="AH52" s="2">
        <v>90429.64</v>
      </c>
      <c r="AI52" s="24">
        <f>SUM(E52:AH52)</f>
        <v>3197493.5600000005</v>
      </c>
      <c r="AJ52" s="26">
        <v>2586246.1469371999</v>
      </c>
      <c r="AK52" s="33">
        <f>$AJ52/$AI52*E52</f>
        <v>72781.011740143163</v>
      </c>
      <c r="AL52" s="33">
        <f>$AJ52/$AI52*F52</f>
        <v>82977.717183479792</v>
      </c>
      <c r="AM52" s="33">
        <f>$AJ52/$AI52*G52</f>
        <v>74869.788851599791</v>
      </c>
      <c r="AN52" s="33">
        <f>$AJ52/$AI52*H52</f>
        <v>87121.219433889302</v>
      </c>
      <c r="AO52" s="33">
        <f>$AJ52/$AI52*I52</f>
        <v>114561.4069819841</v>
      </c>
      <c r="AP52" s="33">
        <f>$AJ52/$AI52*J52</f>
        <v>113574.2637553283</v>
      </c>
      <c r="AQ52" s="33">
        <f>$AJ52/$AI52*K52</f>
        <v>75969.861683979441</v>
      </c>
      <c r="AR52" s="33">
        <f>$AJ52/$AI52*L52</f>
        <v>71271.360811885796</v>
      </c>
      <c r="AS52" s="33">
        <f>$AJ52/$AI52*M52</f>
        <v>69356.903916913958</v>
      </c>
      <c r="AT52" s="33">
        <f>$AJ52/$AI52*N52</f>
        <v>74060.670307796187</v>
      </c>
      <c r="AU52" s="33">
        <f>$AJ52/$AI52*O52</f>
        <v>87853.10228043914</v>
      </c>
      <c r="AV52" s="33">
        <f>$AJ52/$AI52*P52</f>
        <v>111010.92670782885</v>
      </c>
      <c r="AW52" s="33">
        <f>$AJ52/$AI52*Q52</f>
        <v>110129.57106986109</v>
      </c>
      <c r="AX52" s="33">
        <f>$AJ52/$AI52*R52</f>
        <v>70506.95469183533</v>
      </c>
      <c r="AY52" s="33">
        <f>$AJ52/$AI52*S52</f>
        <v>62324.306140955392</v>
      </c>
      <c r="AZ52" s="33">
        <f>$AJ52/$AI52*T52</f>
        <v>58103.382161138317</v>
      </c>
      <c r="BA52" s="33">
        <f>$AJ52/$AI52*U52</f>
        <v>77427.043456504762</v>
      </c>
      <c r="BB52" s="33">
        <f>$AJ52/$AI52*V52</f>
        <v>81636.562856457182</v>
      </c>
      <c r="BC52" s="33">
        <f>$AJ52/$AI52*W52</f>
        <v>113554.57670044134</v>
      </c>
      <c r="BD52" s="33">
        <f>$AJ52/$AI52*X52</f>
        <v>109500.18385171209</v>
      </c>
      <c r="BE52" s="33">
        <f>$AJ52/$AI52*Y52</f>
        <v>84192.369645904153</v>
      </c>
      <c r="BF52" s="33">
        <f>$AJ52/$AI52*Z52</f>
        <v>68818.18715286642</v>
      </c>
      <c r="BG52" s="33">
        <f>$AJ52/$AI52*AA52</f>
        <v>57460.859455258658</v>
      </c>
      <c r="BH52" s="33">
        <f>$AJ52/$AI52*AB52</f>
        <v>61702.368297313762</v>
      </c>
      <c r="BI52" s="33">
        <f>$AJ52/$AI52*AC52</f>
        <v>77395.005484274981</v>
      </c>
      <c r="BJ52" s="33">
        <f>$AJ52/$AI52*AD52</f>
        <v>100392.61578545223</v>
      </c>
      <c r="BK52" s="33">
        <f>$AJ52/$AI52*AE52</f>
        <v>90559.352463845702</v>
      </c>
      <c r="BL52" s="33">
        <f>$AJ52/$AI52*AF52</f>
        <v>140428.12648470644</v>
      </c>
      <c r="BM52" s="33">
        <f>$AJ52/$AI52*AG52</f>
        <v>113563.74889446016</v>
      </c>
      <c r="BN52" s="33">
        <f>$AJ52/$AI52*AH52</f>
        <v>73142.698688943739</v>
      </c>
    </row>
    <row r="53" spans="1:66" x14ac:dyDescent="0.25">
      <c r="A53" s="1" t="s">
        <v>50</v>
      </c>
      <c r="B53" s="4">
        <v>51</v>
      </c>
      <c r="C53" s="4" t="s">
        <v>4</v>
      </c>
      <c r="D53" s="4" t="str">
        <f>A53&amp;C53</f>
        <v>KITUIBAKERY</v>
      </c>
      <c r="E53" s="2">
        <v>67621.740000000005</v>
      </c>
      <c r="F53" s="2">
        <v>56660.88</v>
      </c>
      <c r="G53" s="2">
        <v>84197.94</v>
      </c>
      <c r="H53" s="2">
        <v>103348.74</v>
      </c>
      <c r="I53" s="2">
        <v>94800.68</v>
      </c>
      <c r="J53" s="2">
        <v>60232.68</v>
      </c>
      <c r="K53" s="2">
        <v>81242.64</v>
      </c>
      <c r="L53" s="2">
        <v>67946.78</v>
      </c>
      <c r="M53" s="2">
        <v>65523.99</v>
      </c>
      <c r="N53" s="2">
        <v>72021.64</v>
      </c>
      <c r="O53" s="2">
        <v>83804.399999999994</v>
      </c>
      <c r="P53" s="2">
        <v>82599.3</v>
      </c>
      <c r="Q53" s="2">
        <v>77783.820000000007</v>
      </c>
      <c r="R53" s="2">
        <v>71619.399999999994</v>
      </c>
      <c r="S53" s="2">
        <v>69834.61</v>
      </c>
      <c r="T53" s="2">
        <v>76482.64</v>
      </c>
      <c r="U53" s="2">
        <v>92475.92</v>
      </c>
      <c r="V53" s="2">
        <v>108733.85</v>
      </c>
      <c r="W53" s="2">
        <v>89525.78</v>
      </c>
      <c r="X53" s="2">
        <v>82494.58</v>
      </c>
      <c r="Y53" s="2">
        <v>67584.259999999995</v>
      </c>
      <c r="Z53" s="2">
        <v>76324.160000000003</v>
      </c>
      <c r="AA53" s="2">
        <v>67019.289999999994</v>
      </c>
      <c r="AB53" s="2">
        <v>62688.43</v>
      </c>
      <c r="AC53" s="2">
        <v>82921.990000000005</v>
      </c>
      <c r="AD53" s="2">
        <v>67527.44</v>
      </c>
      <c r="AE53" s="2">
        <v>64788.44</v>
      </c>
      <c r="AF53" s="2">
        <v>100324.23</v>
      </c>
      <c r="AG53" s="2">
        <v>66250.820000000007</v>
      </c>
      <c r="AH53" s="2">
        <v>64100.5</v>
      </c>
      <c r="AI53" s="24">
        <f>SUM(E53:AH53)</f>
        <v>2308481.5699999998</v>
      </c>
      <c r="AJ53" s="26">
        <v>1569926.7647826064</v>
      </c>
      <c r="AK53" s="33">
        <f>$AJ53/$AI53*E53</f>
        <v>45987.449450233464</v>
      </c>
      <c r="AL53" s="33">
        <f>$AJ53/$AI53*F53</f>
        <v>38533.308294133574</v>
      </c>
      <c r="AM53" s="33">
        <f>$AJ53/$AI53*G53</f>
        <v>57260.409293871911</v>
      </c>
      <c r="AN53" s="33">
        <f>$AJ53/$AI53*H53</f>
        <v>70284.27479824271</v>
      </c>
      <c r="AO53" s="33">
        <f>$AJ53/$AI53*I53</f>
        <v>64471.004137837299</v>
      </c>
      <c r="AP53" s="33">
        <f>$AJ53/$AI53*J53</f>
        <v>40962.378766829839</v>
      </c>
      <c r="AQ53" s="33">
        <f>$AJ53/$AI53*K53</f>
        <v>55250.601362868139</v>
      </c>
      <c r="AR53" s="33">
        <f>$AJ53/$AI53*L53</f>
        <v>46208.499079676651</v>
      </c>
      <c r="AS53" s="33">
        <f>$AJ53/$AI53*M53</f>
        <v>44560.83469462044</v>
      </c>
      <c r="AT53" s="33">
        <f>$AJ53/$AI53*N53</f>
        <v>48979.685066117971</v>
      </c>
      <c r="AU53" s="33">
        <f>$AJ53/$AI53*O53</f>
        <v>56992.774937573995</v>
      </c>
      <c r="AV53" s="33">
        <f>$AJ53/$AI53*P53</f>
        <v>56173.223779433487</v>
      </c>
      <c r="AW53" s="33">
        <f>$AJ53/$AI53*Q53</f>
        <v>52898.365086376936</v>
      </c>
      <c r="AX53" s="33">
        <f>$AJ53/$AI53*R53</f>
        <v>48706.134109475002</v>
      </c>
      <c r="AY53" s="33">
        <f>$AJ53/$AI53*S53</f>
        <v>47492.353749722621</v>
      </c>
      <c r="AZ53" s="33">
        <f>$AJ53/$AI53*T53</f>
        <v>52013.472898218883</v>
      </c>
      <c r="BA53" s="33">
        <f>$AJ53/$AI53*U53</f>
        <v>62890.006917358725</v>
      </c>
      <c r="BB53" s="33">
        <f>$AJ53/$AI53*V53</f>
        <v>73946.521198719041</v>
      </c>
      <c r="BC53" s="33">
        <f>$AJ53/$AI53*W53</f>
        <v>60883.708142421674</v>
      </c>
      <c r="BD53" s="33">
        <f>$AJ53/$AI53*X53</f>
        <v>56102.006953211203</v>
      </c>
      <c r="BE53" s="33">
        <f>$AJ53/$AI53*Y53</f>
        <v>45961.960463919371</v>
      </c>
      <c r="BF53" s="33">
        <f>$AJ53/$AI53*Z53</f>
        <v>51905.695562278204</v>
      </c>
      <c r="BG53" s="33">
        <f>$AJ53/$AI53*AA53</f>
        <v>45577.741878063716</v>
      </c>
      <c r="BH53" s="33">
        <f>$AJ53/$AI53*AB53</f>
        <v>42632.458226296731</v>
      </c>
      <c r="BI53" s="33">
        <f>$AJ53/$AI53*AC53</f>
        <v>56392.675246714512</v>
      </c>
      <c r="BJ53" s="33">
        <f>$AJ53/$AI53*AD53</f>
        <v>45923.318943045138</v>
      </c>
      <c r="BK53" s="33">
        <f>$AJ53/$AI53*AE53</f>
        <v>44060.60993786146</v>
      </c>
      <c r="BL53" s="33">
        <f>$AJ53/$AI53*AF53</f>
        <v>68227.399291390539</v>
      </c>
      <c r="BM53" s="33">
        <f>$AJ53/$AI53*AG53</f>
        <v>45055.129249654274</v>
      </c>
      <c r="BN53" s="33">
        <f>$AJ53/$AI53*AH53</f>
        <v>43592.763266439018</v>
      </c>
    </row>
    <row r="54" spans="1:66" x14ac:dyDescent="0.25">
      <c r="A54" s="1" t="s">
        <v>83</v>
      </c>
      <c r="B54" s="4">
        <v>52</v>
      </c>
      <c r="C54" s="4" t="s">
        <v>4</v>
      </c>
      <c r="D54" s="4" t="str">
        <f>A54&amp;C54</f>
        <v>T-MALLBAKERY</v>
      </c>
      <c r="E54" s="2">
        <v>51431.61</v>
      </c>
      <c r="F54" s="2">
        <v>39204.89</v>
      </c>
      <c r="G54" s="2">
        <v>51062.51</v>
      </c>
      <c r="H54" s="2">
        <v>60323.199999999997</v>
      </c>
      <c r="I54" s="2">
        <v>48443.48</v>
      </c>
      <c r="J54" s="2">
        <v>52430.37</v>
      </c>
      <c r="K54" s="2">
        <v>42712.1</v>
      </c>
      <c r="L54" s="2">
        <v>43614.82</v>
      </c>
      <c r="M54" s="2">
        <v>47664.92</v>
      </c>
      <c r="N54" s="2">
        <v>54409.68</v>
      </c>
      <c r="O54" s="2">
        <v>48539.75</v>
      </c>
      <c r="P54" s="2">
        <v>59409.58</v>
      </c>
      <c r="Q54" s="2">
        <v>50950.65</v>
      </c>
      <c r="R54" s="2">
        <v>46086.06</v>
      </c>
      <c r="S54" s="2">
        <v>45835.92</v>
      </c>
      <c r="T54" s="2">
        <v>56125.51</v>
      </c>
      <c r="U54" s="2">
        <v>48417.37</v>
      </c>
      <c r="V54" s="2">
        <v>56338.37</v>
      </c>
      <c r="W54" s="2">
        <v>63860.68</v>
      </c>
      <c r="X54" s="2">
        <v>54873.58</v>
      </c>
      <c r="Y54" s="2">
        <v>59156.61</v>
      </c>
      <c r="Z54" s="2">
        <v>55249.440000000002</v>
      </c>
      <c r="AA54" s="2">
        <v>46400.78</v>
      </c>
      <c r="AB54" s="2">
        <v>52940.23</v>
      </c>
      <c r="AC54" s="2">
        <v>61610.34</v>
      </c>
      <c r="AD54" s="2">
        <v>63508.03</v>
      </c>
      <c r="AE54" s="2">
        <v>53625.68</v>
      </c>
      <c r="AF54" s="2">
        <v>66295.13</v>
      </c>
      <c r="AG54" s="2">
        <v>57608.34</v>
      </c>
      <c r="AH54" s="2">
        <v>43452.23</v>
      </c>
      <c r="AI54" s="24">
        <f>SUM(E54:AH54)</f>
        <v>1581581.86</v>
      </c>
      <c r="AJ54" s="26">
        <v>1427755.2025018125</v>
      </c>
      <c r="AK54" s="33">
        <f>$AJ54/$AI54*E54</f>
        <v>46429.306384776217</v>
      </c>
      <c r="AL54" s="33">
        <f>$AJ54/$AI54*F54</f>
        <v>35391.772678153553</v>
      </c>
      <c r="AM54" s="33">
        <f>$AJ54/$AI54*G54</f>
        <v>46096.105518876415</v>
      </c>
      <c r="AN54" s="33">
        <f>$AJ54/$AI54*H54</f>
        <v>54456.089064879212</v>
      </c>
      <c r="AO54" s="33">
        <f>$AJ54/$AI54*I54</f>
        <v>43731.805698184035</v>
      </c>
      <c r="AP54" s="33">
        <f>$AJ54/$AI54*J54</f>
        <v>47330.925720528277</v>
      </c>
      <c r="AQ54" s="33">
        <f>$AJ54/$AI54*K54</f>
        <v>38557.866985637818</v>
      </c>
      <c r="AR54" s="33">
        <f>$AJ54/$AI54*L54</f>
        <v>39372.787293589783</v>
      </c>
      <c r="AS54" s="33">
        <f>$AJ54/$AI54*M54</f>
        <v>43028.969431169804</v>
      </c>
      <c r="AT54" s="33">
        <f>$AJ54/$AI54*N54</f>
        <v>49117.725519726693</v>
      </c>
      <c r="AU54" s="33">
        <f>$AJ54/$AI54*O54</f>
        <v>43818.712355892443</v>
      </c>
      <c r="AV54" s="33">
        <f>$AJ54/$AI54*P54</f>
        <v>53631.328904750859</v>
      </c>
      <c r="AW54" s="33">
        <f>$AJ54/$AI54*Q54</f>
        <v>45995.125164339559</v>
      </c>
      <c r="AX54" s="33">
        <f>$AJ54/$AI54*R54</f>
        <v>41603.671357112478</v>
      </c>
      <c r="AY54" s="33">
        <f>$AJ54/$AI54*S54</f>
        <v>41377.860290745157</v>
      </c>
      <c r="AZ54" s="33">
        <f>$AJ54/$AI54*T54</f>
        <v>50666.671717875863</v>
      </c>
      <c r="BA54" s="33">
        <f>$AJ54/$AI54*U54</f>
        <v>43708.23518989727</v>
      </c>
      <c r="BB54" s="33">
        <f>$AJ54/$AI54*V54</f>
        <v>50858.828684322441</v>
      </c>
      <c r="BC54" s="33">
        <f>$AJ54/$AI54*W54</f>
        <v>57649.509273774449</v>
      </c>
      <c r="BD54" s="33">
        <f>$AJ54/$AI54*X54</f>
        <v>49536.506017399188</v>
      </c>
      <c r="BE54" s="33">
        <f>$AJ54/$AI54*Y54</f>
        <v>53402.963087772609</v>
      </c>
      <c r="BF54" s="33">
        <f>$AJ54/$AI54*Z54</f>
        <v>49875.80939712582</v>
      </c>
      <c r="BG54" s="33">
        <f>$AJ54/$AI54*AA54</f>
        <v>41887.781290778112</v>
      </c>
      <c r="BH54" s="33">
        <f>$AJ54/$AI54*AB54</f>
        <v>47791.196090313359</v>
      </c>
      <c r="BI54" s="33">
        <f>$AJ54/$AI54*AC54</f>
        <v>55618.040196101836</v>
      </c>
      <c r="BJ54" s="33">
        <f>$AJ54/$AI54*AD54</f>
        <v>57331.158460012419</v>
      </c>
      <c r="BK54" s="33">
        <f>$AJ54/$AI54*AE54</f>
        <v>48409.97835401159</v>
      </c>
      <c r="BL54" s="33">
        <f>$AJ54/$AI54*AF54</f>
        <v>59847.181579354976</v>
      </c>
      <c r="BM54" s="33">
        <f>$AJ54/$AI54*AG54</f>
        <v>52005.279791520406</v>
      </c>
      <c r="BN54" s="33">
        <f>$AJ54/$AI54*AH54</f>
        <v>39226.011003189764</v>
      </c>
    </row>
    <row r="55" spans="1:66" x14ac:dyDescent="0.25">
      <c r="A55" s="1" t="s">
        <v>84</v>
      </c>
      <c r="B55" s="4">
        <v>53</v>
      </c>
      <c r="C55" s="4" t="s">
        <v>4</v>
      </c>
      <c r="D55" s="4" t="str">
        <f>A55&amp;C55</f>
        <v>MILELE-NGONGBAKERY</v>
      </c>
      <c r="E55" s="2">
        <v>81359.13</v>
      </c>
      <c r="F55" s="2">
        <v>76631.61</v>
      </c>
      <c r="G55" s="2">
        <v>81580.639999999999</v>
      </c>
      <c r="H55" s="2">
        <v>102004.89</v>
      </c>
      <c r="I55" s="2">
        <v>92024.75</v>
      </c>
      <c r="J55" s="2">
        <v>90779.37</v>
      </c>
      <c r="K55" s="2">
        <v>77645.09</v>
      </c>
      <c r="L55" s="2">
        <v>84496.13</v>
      </c>
      <c r="M55" s="2">
        <v>78457.509999999995</v>
      </c>
      <c r="N55" s="2">
        <v>70367.44</v>
      </c>
      <c r="O55" s="2">
        <v>96451.58</v>
      </c>
      <c r="P55" s="2">
        <v>98720.75</v>
      </c>
      <c r="Q55" s="2">
        <v>102591.44</v>
      </c>
      <c r="R55" s="2">
        <v>70845.820000000007</v>
      </c>
      <c r="S55" s="2">
        <v>72859.92</v>
      </c>
      <c r="T55" s="2">
        <v>70735.44</v>
      </c>
      <c r="U55" s="2">
        <v>80161.09</v>
      </c>
      <c r="V55" s="2">
        <v>91017.09</v>
      </c>
      <c r="W55" s="2">
        <v>101981.09</v>
      </c>
      <c r="X55" s="2">
        <v>100391.5</v>
      </c>
      <c r="Y55" s="2">
        <v>86071.95</v>
      </c>
      <c r="Z55" s="2">
        <v>93267.16</v>
      </c>
      <c r="AA55" s="2">
        <v>86162.47</v>
      </c>
      <c r="AB55" s="2">
        <v>76460.37</v>
      </c>
      <c r="AC55" s="2">
        <v>86967.47</v>
      </c>
      <c r="AD55" s="2">
        <v>88177.02</v>
      </c>
      <c r="AE55" s="2">
        <v>82137.13</v>
      </c>
      <c r="AF55" s="2">
        <v>119482.13</v>
      </c>
      <c r="AG55" s="2">
        <v>97800.03</v>
      </c>
      <c r="AH55" s="2">
        <v>83043.88</v>
      </c>
      <c r="AI55" s="24">
        <f>SUM(E55:AH55)</f>
        <v>2620671.8899999997</v>
      </c>
      <c r="AJ55" s="26">
        <v>1978964.0718625537</v>
      </c>
      <c r="AK55" s="33">
        <f>$AJ55/$AI55*E55</f>
        <v>61437.219898594354</v>
      </c>
      <c r="AL55" s="33">
        <f>$AJ55/$AI55*F55</f>
        <v>57867.298664001471</v>
      </c>
      <c r="AM55" s="33">
        <f>$AJ55/$AI55*G55</f>
        <v>61604.490106372352</v>
      </c>
      <c r="AN55" s="33">
        <f>$AJ55/$AI55*H55</f>
        <v>77027.579543462765</v>
      </c>
      <c r="AO55" s="33">
        <f>$AJ55/$AI55*I55</f>
        <v>69491.215083828589</v>
      </c>
      <c r="AP55" s="33">
        <f>$AJ55/$AI55*J55</f>
        <v>68550.783629887126</v>
      </c>
      <c r="AQ55" s="33">
        <f>$AJ55/$AI55*K55</f>
        <v>58632.614045604336</v>
      </c>
      <c r="AR55" s="33">
        <f>$AJ55/$AI55*L55</f>
        <v>63806.081989694525</v>
      </c>
      <c r="AS55" s="33">
        <f>$AJ55/$AI55*M55</f>
        <v>59246.101753622061</v>
      </c>
      <c r="AT55" s="33">
        <f>$AJ55/$AI55*N55</f>
        <v>53136.997470119757</v>
      </c>
      <c r="AU55" s="33">
        <f>$AJ55/$AI55*O55</f>
        <v>72834.074430575463</v>
      </c>
      <c r="AV55" s="33">
        <f>$AJ55/$AI55*P55</f>
        <v>74547.606719788644</v>
      </c>
      <c r="AW55" s="33">
        <f>$AJ55/$AI55*Q55</f>
        <v>77470.504650104398</v>
      </c>
      <c r="AX55" s="33">
        <f>$AJ55/$AI55*R55</f>
        <v>53498.239499810705</v>
      </c>
      <c r="AY55" s="33">
        <f>$AJ55/$AI55*S55</f>
        <v>55019.159212174374</v>
      </c>
      <c r="AZ55" s="33">
        <f>$AJ55/$AI55*T55</f>
        <v>53414.887571976578</v>
      </c>
      <c r="BA55" s="33">
        <f>$AJ55/$AI55*U55</f>
        <v>60532.536589821109</v>
      </c>
      <c r="BB55" s="33">
        <f>$AJ55/$AI55*V55</f>
        <v>68730.294594597464</v>
      </c>
      <c r="BC55" s="33">
        <f>$AJ55/$AI55*W55</f>
        <v>77009.607303179626</v>
      </c>
      <c r="BD55" s="33">
        <f>$AJ55/$AI55*X55</f>
        <v>75809.250436303031</v>
      </c>
      <c r="BE55" s="33">
        <f>$AJ55/$AI55*Y55</f>
        <v>64996.040631835887</v>
      </c>
      <c r="BF55" s="33">
        <f>$AJ55/$AI55*Z55</f>
        <v>70429.403783415371</v>
      </c>
      <c r="BG55" s="33">
        <f>$AJ55/$AI55*AA55</f>
        <v>65064.395555803494</v>
      </c>
      <c r="BH55" s="33">
        <f>$AJ55/$AI55*AB55</f>
        <v>57737.989150300476</v>
      </c>
      <c r="BI55" s="33">
        <f>$AJ55/$AI55*AC55</f>
        <v>65672.280153615298</v>
      </c>
      <c r="BJ55" s="33">
        <f>$AJ55/$AI55*AD55</f>
        <v>66585.655079433025</v>
      </c>
      <c r="BK55" s="33">
        <f>$AJ55/$AI55*AE55</f>
        <v>62024.715820454709</v>
      </c>
      <c r="BL55" s="33">
        <f>$AJ55/$AI55*AF55</f>
        <v>90225.27520589807</v>
      </c>
      <c r="BM55" s="33">
        <f>$AJ55/$AI55*AG55</f>
        <v>73852.337767121207</v>
      </c>
      <c r="BN55" s="33">
        <f>$AJ55/$AI55*AH55</f>
        <v>62709.435521157633</v>
      </c>
    </row>
    <row r="56" spans="1:66" x14ac:dyDescent="0.25">
      <c r="A56" s="1" t="s">
        <v>51</v>
      </c>
      <c r="B56" s="4">
        <v>54</v>
      </c>
      <c r="C56" s="4" t="s">
        <v>4</v>
      </c>
      <c r="D56" s="4" t="str">
        <f>A56&amp;C56</f>
        <v>KARENBAKERY</v>
      </c>
      <c r="E56" s="2">
        <v>47990.47</v>
      </c>
      <c r="F56" s="2">
        <v>40699.65</v>
      </c>
      <c r="G56" s="2">
        <v>58039.03</v>
      </c>
      <c r="H56" s="2">
        <v>53873.3</v>
      </c>
      <c r="I56" s="2">
        <v>46083.06</v>
      </c>
      <c r="J56" s="2">
        <v>49714.44</v>
      </c>
      <c r="K56" s="2">
        <v>53932.1</v>
      </c>
      <c r="L56" s="2">
        <v>48135.06</v>
      </c>
      <c r="M56" s="2">
        <v>55119.27</v>
      </c>
      <c r="N56" s="2">
        <v>47078.239999999998</v>
      </c>
      <c r="O56" s="2">
        <v>56472.3</v>
      </c>
      <c r="P56" s="2">
        <v>60341.919999999998</v>
      </c>
      <c r="Q56" s="2">
        <v>50938.82</v>
      </c>
      <c r="R56" s="2">
        <v>49591.58</v>
      </c>
      <c r="S56" s="2">
        <v>44160.85</v>
      </c>
      <c r="T56" s="2">
        <v>55765.27</v>
      </c>
      <c r="U56" s="2">
        <v>46043.58</v>
      </c>
      <c r="V56" s="2">
        <v>62122.37</v>
      </c>
      <c r="W56" s="2">
        <v>63676.03</v>
      </c>
      <c r="X56" s="2">
        <v>42562.75</v>
      </c>
      <c r="Y56" s="2">
        <v>54083.06</v>
      </c>
      <c r="Z56" s="2">
        <v>54141.85</v>
      </c>
      <c r="AA56" s="2">
        <v>53512.160000000003</v>
      </c>
      <c r="AB56" s="2">
        <v>52708.06</v>
      </c>
      <c r="AC56" s="2">
        <v>58099.58</v>
      </c>
      <c r="AD56" s="2">
        <v>47689.23</v>
      </c>
      <c r="AE56" s="2">
        <v>52472.82</v>
      </c>
      <c r="AF56" s="2">
        <v>58566.2</v>
      </c>
      <c r="AG56" s="2">
        <v>58993.89</v>
      </c>
      <c r="AH56" s="2">
        <v>50232.1</v>
      </c>
      <c r="AI56" s="24">
        <f>SUM(E56:AH56)</f>
        <v>1572839.04</v>
      </c>
      <c r="AJ56" s="26">
        <v>1484895.2073528825</v>
      </c>
      <c r="AK56" s="33">
        <f>$AJ56/$AI56*E56</f>
        <v>45307.127486873855</v>
      </c>
      <c r="AL56" s="33">
        <f>$AJ56/$AI56*F56</f>
        <v>38423.966908870563</v>
      </c>
      <c r="AM56" s="33">
        <f>$AJ56/$AI56*G56</f>
        <v>54793.831596658587</v>
      </c>
      <c r="AN56" s="33">
        <f>$AJ56/$AI56*H56</f>
        <v>50861.024516713449</v>
      </c>
      <c r="AO56" s="33">
        <f>$AJ56/$AI56*I56</f>
        <v>43506.368543697463</v>
      </c>
      <c r="AP56" s="33">
        <f>$AJ56/$AI56*J56</f>
        <v>46934.703307105367</v>
      </c>
      <c r="AQ56" s="33">
        <f>$AJ56/$AI56*K56</f>
        <v>50916.536769380029</v>
      </c>
      <c r="AR56" s="33">
        <f>$AJ56/$AI56*L56</f>
        <v>45443.632871449729</v>
      </c>
      <c r="AS56" s="33">
        <f>$AJ56/$AI56*M56</f>
        <v>52037.327262546525</v>
      </c>
      <c r="AT56" s="33">
        <f>$AJ56/$AI56*N56</f>
        <v>44445.903979220122</v>
      </c>
      <c r="AU56" s="33">
        <f>$AJ56/$AI56*O56</f>
        <v>53314.703848013705</v>
      </c>
      <c r="AV56" s="33">
        <f>$AJ56/$AI56*P56</f>
        <v>56967.957643314243</v>
      </c>
      <c r="AW56" s="33">
        <f>$AJ56/$AI56*Q56</f>
        <v>48090.623237716143</v>
      </c>
      <c r="AX56" s="33">
        <f>$AJ56/$AI56*R56</f>
        <v>46818.712909781956</v>
      </c>
      <c r="AY56" s="33">
        <f>$AJ56/$AI56*S56</f>
        <v>41691.63712876146</v>
      </c>
      <c r="AZ56" s="33">
        <f>$AJ56/$AI56*T56</f>
        <v>52647.2067731352</v>
      </c>
      <c r="BA56" s="33">
        <f>$AJ56/$AI56*U56</f>
        <v>43469.096031192763</v>
      </c>
      <c r="BB56" s="33">
        <f>$AJ56/$AI56*V56</f>
        <v>58648.85543685544</v>
      </c>
      <c r="BC56" s="33">
        <f>$AJ56/$AI56*W56</f>
        <v>60115.643982399088</v>
      </c>
      <c r="BD56" s="33">
        <f>$AJ56/$AI56*X56</f>
        <v>40182.893404501767</v>
      </c>
      <c r="BE56" s="33">
        <f>$AJ56/$AI56*Y56</f>
        <v>51059.055981328122</v>
      </c>
      <c r="BF56" s="33">
        <f>$AJ56/$AI56*Z56</f>
        <v>51114.558793135409</v>
      </c>
      <c r="BG56" s="33">
        <f>$AJ56/$AI56*AA56</f>
        <v>50520.077324060207</v>
      </c>
      <c r="BH56" s="33">
        <f>$AJ56/$AI56*AB56</f>
        <v>49760.937827985348</v>
      </c>
      <c r="BI56" s="33">
        <f>$AJ56/$AI56*AC56</f>
        <v>54850.995999702158</v>
      </c>
      <c r="BJ56" s="33">
        <f>$AJ56/$AI56*AD56</f>
        <v>45022.731041409876</v>
      </c>
      <c r="BK56" s="33">
        <f>$AJ56/$AI56*AE56</f>
        <v>49538.851053881823</v>
      </c>
      <c r="BL56" s="33">
        <f>$AJ56/$AI56*AF56</f>
        <v>55291.525376220554</v>
      </c>
      <c r="BM56" s="33">
        <f>$AJ56/$AI56*AG56</f>
        <v>55695.301487495592</v>
      </c>
      <c r="BN56" s="33">
        <f>$AJ56/$AI56*AH56</f>
        <v>47423.41882947585</v>
      </c>
    </row>
    <row r="57" spans="1:66" x14ac:dyDescent="0.25">
      <c r="A57" s="1" t="s">
        <v>70</v>
      </c>
      <c r="B57" s="4">
        <v>55</v>
      </c>
      <c r="C57" s="4" t="s">
        <v>4</v>
      </c>
      <c r="D57" s="4" t="str">
        <f>A57&amp;C57</f>
        <v>SHABAABBAKERY</v>
      </c>
      <c r="E57" s="2">
        <v>20369.62</v>
      </c>
      <c r="F57" s="2">
        <v>16821.580000000002</v>
      </c>
      <c r="G57" s="2">
        <v>19221.21</v>
      </c>
      <c r="H57" s="2">
        <v>19851.86</v>
      </c>
      <c r="I57" s="2">
        <v>23526.89</v>
      </c>
      <c r="J57" s="2">
        <v>20257.759999999998</v>
      </c>
      <c r="K57" s="2">
        <v>19213.86</v>
      </c>
      <c r="L57" s="2">
        <v>19312.650000000001</v>
      </c>
      <c r="M57" s="2">
        <v>20901.48</v>
      </c>
      <c r="N57" s="2">
        <v>17979.240000000002</v>
      </c>
      <c r="O57" s="2">
        <v>22350.89</v>
      </c>
      <c r="P57" s="2">
        <v>23794.240000000002</v>
      </c>
      <c r="Q57" s="2">
        <v>24383.58</v>
      </c>
      <c r="R57" s="2">
        <v>20927.38</v>
      </c>
      <c r="S57" s="2">
        <v>19601.79</v>
      </c>
      <c r="T57" s="2">
        <v>29240.07</v>
      </c>
      <c r="U57" s="2">
        <v>19493.38</v>
      </c>
      <c r="V57" s="2">
        <v>21960.58</v>
      </c>
      <c r="W57" s="2">
        <v>25580.27</v>
      </c>
      <c r="X57" s="2">
        <v>22502.45</v>
      </c>
      <c r="Y57" s="2">
        <v>22452.1</v>
      </c>
      <c r="Z57" s="2">
        <v>19340.62</v>
      </c>
      <c r="AA57" s="2">
        <v>17459.2</v>
      </c>
      <c r="AB57" s="2">
        <v>19317.580000000002</v>
      </c>
      <c r="AC57" s="2">
        <v>20345.45</v>
      </c>
      <c r="AD57" s="2">
        <v>26769.82</v>
      </c>
      <c r="AE57" s="2">
        <v>20538.14</v>
      </c>
      <c r="AF57" s="2">
        <v>24191.31</v>
      </c>
      <c r="AG57" s="2">
        <v>23450.45</v>
      </c>
      <c r="AH57" s="2">
        <v>19319.169999999998</v>
      </c>
      <c r="AI57" s="24">
        <f>SUM(E57:AH57)</f>
        <v>640474.62</v>
      </c>
      <c r="AJ57" s="26">
        <v>408927.41873738635</v>
      </c>
      <c r="AK57" s="33">
        <f>$AJ57/$AI57*E57</f>
        <v>13005.50539732775</v>
      </c>
      <c r="AL57" s="33">
        <f>$AJ57/$AI57*F57</f>
        <v>10740.168421481627</v>
      </c>
      <c r="AM57" s="33">
        <f>$AJ57/$AI57*G57</f>
        <v>12272.273630935193</v>
      </c>
      <c r="AN57" s="33">
        <f>$AJ57/$AI57*H57</f>
        <v>12674.928269501095</v>
      </c>
      <c r="AO57" s="33">
        <f>$AJ57/$AI57*I57</f>
        <v>15021.345262078345</v>
      </c>
      <c r="AP57" s="33">
        <f>$AJ57/$AI57*J57</f>
        <v>12934.085516458834</v>
      </c>
      <c r="AQ57" s="33">
        <f>$AJ57/$AI57*K57</f>
        <v>12267.580835258575</v>
      </c>
      <c r="AR57" s="33">
        <f>$AJ57/$AI57*L57</f>
        <v>12330.65584000594</v>
      </c>
      <c r="AS57" s="33">
        <f>$AJ57/$AI57*M57</f>
        <v>13345.085031146287</v>
      </c>
      <c r="AT57" s="33">
        <f>$AJ57/$AI57*N57</f>
        <v>11479.306087195098</v>
      </c>
      <c r="AU57" s="33">
        <f>$AJ57/$AI57*O57</f>
        <v>14270.497953819406</v>
      </c>
      <c r="AV57" s="33">
        <f>$AJ57/$AI57*P57</f>
        <v>15192.041714342824</v>
      </c>
      <c r="AW57" s="33">
        <f>$AJ57/$AI57*Q57</f>
        <v>15568.320925779324</v>
      </c>
      <c r="AX57" s="33">
        <f>$AJ57/$AI57*R57</f>
        <v>13361.621549244848</v>
      </c>
      <c r="AY57" s="33">
        <f>$AJ57/$AI57*S57</f>
        <v>12515.264675643686</v>
      </c>
      <c r="AZ57" s="33">
        <f>$AJ57/$AI57*T57</f>
        <v>18669.071303403856</v>
      </c>
      <c r="BA57" s="33">
        <f>$AJ57/$AI57*U57</f>
        <v>12446.047535602571</v>
      </c>
      <c r="BB57" s="33">
        <f>$AJ57/$AI57*V57</f>
        <v>14021.294541500916</v>
      </c>
      <c r="BC57" s="33">
        <f>$AJ57/$AI57*W57</f>
        <v>16332.378294249042</v>
      </c>
      <c r="BD57" s="33">
        <f>$AJ57/$AI57*X57</f>
        <v>14367.265316098084</v>
      </c>
      <c r="BE57" s="33">
        <f>$AJ57/$AI57*Y57</f>
        <v>14335.118069524242</v>
      </c>
      <c r="BF57" s="33">
        <f>$AJ57/$AI57*Z57</f>
        <v>12348.51400260118</v>
      </c>
      <c r="BG57" s="33">
        <f>$AJ57/$AI57*AA57</f>
        <v>11147.273234995286</v>
      </c>
      <c r="BH57" s="33">
        <f>$AJ57/$AI57*AB57</f>
        <v>12333.803524725088</v>
      </c>
      <c r="BI57" s="33">
        <f>$AJ57/$AI57*AC57</f>
        <v>12990.073442021103</v>
      </c>
      <c r="BJ57" s="33">
        <f>$AJ57/$AI57*AD57</f>
        <v>17091.876946918615</v>
      </c>
      <c r="BK57" s="33">
        <f>$AJ57/$AI57*AE57</f>
        <v>13113.101305820775</v>
      </c>
      <c r="BL57" s="33">
        <f>$AJ57/$AI57*AF57</f>
        <v>15445.5612217326</v>
      </c>
      <c r="BM57" s="33">
        <f>$AJ57/$AI57*AG57</f>
        <v>14972.540187041513</v>
      </c>
      <c r="BN57" s="33">
        <f>$AJ57/$AI57*AH57</f>
        <v>12334.818700932681</v>
      </c>
    </row>
    <row r="58" spans="1:66" x14ac:dyDescent="0.25">
      <c r="A58" s="1" t="s">
        <v>52</v>
      </c>
      <c r="B58" s="4">
        <v>56</v>
      </c>
      <c r="C58" s="4" t="s">
        <v>4</v>
      </c>
      <c r="D58" s="4" t="str">
        <f>A58&amp;C58</f>
        <v>THOMEBAKERY</v>
      </c>
      <c r="E58" s="2">
        <v>58479.13</v>
      </c>
      <c r="F58" s="2">
        <v>59627.02</v>
      </c>
      <c r="G58" s="2">
        <v>53976.54</v>
      </c>
      <c r="H58" s="2">
        <v>67643.02</v>
      </c>
      <c r="I58" s="2">
        <v>72482.12</v>
      </c>
      <c r="J58" s="2">
        <v>82033.539999999994</v>
      </c>
      <c r="K58" s="2">
        <v>60421.85</v>
      </c>
      <c r="L58" s="2">
        <v>51693.54</v>
      </c>
      <c r="M58" s="2">
        <v>49516.06</v>
      </c>
      <c r="N58" s="2">
        <v>59870.78</v>
      </c>
      <c r="O58" s="2">
        <v>62401.64</v>
      </c>
      <c r="P58" s="2">
        <v>77552.52</v>
      </c>
      <c r="Q58" s="2">
        <v>82449.919999999998</v>
      </c>
      <c r="R58" s="2">
        <v>49423.78</v>
      </c>
      <c r="S58" s="2">
        <v>57983.78</v>
      </c>
      <c r="T58" s="2">
        <v>57371.95</v>
      </c>
      <c r="U58" s="2">
        <v>58528.33</v>
      </c>
      <c r="V58" s="2">
        <v>59249.440000000002</v>
      </c>
      <c r="W58" s="2">
        <v>82309.66</v>
      </c>
      <c r="X58" s="2">
        <v>71939.95</v>
      </c>
      <c r="Y58" s="2">
        <v>62011.19</v>
      </c>
      <c r="Z58" s="2">
        <v>60382.54</v>
      </c>
      <c r="AA58" s="2">
        <v>59123.75</v>
      </c>
      <c r="AB58" s="2">
        <v>67922.64</v>
      </c>
      <c r="AC58" s="2">
        <v>60786.47</v>
      </c>
      <c r="AD58" s="2">
        <v>59714.58</v>
      </c>
      <c r="AE58" s="2">
        <v>78202.75</v>
      </c>
      <c r="AF58" s="2">
        <v>75225.259999999995</v>
      </c>
      <c r="AG58" s="2">
        <v>83489.78</v>
      </c>
      <c r="AH58" s="2">
        <v>58270.78</v>
      </c>
      <c r="AI58" s="24">
        <f>SUM(E58:AH58)</f>
        <v>1940084.3099999998</v>
      </c>
      <c r="AJ58" s="26">
        <v>1512962.0888593746</v>
      </c>
      <c r="AK58" s="33">
        <f>$AJ58/$AI58*E58</f>
        <v>45604.567916679312</v>
      </c>
      <c r="AL58" s="33">
        <f>$AJ58/$AI58*F58</f>
        <v>46499.742442461022</v>
      </c>
      <c r="AM58" s="33">
        <f>$AJ58/$AI58*G58</f>
        <v>42093.252487466176</v>
      </c>
      <c r="AN58" s="33">
        <f>$AJ58/$AI58*H58</f>
        <v>52750.967732921083</v>
      </c>
      <c r="AO58" s="33">
        <f>$AJ58/$AI58*I58</f>
        <v>56524.708289690694</v>
      </c>
      <c r="AP58" s="33">
        <f>$AJ58/$AI58*J58</f>
        <v>63973.32084755072</v>
      </c>
      <c r="AQ58" s="33">
        <f>$AJ58/$AI58*K58</f>
        <v>47119.585431185616</v>
      </c>
      <c r="AR58" s="33">
        <f>$AJ58/$AI58*L58</f>
        <v>40312.869835505058</v>
      </c>
      <c r="AS58" s="33">
        <f>$AJ58/$AI58*M58</f>
        <v>38614.776266958273</v>
      </c>
      <c r="AT58" s="33">
        <f>$AJ58/$AI58*N58</f>
        <v>46689.83708777072</v>
      </c>
      <c r="AU58" s="33">
        <f>$AJ58/$AI58*O58</f>
        <v>48663.511743286406</v>
      </c>
      <c r="AV58" s="33">
        <f>$AJ58/$AI58*P58</f>
        <v>60478.826642079504</v>
      </c>
      <c r="AW58" s="33">
        <f>$AJ58/$AI58*Q58</f>
        <v>64298.03207340424</v>
      </c>
      <c r="AX58" s="33">
        <f>$AJ58/$AI58*R58</f>
        <v>38542.812311144451</v>
      </c>
      <c r="AY58" s="33">
        <f>$AJ58/$AI58*S58</f>
        <v>45218.272451655685</v>
      </c>
      <c r="AZ58" s="33">
        <f>$AJ58/$AI58*T58</f>
        <v>44741.14081873875</v>
      </c>
      <c r="BA58" s="33">
        <f>$AJ58/$AI58*U58</f>
        <v>45642.936215617767</v>
      </c>
      <c r="BB58" s="33">
        <f>$AJ58/$AI58*V58</f>
        <v>46205.289143412636</v>
      </c>
      <c r="BC58" s="33">
        <f>$AJ58/$AI58*W58</f>
        <v>64188.65122769068</v>
      </c>
      <c r="BD58" s="33">
        <f>$AJ58/$AI58*X58</f>
        <v>56101.900553197593</v>
      </c>
      <c r="BE58" s="33">
        <f>$AJ58/$AI58*Y58</f>
        <v>48359.021858723019</v>
      </c>
      <c r="BF58" s="33">
        <f>$AJ58/$AI58*Z58</f>
        <v>47088.92978420858</v>
      </c>
      <c r="BG58" s="33">
        <f>$AJ58/$AI58*AA58</f>
        <v>46107.270617120477</v>
      </c>
      <c r="BH58" s="33">
        <f>$AJ58/$AI58*AB58</f>
        <v>52969.027565221288</v>
      </c>
      <c r="BI58" s="33">
        <f>$AJ58/$AI58*AC58</f>
        <v>47403.931958806323</v>
      </c>
      <c r="BJ58" s="33">
        <f>$AJ58/$AI58*AD58</f>
        <v>46568.025537075882</v>
      </c>
      <c r="BK58" s="33">
        <f>$AJ58/$AI58*AE58</f>
        <v>60985.904264411816</v>
      </c>
      <c r="BL58" s="33">
        <f>$AJ58/$AI58*AF58</f>
        <v>58663.928117943266</v>
      </c>
      <c r="BM58" s="33">
        <f>$AJ58/$AI58*AG58</f>
        <v>65108.960108650972</v>
      </c>
      <c r="BN58" s="33">
        <f>$AJ58/$AI58*AH58</f>
        <v>45442.087528796656</v>
      </c>
    </row>
    <row r="59" spans="1:66" x14ac:dyDescent="0.25">
      <c r="A59" s="1" t="s">
        <v>53</v>
      </c>
      <c r="B59" s="4">
        <v>57</v>
      </c>
      <c r="C59" s="4" t="s">
        <v>4</v>
      </c>
      <c r="D59" s="4" t="str">
        <f>A59&amp;C59</f>
        <v>KILELESHWABAKERY</v>
      </c>
      <c r="E59" s="2">
        <v>73414.570000000007</v>
      </c>
      <c r="F59" s="2">
        <v>62928.74</v>
      </c>
      <c r="G59" s="2">
        <v>76662.19</v>
      </c>
      <c r="H59" s="2">
        <v>66616.710000000006</v>
      </c>
      <c r="I59" s="2">
        <v>72798.47</v>
      </c>
      <c r="J59" s="2">
        <v>76647.16</v>
      </c>
      <c r="K59" s="2">
        <v>66298.710000000006</v>
      </c>
      <c r="L59" s="2">
        <v>71191.81</v>
      </c>
      <c r="M59" s="2">
        <v>64558.19</v>
      </c>
      <c r="N59" s="2">
        <v>64973.78</v>
      </c>
      <c r="O59" s="2">
        <v>74129.47</v>
      </c>
      <c r="P59" s="2">
        <v>71463.37</v>
      </c>
      <c r="Q59" s="2">
        <v>80022.78</v>
      </c>
      <c r="R59" s="2">
        <v>65211.74</v>
      </c>
      <c r="S59" s="2">
        <v>67231.22</v>
      </c>
      <c r="T59" s="2">
        <v>73143.399999999994</v>
      </c>
      <c r="U59" s="2">
        <v>71192.09</v>
      </c>
      <c r="V59" s="2">
        <v>71662.13</v>
      </c>
      <c r="W59" s="2">
        <v>72596.2</v>
      </c>
      <c r="X59" s="2">
        <v>75043.33</v>
      </c>
      <c r="Y59" s="2">
        <v>73448.429999999993</v>
      </c>
      <c r="Z59" s="2">
        <v>71243.53</v>
      </c>
      <c r="AA59" s="2">
        <v>68969.429999999993</v>
      </c>
      <c r="AB59" s="2">
        <v>61580.26</v>
      </c>
      <c r="AC59" s="2">
        <v>75015.3</v>
      </c>
      <c r="AD59" s="2">
        <v>77243.23</v>
      </c>
      <c r="AE59" s="2">
        <v>80983.47</v>
      </c>
      <c r="AF59" s="2">
        <v>86243.47</v>
      </c>
      <c r="AG59" s="2">
        <v>78288.19</v>
      </c>
      <c r="AH59" s="2">
        <v>65412.47</v>
      </c>
      <c r="AI59" s="24">
        <f>SUM(E59:AH59)</f>
        <v>2156213.8400000003</v>
      </c>
      <c r="AJ59" s="26">
        <v>1997086.1657997065</v>
      </c>
      <c r="AK59" s="33">
        <f>$AJ59/$AI59*E59</f>
        <v>67996.605621979572</v>
      </c>
      <c r="AL59" s="33">
        <f>$AJ59/$AI59*F59</f>
        <v>58284.625464238095</v>
      </c>
      <c r="AM59" s="33">
        <f>$AJ59/$AI59*G59</f>
        <v>71004.552632362567</v>
      </c>
      <c r="AN59" s="33">
        <f>$AJ59/$AI59*H59</f>
        <v>61700.424829891163</v>
      </c>
      <c r="AO59" s="33">
        <f>$AJ59/$AI59*I59</f>
        <v>67425.973542765569</v>
      </c>
      <c r="AP59" s="33">
        <f>$AJ59/$AI59*J59</f>
        <v>70990.631840038943</v>
      </c>
      <c r="AQ59" s="33">
        <f>$AJ59/$AI59*K59</f>
        <v>61405.893096097861</v>
      </c>
      <c r="AR59" s="33">
        <f>$AJ59/$AI59*L59</f>
        <v>65937.884374789646</v>
      </c>
      <c r="AS59" s="33">
        <f>$AJ59/$AI59*M59</f>
        <v>59793.822739802534</v>
      </c>
      <c r="AT59" s="33">
        <f>$AJ59/$AI59*N59</f>
        <v>60178.74237265523</v>
      </c>
      <c r="AU59" s="33">
        <f>$AJ59/$AI59*O59</f>
        <v>68658.74630276204</v>
      </c>
      <c r="AV59" s="33">
        <f>$AJ59/$AI59*P59</f>
        <v>66189.403361044067</v>
      </c>
      <c r="AW59" s="33">
        <f>$AJ59/$AI59*Q59</f>
        <v>74117.13250427584</v>
      </c>
      <c r="AX59" s="33">
        <f>$AJ59/$AI59*R59</f>
        <v>60399.141024773002</v>
      </c>
      <c r="AY59" s="33">
        <f>$AJ59/$AI59*S59</f>
        <v>62269.584250436186</v>
      </c>
      <c r="AZ59" s="33">
        <f>$AJ59/$AI59*T59</f>
        <v>67745.447853889214</v>
      </c>
      <c r="BA59" s="33">
        <f>$AJ59/$AI59*U59</f>
        <v>65938.143710907447</v>
      </c>
      <c r="BB59" s="33">
        <f>$AJ59/$AI59*V59</f>
        <v>66373.494956669107</v>
      </c>
      <c r="BC59" s="33">
        <f>$AJ59/$AI59*W59</f>
        <v>67238.630983663767</v>
      </c>
      <c r="BD59" s="33">
        <f>$AJ59/$AI59*X59</f>
        <v>69505.163819253692</v>
      </c>
      <c r="BE59" s="33">
        <f>$AJ59/$AI59*Y59</f>
        <v>68027.966768225597</v>
      </c>
      <c r="BF59" s="33">
        <f>$AJ59/$AI59*Z59</f>
        <v>65985.787460549996</v>
      </c>
      <c r="BG59" s="33">
        <f>$AJ59/$AI59*AA59</f>
        <v>63879.515083759608</v>
      </c>
      <c r="BH59" s="33">
        <f>$AJ59/$AI59*AB59</f>
        <v>57035.662720887194</v>
      </c>
      <c r="BI59" s="33">
        <f>$AJ59/$AI59*AC59</f>
        <v>69479.202421460534</v>
      </c>
      <c r="BJ59" s="33">
        <f>$AJ59/$AI59*AD59</f>
        <v>71542.71212482563</v>
      </c>
      <c r="BK59" s="33">
        <f>$AJ59/$AI59*AE59</f>
        <v>75006.923986470443</v>
      </c>
      <c r="BL59" s="33">
        <f>$AJ59/$AI59*AF59</f>
        <v>79878.738199529413</v>
      </c>
      <c r="BM59" s="33">
        <f>$AJ59/$AI59*AG59</f>
        <v>72510.554516475473</v>
      </c>
      <c r="BN59" s="33">
        <f>$AJ59/$AI59*AH59</f>
        <v>60585.057235226872</v>
      </c>
    </row>
    <row r="60" spans="1:66" x14ac:dyDescent="0.25">
      <c r="A60" s="1" t="s">
        <v>54</v>
      </c>
      <c r="B60" s="4">
        <v>58</v>
      </c>
      <c r="C60" s="4" t="s">
        <v>4</v>
      </c>
      <c r="D60" s="4" t="str">
        <f>A60&amp;C60</f>
        <v>NYALIBAKERY</v>
      </c>
      <c r="E60" s="2">
        <v>81102.880000000005</v>
      </c>
      <c r="F60" s="2">
        <v>83728.639999999999</v>
      </c>
      <c r="G60" s="2">
        <v>78986.13</v>
      </c>
      <c r="H60" s="2">
        <v>87212.160000000003</v>
      </c>
      <c r="I60" s="2">
        <v>92562.68</v>
      </c>
      <c r="J60" s="2">
        <v>108908.99</v>
      </c>
      <c r="K60" s="2">
        <v>89489.09</v>
      </c>
      <c r="L60" s="2">
        <v>92149.81</v>
      </c>
      <c r="M60" s="2">
        <v>80653.960000000006</v>
      </c>
      <c r="N60" s="2">
        <v>87792.51</v>
      </c>
      <c r="O60" s="2">
        <v>91201.41</v>
      </c>
      <c r="P60" s="2">
        <v>87114.86</v>
      </c>
      <c r="Q60" s="2">
        <v>107229.4</v>
      </c>
      <c r="R60" s="2">
        <v>91066.16</v>
      </c>
      <c r="S60" s="2">
        <v>82561.820000000007</v>
      </c>
      <c r="T60" s="2">
        <v>78312.710000000006</v>
      </c>
      <c r="U60" s="2">
        <v>72969.990000000005</v>
      </c>
      <c r="V60" s="2">
        <v>99508.4</v>
      </c>
      <c r="W60" s="2">
        <v>87594.99</v>
      </c>
      <c r="X60" s="2">
        <v>96244.23</v>
      </c>
      <c r="Y60" s="2">
        <v>74886.850000000006</v>
      </c>
      <c r="Z60" s="2">
        <v>72520.27</v>
      </c>
      <c r="AA60" s="2">
        <v>66681.27</v>
      </c>
      <c r="AB60" s="2">
        <v>76229.13</v>
      </c>
      <c r="AC60" s="2">
        <v>91422.75</v>
      </c>
      <c r="AD60" s="2">
        <v>72713.89</v>
      </c>
      <c r="AE60" s="2">
        <v>104027.09</v>
      </c>
      <c r="AF60" s="2">
        <v>91173.55</v>
      </c>
      <c r="AG60" s="2">
        <v>89212.89</v>
      </c>
      <c r="AH60" s="2">
        <v>102037.05</v>
      </c>
      <c r="AI60" s="24">
        <f>SUM(E60:AH60)</f>
        <v>2617295.5599999996</v>
      </c>
      <c r="AJ60" s="26">
        <v>1426287.4685909662</v>
      </c>
      <c r="AK60" s="33">
        <f>$AJ60/$AI60*E60</f>
        <v>44196.774402749121</v>
      </c>
      <c r="AL60" s="33">
        <f>$AJ60/$AI60*F60</f>
        <v>45627.674542864523</v>
      </c>
      <c r="AM60" s="33">
        <f>$AJ60/$AI60*G60</f>
        <v>43043.257755534876</v>
      </c>
      <c r="AN60" s="33">
        <f>$AJ60/$AI60*H60</f>
        <v>47526.008456129559</v>
      </c>
      <c r="AO60" s="33">
        <f>$AJ60/$AI60*I60</f>
        <v>50441.758493334113</v>
      </c>
      <c r="AP60" s="33">
        <f>$AJ60/$AI60*J60</f>
        <v>59349.631745028782</v>
      </c>
      <c r="AQ60" s="33">
        <f>$AJ60/$AI60*K60</f>
        <v>48766.814720233262</v>
      </c>
      <c r="AR60" s="33">
        <f>$AJ60/$AI60*L60</f>
        <v>50216.766208871923</v>
      </c>
      <c r="AS60" s="33">
        <f>$AJ60/$AI60*M60</f>
        <v>43952.136777489919</v>
      </c>
      <c r="AT60" s="33">
        <f>$AJ60/$AI60*N60</f>
        <v>47842.268470874224</v>
      </c>
      <c r="AU60" s="33">
        <f>$AJ60/$AI60*O60</f>
        <v>49699.938436004093</v>
      </c>
      <c r="AV60" s="33">
        <f>$AJ60/$AI60*P60</f>
        <v>47472.985109124034</v>
      </c>
      <c r="AW60" s="33">
        <f>$AJ60/$AI60*Q60</f>
        <v>58434.344145881703</v>
      </c>
      <c r="AX60" s="33">
        <f>$AJ60/$AI60*R60</f>
        <v>49626.234348825295</v>
      </c>
      <c r="AY60" s="33">
        <f>$AJ60/$AI60*S60</f>
        <v>44991.819437489525</v>
      </c>
      <c r="AZ60" s="33">
        <f>$AJ60/$AI60*T60</f>
        <v>42676.279519764466</v>
      </c>
      <c r="BA60" s="33">
        <f>$AJ60/$AI60*U60</f>
        <v>39764.780069472989</v>
      </c>
      <c r="BB60" s="33">
        <f>$AJ60/$AI60*V60</f>
        <v>54226.808048968422</v>
      </c>
      <c r="BC60" s="33">
        <f>$AJ60/$AI60*W60</f>
        <v>47734.630531505973</v>
      </c>
      <c r="BD60" s="33">
        <f>$AJ60/$AI60*X60</f>
        <v>52448.008268957878</v>
      </c>
      <c r="BE60" s="33">
        <f>$AJ60/$AI60*Y60</f>
        <v>40809.36725283385</v>
      </c>
      <c r="BF60" s="33">
        <f>$AJ60/$AI60*Z60</f>
        <v>39519.706486581672</v>
      </c>
      <c r="BG60" s="33">
        <f>$AJ60/$AI60*AA60</f>
        <v>36337.760719210011</v>
      </c>
      <c r="BH60" s="33">
        <f>$AJ60/$AI60*AB60</f>
        <v>41540.838765871631</v>
      </c>
      <c r="BI60" s="33">
        <f>$AJ60/$AI60*AC60</f>
        <v>49820.557013868463</v>
      </c>
      <c r="BJ60" s="33">
        <f>$AJ60/$AI60*AD60</f>
        <v>39625.219132493388</v>
      </c>
      <c r="BK60" s="33">
        <f>$AJ60/$AI60*AE60</f>
        <v>56689.254789774161</v>
      </c>
      <c r="BL60" s="33">
        <f>$AJ60/$AI60*AF60</f>
        <v>49684.756211465821</v>
      </c>
      <c r="BM60" s="33">
        <f>$AJ60/$AI60*AG60</f>
        <v>48616.300347746874</v>
      </c>
      <c r="BN60" s="33">
        <f>$AJ60/$AI60*AH60</f>
        <v>55604.788382015933</v>
      </c>
    </row>
    <row r="61" spans="1:66" x14ac:dyDescent="0.25">
      <c r="A61" s="1" t="s">
        <v>55</v>
      </c>
      <c r="B61" s="4">
        <v>59</v>
      </c>
      <c r="C61" s="4" t="s">
        <v>4</v>
      </c>
      <c r="D61" s="4" t="str">
        <f>A61&amp;C61</f>
        <v>OUTERING 2BAKERY</v>
      </c>
      <c r="E61" s="2">
        <v>108832.77</v>
      </c>
      <c r="F61" s="2">
        <v>95330.74</v>
      </c>
      <c r="G61" s="2">
        <v>123531.7</v>
      </c>
      <c r="H61" s="2">
        <v>119117.26</v>
      </c>
      <c r="I61" s="2">
        <v>153276.15</v>
      </c>
      <c r="J61" s="2">
        <v>168758.46</v>
      </c>
      <c r="K61" s="2">
        <v>102878.5</v>
      </c>
      <c r="L61" s="2">
        <v>98658.05</v>
      </c>
      <c r="M61" s="2">
        <v>115798.22</v>
      </c>
      <c r="N61" s="2">
        <v>113722.22</v>
      </c>
      <c r="O61" s="2">
        <v>115620.46</v>
      </c>
      <c r="P61" s="2">
        <v>138488.70000000001</v>
      </c>
      <c r="Q61" s="2">
        <v>160701.73000000001</v>
      </c>
      <c r="R61" s="2">
        <v>112456.25</v>
      </c>
      <c r="S61" s="2">
        <v>104822.05</v>
      </c>
      <c r="T61" s="2">
        <v>107756.26</v>
      </c>
      <c r="U61" s="2">
        <v>116461.88</v>
      </c>
      <c r="V61" s="2">
        <v>116850.67</v>
      </c>
      <c r="W61" s="2">
        <v>151303.84</v>
      </c>
      <c r="X61" s="2">
        <v>170155.63</v>
      </c>
      <c r="Y61" s="2">
        <v>106898.63</v>
      </c>
      <c r="Z61" s="2">
        <v>125817.77</v>
      </c>
      <c r="AA61" s="2">
        <v>111397.39</v>
      </c>
      <c r="AB61" s="2">
        <v>105008.29</v>
      </c>
      <c r="AC61" s="2">
        <v>111723.02</v>
      </c>
      <c r="AD61" s="2">
        <v>130749.39</v>
      </c>
      <c r="AE61" s="2">
        <v>178466.83</v>
      </c>
      <c r="AF61" s="2">
        <v>158581.26</v>
      </c>
      <c r="AG61" s="2">
        <v>185234.74</v>
      </c>
      <c r="AH61" s="2">
        <v>104566.64</v>
      </c>
      <c r="AI61" s="24">
        <f>SUM(E61:AH61)</f>
        <v>3812965.5000000005</v>
      </c>
      <c r="AJ61" s="26">
        <v>3147582.3713176739</v>
      </c>
      <c r="AK61" s="33">
        <f>$AJ61/$AI61*E61</f>
        <v>89840.862256338529</v>
      </c>
      <c r="AL61" s="33">
        <f>$AJ61/$AI61*F61</f>
        <v>78695.009610936322</v>
      </c>
      <c r="AM61" s="33">
        <f>$AJ61/$AI61*G61</f>
        <v>101974.74936998604</v>
      </c>
      <c r="AN61" s="33">
        <f>$AJ61/$AI61*H61</f>
        <v>98330.65305617475</v>
      </c>
      <c r="AO61" s="33">
        <f>$AJ61/$AI61*I61</f>
        <v>126528.63176533945</v>
      </c>
      <c r="AP61" s="33">
        <f>$AJ61/$AI61*J61</f>
        <v>139309.19482663003</v>
      </c>
      <c r="AQ61" s="33">
        <f>$AJ61/$AI61*K61</f>
        <v>84925.644616402977</v>
      </c>
      <c r="AR61" s="33">
        <f>$AJ61/$AI61*L61</f>
        <v>81441.685997048131</v>
      </c>
      <c r="AS61" s="33">
        <f>$AJ61/$AI61*M61</f>
        <v>95590.803510277154</v>
      </c>
      <c r="AT61" s="33">
        <f>$AJ61/$AI61*N61</f>
        <v>93877.076752755878</v>
      </c>
      <c r="AU61" s="33">
        <f>$AJ61/$AI61*O61</f>
        <v>95444.063592927938</v>
      </c>
      <c r="AV61" s="33">
        <f>$AJ61/$AI61*P61</f>
        <v>114321.6718710678</v>
      </c>
      <c r="AW61" s="33">
        <f>$AJ61/$AI61*Q61</f>
        <v>132658.40784246608</v>
      </c>
      <c r="AX61" s="33">
        <f>$AJ61/$AI61*R61</f>
        <v>92832.025373555865</v>
      </c>
      <c r="AY61" s="33">
        <f>$AJ61/$AI61*S61</f>
        <v>86530.034616200894</v>
      </c>
      <c r="AZ61" s="33">
        <f>$AJ61/$AI61*T61</f>
        <v>88952.209081126959</v>
      </c>
      <c r="BA61" s="33">
        <f>$AJ61/$AI61*U61</f>
        <v>96138.65124625816</v>
      </c>
      <c r="BB61" s="33">
        <f>$AJ61/$AI61*V61</f>
        <v>96459.595285784497</v>
      </c>
      <c r="BC61" s="33">
        <f>$AJ61/$AI61*W61</f>
        <v>124900.50054128995</v>
      </c>
      <c r="BD61" s="33">
        <f>$AJ61/$AI61*X61</f>
        <v>140462.55109532271</v>
      </c>
      <c r="BE61" s="33">
        <f>$AJ61/$AI61*Y61</f>
        <v>88244.240160581219</v>
      </c>
      <c r="BF61" s="33">
        <f>$AJ61/$AI61*Z61</f>
        <v>103861.88777488327</v>
      </c>
      <c r="BG61" s="33">
        <f>$AJ61/$AI61*AA61</f>
        <v>91957.942177761564</v>
      </c>
      <c r="BH61" s="33">
        <f>$AJ61/$AI61*AB61</f>
        <v>86683.774727627082</v>
      </c>
      <c r="BI61" s="33">
        <f>$AJ61/$AI61*AC61</f>
        <v>92226.747979327876</v>
      </c>
      <c r="BJ61" s="33">
        <f>$AJ61/$AI61*AD61</f>
        <v>107932.91337793099</v>
      </c>
      <c r="BK61" s="33">
        <f>$AJ61/$AI61*AE61</f>
        <v>147323.40168641653</v>
      </c>
      <c r="BL61" s="33">
        <f>$AJ61/$AI61*AF61</f>
        <v>130907.97134076996</v>
      </c>
      <c r="BM61" s="33">
        <f>$AJ61/$AI61*AG61</f>
        <v>152910.2747401236</v>
      </c>
      <c r="BN61" s="33">
        <f>$AJ61/$AI61*AH61</f>
        <v>86319.195044361535</v>
      </c>
    </row>
    <row r="62" spans="1:66" x14ac:dyDescent="0.25">
      <c r="A62" s="1" t="s">
        <v>85</v>
      </c>
      <c r="B62" s="4">
        <v>60</v>
      </c>
      <c r="C62" s="4" t="s">
        <v>4</v>
      </c>
      <c r="D62" s="4" t="str">
        <f>A62&amp;C62</f>
        <v>NAROK MORANBAKERY</v>
      </c>
      <c r="E62" s="2">
        <v>112031.22</v>
      </c>
      <c r="F62" s="2">
        <v>105738.77</v>
      </c>
      <c r="G62" s="2">
        <v>116547.15</v>
      </c>
      <c r="H62" s="2">
        <v>128943.46</v>
      </c>
      <c r="I62" s="2">
        <v>108807.91</v>
      </c>
      <c r="J62" s="2">
        <v>96283.08</v>
      </c>
      <c r="K62" s="2">
        <v>94331.43</v>
      </c>
      <c r="L62" s="2">
        <v>86114.09</v>
      </c>
      <c r="M62" s="2">
        <v>96324.77</v>
      </c>
      <c r="N62" s="2">
        <v>94270.29</v>
      </c>
      <c r="O62" s="2">
        <v>120410.15</v>
      </c>
      <c r="P62" s="2">
        <v>107870.05</v>
      </c>
      <c r="Q62" s="2">
        <v>101108.63</v>
      </c>
      <c r="R62" s="2">
        <v>99432.6</v>
      </c>
      <c r="S62" s="2">
        <v>89910.88</v>
      </c>
      <c r="T62" s="2">
        <v>81039.360000000001</v>
      </c>
      <c r="U62" s="2">
        <v>100735.95</v>
      </c>
      <c r="V62" s="2">
        <v>89741.05</v>
      </c>
      <c r="W62" s="2">
        <v>93523.51</v>
      </c>
      <c r="X62" s="2">
        <v>95779.6</v>
      </c>
      <c r="Y62" s="2">
        <v>111992.15</v>
      </c>
      <c r="Z62" s="2">
        <v>94317.05</v>
      </c>
      <c r="AA62" s="2">
        <v>114378.21</v>
      </c>
      <c r="AB62" s="2">
        <v>90545.05</v>
      </c>
      <c r="AC62" s="2">
        <v>126651.49</v>
      </c>
      <c r="AD62" s="2">
        <v>110804.02</v>
      </c>
      <c r="AE62" s="2">
        <v>85601.36</v>
      </c>
      <c r="AF62" s="2">
        <v>101840.3</v>
      </c>
      <c r="AG62" s="2">
        <v>94101.2</v>
      </c>
      <c r="AH62" s="2">
        <v>94519.67</v>
      </c>
      <c r="AI62" s="24">
        <f>SUM(E62:AH62)</f>
        <v>3043694.4499999997</v>
      </c>
      <c r="AJ62" s="26">
        <v>2727825.3988084397</v>
      </c>
      <c r="AK62" s="33">
        <f>$AJ62/$AI62*E62</f>
        <v>100404.82459581188</v>
      </c>
      <c r="AL62" s="33">
        <f>$AJ62/$AI62*F62</f>
        <v>94765.393564641141</v>
      </c>
      <c r="AM62" s="33">
        <f>$AJ62/$AI62*G62</f>
        <v>104452.0996280481</v>
      </c>
      <c r="AN62" s="33">
        <f>$AJ62/$AI62*H62</f>
        <v>115561.94321615962</v>
      </c>
      <c r="AO62" s="33">
        <f>$AJ62/$AI62*I62</f>
        <v>97516.023820742877</v>
      </c>
      <c r="AP62" s="33">
        <f>$AJ62/$AI62*J62</f>
        <v>86290.997803509788</v>
      </c>
      <c r="AQ62" s="33">
        <f>$AJ62/$AI62*K62</f>
        <v>84541.886476127867</v>
      </c>
      <c r="AR62" s="33">
        <f>$AJ62/$AI62*L62</f>
        <v>77177.32701364813</v>
      </c>
      <c r="AS62" s="33">
        <f>$AJ62/$AI62*M62</f>
        <v>86328.361291450026</v>
      </c>
      <c r="AT62" s="33">
        <f>$AJ62/$AI62*N62</f>
        <v>84487.091473665263</v>
      </c>
      <c r="AU62" s="33">
        <f>$AJ62/$AI62*O62</f>
        <v>107914.20454321033</v>
      </c>
      <c r="AV62" s="33">
        <f>$AJ62/$AI62*P62</f>
        <v>96675.493218689007</v>
      </c>
      <c r="AW62" s="33">
        <f>$AJ62/$AI62*Q62</f>
        <v>90615.761037618286</v>
      </c>
      <c r="AX62" s="33">
        <f>$AJ62/$AI62*R62</f>
        <v>89113.666370012972</v>
      </c>
      <c r="AY62" s="33">
        <f>$AJ62/$AI62*S62</f>
        <v>80580.093081688217</v>
      </c>
      <c r="AZ62" s="33">
        <f>$AJ62/$AI62*T62</f>
        <v>72629.24322485154</v>
      </c>
      <c r="BA62" s="33">
        <f>$AJ62/$AI62*U62</f>
        <v>90281.757087376842</v>
      </c>
      <c r="BB62" s="33">
        <f>$AJ62/$AI62*V62</f>
        <v>80427.88772892041</v>
      </c>
      <c r="BC62" s="33">
        <f>$AJ62/$AI62*W62</f>
        <v>83817.810938188995</v>
      </c>
      <c r="BD62" s="33">
        <f>$AJ62/$AI62*X62</f>
        <v>85839.768038382725</v>
      </c>
      <c r="BE62" s="33">
        <f>$AJ62/$AI62*Y62</f>
        <v>100369.80920905665</v>
      </c>
      <c r="BF62" s="33">
        <f>$AJ62/$AI62*Z62</f>
        <v>84528.998806265066</v>
      </c>
      <c r="BG62" s="33">
        <f>$AJ62/$AI62*AA62</f>
        <v>102508.24826002016</v>
      </c>
      <c r="BH62" s="33">
        <f>$AJ62/$AI62*AB62</f>
        <v>81148.450077300033</v>
      </c>
      <c r="BI62" s="33">
        <f>$AJ62/$AI62*AC62</f>
        <v>113507.82967683671</v>
      </c>
      <c r="BJ62" s="33">
        <f>$AJ62/$AI62*AD62</f>
        <v>99304.981170523999</v>
      </c>
      <c r="BK62" s="33">
        <f>$AJ62/$AI62*AE62</f>
        <v>76717.8071966274</v>
      </c>
      <c r="BL62" s="33">
        <f>$AJ62/$AI62*AF62</f>
        <v>91271.499661298527</v>
      </c>
      <c r="BM62" s="33">
        <f>$AJ62/$AI62*AG62</f>
        <v>84335.549325048967</v>
      </c>
      <c r="BN62" s="33">
        <f>$AJ62/$AI62*AH62</f>
        <v>84710.591272718637</v>
      </c>
    </row>
    <row r="63" spans="1:66" x14ac:dyDescent="0.25">
      <c r="A63" s="1" t="s">
        <v>66</v>
      </c>
      <c r="B63" s="4">
        <v>61</v>
      </c>
      <c r="C63" s="4" t="s">
        <v>4</v>
      </c>
      <c r="D63" s="4" t="str">
        <f>A63&amp;C63</f>
        <v>JOSKABAKERY</v>
      </c>
      <c r="E63" s="2">
        <v>75913.2</v>
      </c>
      <c r="F63" s="2">
        <v>83547.820000000007</v>
      </c>
      <c r="G63" s="2">
        <v>85088.99</v>
      </c>
      <c r="H63" s="2">
        <v>104813.64</v>
      </c>
      <c r="I63" s="2">
        <v>120810.44</v>
      </c>
      <c r="J63" s="2">
        <v>113467.5</v>
      </c>
      <c r="K63" s="2">
        <v>81117.47</v>
      </c>
      <c r="L63" s="2">
        <v>80839.679999999993</v>
      </c>
      <c r="M63" s="2">
        <v>79975.44</v>
      </c>
      <c r="N63" s="2">
        <v>74297.919999999998</v>
      </c>
      <c r="O63" s="2">
        <v>90341.71</v>
      </c>
      <c r="P63" s="2">
        <v>128850.5</v>
      </c>
      <c r="Q63" s="2">
        <v>100748.43</v>
      </c>
      <c r="R63" s="2">
        <v>83812.09</v>
      </c>
      <c r="S63" s="2">
        <v>69054.44</v>
      </c>
      <c r="T63" s="2">
        <v>77706.44</v>
      </c>
      <c r="U63" s="2">
        <v>83908.47</v>
      </c>
      <c r="V63" s="2">
        <v>102789.02</v>
      </c>
      <c r="W63" s="2">
        <v>128967.12</v>
      </c>
      <c r="X63" s="2">
        <v>110868.4</v>
      </c>
      <c r="Y63" s="2">
        <v>97028.22</v>
      </c>
      <c r="Z63" s="2">
        <v>91777.16</v>
      </c>
      <c r="AA63" s="2">
        <v>74189.5</v>
      </c>
      <c r="AB63" s="2">
        <v>69273.960000000006</v>
      </c>
      <c r="AC63" s="2">
        <v>94142.65</v>
      </c>
      <c r="AD63" s="2">
        <v>93188.160000000003</v>
      </c>
      <c r="AE63" s="2">
        <v>112590.98</v>
      </c>
      <c r="AF63" s="2">
        <v>119175.51</v>
      </c>
      <c r="AG63" s="2">
        <v>114640.02</v>
      </c>
      <c r="AH63" s="2">
        <v>72520.570000000007</v>
      </c>
      <c r="AI63" s="24">
        <f>SUM(E63:AH63)</f>
        <v>2815445.4499999993</v>
      </c>
      <c r="AJ63" s="26">
        <v>1965586.3191669555</v>
      </c>
      <c r="AK63" s="33">
        <f>$AJ63/$AI63*E63</f>
        <v>52998.344316770534</v>
      </c>
      <c r="AL63" s="33">
        <f>$AJ63/$AI63*F63</f>
        <v>58328.408383200389</v>
      </c>
      <c r="AM63" s="33">
        <f>$AJ63/$AI63*G63</f>
        <v>59404.366955763224</v>
      </c>
      <c r="AN63" s="33">
        <f>$AJ63/$AI63*H63</f>
        <v>73175.012801647579</v>
      </c>
      <c r="AO63" s="33">
        <f>$AJ63/$AI63*I63</f>
        <v>84343.08257563306</v>
      </c>
      <c r="AP63" s="33">
        <f>$AJ63/$AI63*J63</f>
        <v>79216.653148110738</v>
      </c>
      <c r="AQ63" s="33">
        <f>$AJ63/$AI63*K63</f>
        <v>56631.674137900976</v>
      </c>
      <c r="AR63" s="33">
        <f>$AJ63/$AI63*L63</f>
        <v>56437.736719009976</v>
      </c>
      <c r="AS63" s="33">
        <f>$AJ63/$AI63*M63</f>
        <v>55834.37275737583</v>
      </c>
      <c r="AT63" s="33">
        <f>$AJ63/$AI63*N63</f>
        <v>51870.646293133097</v>
      </c>
      <c r="AU63" s="33">
        <f>$AJ63/$AI63*O63</f>
        <v>63071.521853193277</v>
      </c>
      <c r="AV63" s="33">
        <f>$AJ63/$AI63*P63</f>
        <v>89956.202141235539</v>
      </c>
      <c r="AW63" s="33">
        <f>$AJ63/$AI63*Q63</f>
        <v>70336.910873392946</v>
      </c>
      <c r="AX63" s="33">
        <f>$AJ63/$AI63*R63</f>
        <v>58512.906895351007</v>
      </c>
      <c r="AY63" s="33">
        <f>$AJ63/$AI63*S63</f>
        <v>48209.942246167622</v>
      </c>
      <c r="AZ63" s="33">
        <f>$AJ63/$AI63*T63</f>
        <v>54250.284044810003</v>
      </c>
      <c r="BA63" s="33">
        <f>$AJ63/$AI63*U63</f>
        <v>58580.194013075605</v>
      </c>
      <c r="BB63" s="33">
        <f>$AJ63/$AI63*V63</f>
        <v>71761.536517277797</v>
      </c>
      <c r="BC63" s="33">
        <f>$AJ63/$AI63*W63</f>
        <v>90037.619693311091</v>
      </c>
      <c r="BD63" s="33">
        <f>$AJ63/$AI63*X63</f>
        <v>77402.107104554176</v>
      </c>
      <c r="BE63" s="33">
        <f>$AJ63/$AI63*Y63</f>
        <v>67739.668621575183</v>
      </c>
      <c r="BF63" s="33">
        <f>$AJ63/$AI63*Z63</f>
        <v>64073.672643167985</v>
      </c>
      <c r="BG63" s="33">
        <f>$AJ63/$AI63*AA63</f>
        <v>51794.953521772863</v>
      </c>
      <c r="BH63" s="33">
        <f>$AJ63/$AI63*AB63</f>
        <v>48363.19881478043</v>
      </c>
      <c r="BI63" s="33">
        <f>$AJ63/$AI63*AC63</f>
        <v>65725.125269297263</v>
      </c>
      <c r="BJ63" s="33">
        <f>$AJ63/$AI63*AD63</f>
        <v>65058.75381259522</v>
      </c>
      <c r="BK63" s="33">
        <f>$AJ63/$AI63*AE63</f>
        <v>78604.715978283421</v>
      </c>
      <c r="BL63" s="33">
        <f>$AJ63/$AI63*AF63</f>
        <v>83201.666022598569</v>
      </c>
      <c r="BM63" s="33">
        <f>$AJ63/$AI63*AG63</f>
        <v>80035.24093888099</v>
      </c>
      <c r="BN63" s="33">
        <f>$AJ63/$AI63*AH63</f>
        <v>50629.800073089529</v>
      </c>
    </row>
    <row r="64" spans="1:66" x14ac:dyDescent="0.25">
      <c r="A64" s="1" t="s">
        <v>71</v>
      </c>
      <c r="B64" s="4">
        <v>62</v>
      </c>
      <c r="C64" s="4" t="s">
        <v>4</v>
      </c>
      <c r="D64" s="4" t="str">
        <f>A64&amp;C64</f>
        <v>CIRCLE MALLBAKERY</v>
      </c>
      <c r="E64" s="2">
        <v>27544.54</v>
      </c>
      <c r="F64" s="2">
        <v>23656.2</v>
      </c>
      <c r="G64" s="2">
        <v>26122.86</v>
      </c>
      <c r="H64" s="2">
        <v>28270.99</v>
      </c>
      <c r="I64" s="2">
        <v>24070.75</v>
      </c>
      <c r="J64" s="2">
        <v>21718.959999999999</v>
      </c>
      <c r="K64" s="2">
        <v>20884.34</v>
      </c>
      <c r="L64" s="2">
        <v>22257.27</v>
      </c>
      <c r="M64" s="2">
        <v>21445.24</v>
      </c>
      <c r="N64" s="2">
        <v>24933.48</v>
      </c>
      <c r="O64" s="2">
        <v>28146.82</v>
      </c>
      <c r="P64" s="2">
        <v>24543.75</v>
      </c>
      <c r="Q64" s="2">
        <v>21502.240000000002</v>
      </c>
      <c r="R64" s="2">
        <v>28073.96</v>
      </c>
      <c r="S64" s="2">
        <v>22793.41</v>
      </c>
      <c r="T64" s="2">
        <v>22684.2</v>
      </c>
      <c r="U64" s="2">
        <v>26209.439999999999</v>
      </c>
      <c r="V64" s="2">
        <v>21302.55</v>
      </c>
      <c r="W64" s="2">
        <v>19717.580000000002</v>
      </c>
      <c r="X64" s="2">
        <v>19998.240000000002</v>
      </c>
      <c r="Y64" s="2">
        <v>24318.79</v>
      </c>
      <c r="Z64" s="2">
        <v>21244.959999999999</v>
      </c>
      <c r="AA64" s="2">
        <v>26851.200000000001</v>
      </c>
      <c r="AB64" s="2">
        <v>22962.58</v>
      </c>
      <c r="AC64" s="2">
        <v>26191.48</v>
      </c>
      <c r="AD64" s="2">
        <v>21436.55</v>
      </c>
      <c r="AE64" s="2">
        <v>20235.310000000001</v>
      </c>
      <c r="AF64" s="2">
        <v>22695.69</v>
      </c>
      <c r="AG64" s="2">
        <v>20296.48</v>
      </c>
      <c r="AH64" s="2">
        <v>21150</v>
      </c>
      <c r="AI64" s="24">
        <f>SUM(E64:AH64)</f>
        <v>703259.86</v>
      </c>
      <c r="AJ64" s="26">
        <v>547327.5675970132</v>
      </c>
      <c r="AK64" s="33">
        <f>$AJ64/$AI64*E64</f>
        <v>21437.148536785018</v>
      </c>
      <c r="AL64" s="33">
        <f>$AJ64/$AI64*F64</f>
        <v>18410.961781024249</v>
      </c>
      <c r="AM64" s="33">
        <f>$AJ64/$AI64*G64</f>
        <v>20330.694577787097</v>
      </c>
      <c r="AN64" s="33">
        <f>$AJ64/$AI64*H64</f>
        <v>22002.524344641944</v>
      </c>
      <c r="AO64" s="33">
        <f>$AJ64/$AI64*I64</f>
        <v>18733.594503368651</v>
      </c>
      <c r="AP64" s="33">
        <f>$AJ64/$AI64*J64</f>
        <v>16903.261829186195</v>
      </c>
      <c r="AQ64" s="33">
        <f>$AJ64/$AI64*K64</f>
        <v>16253.70032219528</v>
      </c>
      <c r="AR64" s="33">
        <f>$AJ64/$AI64*L64</f>
        <v>17322.213513579427</v>
      </c>
      <c r="AS64" s="33">
        <f>$AJ64/$AI64*M64</f>
        <v>16690.233174596618</v>
      </c>
      <c r="AT64" s="33">
        <f>$AJ64/$AI64*N64</f>
        <v>19405.033240669782</v>
      </c>
      <c r="AU64" s="33">
        <f>$AJ64/$AI64*O64</f>
        <v>21905.886291009079</v>
      </c>
      <c r="AV64" s="33">
        <f>$AJ64/$AI64*P64</f>
        <v>19101.717233241769</v>
      </c>
      <c r="AW64" s="33">
        <f>$AJ64/$AI64*Q64</f>
        <v>16734.594687498877</v>
      </c>
      <c r="AX64" s="33">
        <f>$AJ64/$AI64*R64</f>
        <v>21849.181381709808</v>
      </c>
      <c r="AY64" s="33">
        <f>$AJ64/$AI64*S64</f>
        <v>17739.476347393746</v>
      </c>
      <c r="AZ64" s="33">
        <f>$AJ64/$AI64*T64</f>
        <v>17654.481245217336</v>
      </c>
      <c r="BA64" s="33">
        <f>$AJ64/$AI64*U64</f>
        <v>20398.077381069157</v>
      </c>
      <c r="BB64" s="33">
        <f>$AJ64/$AI64*V64</f>
        <v>16579.181520631297</v>
      </c>
      <c r="BC64" s="33">
        <f>$AJ64/$AI64*W64</f>
        <v>15345.643501250757</v>
      </c>
      <c r="BD64" s="33">
        <f>$AJ64/$AI64*X64</f>
        <v>15564.073364604223</v>
      </c>
      <c r="BE64" s="33">
        <f>$AJ64/$AI64*Y64</f>
        <v>18926.637128987528</v>
      </c>
      <c r="BF64" s="33">
        <f>$AJ64/$AI64*Z64</f>
        <v>16534.360827156896</v>
      </c>
      <c r="BG64" s="33">
        <f>$AJ64/$AI64*AA64</f>
        <v>20897.541320019205</v>
      </c>
      <c r="BH64" s="33">
        <f>$AJ64/$AI64*AB64</f>
        <v>17871.136648054711</v>
      </c>
      <c r="BI64" s="33">
        <f>$AJ64/$AI64*AC64</f>
        <v>20384.099613144164</v>
      </c>
      <c r="BJ64" s="33">
        <f>$AJ64/$AI64*AD64</f>
        <v>16683.469989559413</v>
      </c>
      <c r="BK64" s="33">
        <f>$AJ64/$AI64*AE64</f>
        <v>15748.578344669804</v>
      </c>
      <c r="BL64" s="33">
        <f>$AJ64/$AI64*AF64</f>
        <v>17663.423592291841</v>
      </c>
      <c r="BM64" s="33">
        <f>$AJ64/$AI64*AG64</f>
        <v>15796.18525246333</v>
      </c>
      <c r="BN64" s="33">
        <f>$AJ64/$AI64*AH64</f>
        <v>16460.456103206048</v>
      </c>
    </row>
    <row r="65" spans="1:66" x14ac:dyDescent="0.25">
      <c r="A65" s="1" t="s">
        <v>72</v>
      </c>
      <c r="B65" s="4">
        <v>63</v>
      </c>
      <c r="C65" s="4" t="s">
        <v>4</v>
      </c>
      <c r="D65" s="4" t="str">
        <f>A65&amp;C65</f>
        <v>BANANA RDBAKERY</v>
      </c>
      <c r="E65" s="2">
        <v>59649.440000000002</v>
      </c>
      <c r="F65" s="2">
        <v>62923.61</v>
      </c>
      <c r="G65" s="2">
        <v>57008.82</v>
      </c>
      <c r="H65" s="2">
        <v>59795.1</v>
      </c>
      <c r="I65" s="2">
        <v>73399.16</v>
      </c>
      <c r="J65" s="2">
        <v>78208.710000000006</v>
      </c>
      <c r="K65" s="2">
        <v>60354.06</v>
      </c>
      <c r="L65" s="2">
        <v>55091.75</v>
      </c>
      <c r="M65" s="2">
        <v>52941.68</v>
      </c>
      <c r="N65" s="2">
        <v>53831.199999999997</v>
      </c>
      <c r="O65" s="2">
        <v>62061.89</v>
      </c>
      <c r="P65" s="2">
        <v>60923.58</v>
      </c>
      <c r="Q65" s="2">
        <v>80451.63</v>
      </c>
      <c r="R65" s="2">
        <v>54400.13</v>
      </c>
      <c r="S65" s="2">
        <v>59132.65</v>
      </c>
      <c r="T65" s="2">
        <v>55373.82</v>
      </c>
      <c r="U65" s="2">
        <v>51384.65</v>
      </c>
      <c r="V65" s="2">
        <v>56393.440000000002</v>
      </c>
      <c r="W65" s="2">
        <v>72250.44</v>
      </c>
      <c r="X65" s="2">
        <v>76600.58</v>
      </c>
      <c r="Y65" s="2">
        <v>68524.539999999994</v>
      </c>
      <c r="Z65" s="2">
        <v>57352.3</v>
      </c>
      <c r="AA65" s="2">
        <v>51906.99</v>
      </c>
      <c r="AB65" s="2">
        <v>48069.54</v>
      </c>
      <c r="AC65" s="2">
        <v>60521.13</v>
      </c>
      <c r="AD65" s="2">
        <v>65279.65</v>
      </c>
      <c r="AE65" s="2">
        <v>78368.92</v>
      </c>
      <c r="AF65" s="2">
        <v>76198.61</v>
      </c>
      <c r="AG65" s="2">
        <v>80991.17</v>
      </c>
      <c r="AH65" s="2">
        <v>60019.96</v>
      </c>
      <c r="AI65" s="24">
        <f>SUM(E65:AH65)</f>
        <v>1889409.15</v>
      </c>
      <c r="AJ65" s="26">
        <v>2786541.6714284574</v>
      </c>
      <c r="AK65" s="33">
        <f>$AJ65/$AI65*E65</f>
        <v>87972.29029899188</v>
      </c>
      <c r="AL65" s="33">
        <f>$AJ65/$AI65*F65</f>
        <v>92801.107362961804</v>
      </c>
      <c r="AM65" s="33">
        <f>$AJ65/$AI65*G65</f>
        <v>84077.846542112951</v>
      </c>
      <c r="AN65" s="33">
        <f>$AJ65/$AI65*H65</f>
        <v>88187.112832195067</v>
      </c>
      <c r="AO65" s="33">
        <f>$AJ65/$AI65*I65</f>
        <v>108250.67613748182</v>
      </c>
      <c r="AP65" s="33">
        <f>$AJ65/$AI65*J65</f>
        <v>115343.90498937911</v>
      </c>
      <c r="AQ65" s="33">
        <f>$AJ65/$AI65*K65</f>
        <v>89011.479186439537</v>
      </c>
      <c r="AR65" s="33">
        <f>$AJ65/$AI65*L65</f>
        <v>81250.510048032069</v>
      </c>
      <c r="AS65" s="33">
        <f>$AJ65/$AI65*M65</f>
        <v>78079.540090842973</v>
      </c>
      <c r="AT65" s="33">
        <f>$AJ65/$AI65*N65</f>
        <v>79391.423516182069</v>
      </c>
      <c r="AU65" s="33">
        <f>$AJ65/$AI65*O65</f>
        <v>91530.223981718882</v>
      </c>
      <c r="AV65" s="33">
        <f>$AJ65/$AI65*P65</f>
        <v>89851.419658153638</v>
      </c>
      <c r="AW65" s="33">
        <f>$AJ65/$AI65*Q65</f>
        <v>118651.81214420596</v>
      </c>
      <c r="AX65" s="33">
        <f>$AJ65/$AI65*R65</f>
        <v>80230.493843075426</v>
      </c>
      <c r="AY65" s="33">
        <f>$AJ65/$AI65*S65</f>
        <v>87210.11717710481</v>
      </c>
      <c r="AZ65" s="33">
        <f>$AJ65/$AI65*T65</f>
        <v>81666.513013435208</v>
      </c>
      <c r="BA65" s="33">
        <f>$AJ65/$AI65*U65</f>
        <v>75783.198412459416</v>
      </c>
      <c r="BB65" s="33">
        <f>$AJ65/$AI65*V65</f>
        <v>83170.270745857473</v>
      </c>
      <c r="BC65" s="33">
        <f>$AJ65/$AI65*W65</f>
        <v>106556.51891970646</v>
      </c>
      <c r="BD65" s="33">
        <f>$AJ65/$AI65*X65</f>
        <v>112972.19992058855</v>
      </c>
      <c r="BE65" s="33">
        <f>$AJ65/$AI65*Y65</f>
        <v>101061.48063560833</v>
      </c>
      <c r="BF65" s="33">
        <f>$AJ65/$AI65*Z65</f>
        <v>84584.418309960194</v>
      </c>
      <c r="BG65" s="33">
        <f>$AJ65/$AI65*AA65</f>
        <v>76553.556794948425</v>
      </c>
      <c r="BH65" s="33">
        <f>$AJ65/$AI65*AB65</f>
        <v>70894.00214686009</v>
      </c>
      <c r="BI65" s="33">
        <f>$AJ65/$AI65*AC65</f>
        <v>89257.87765288369</v>
      </c>
      <c r="BJ65" s="33">
        <f>$AJ65/$AI65*AD65</f>
        <v>96275.846351895103</v>
      </c>
      <c r="BK65" s="33">
        <f>$AJ65/$AI65*AE65</f>
        <v>115580.18617875491</v>
      </c>
      <c r="BL65" s="33">
        <f>$AJ65/$AI65*AF65</f>
        <v>112379.36582974905</v>
      </c>
      <c r="BM65" s="33">
        <f>$AJ65/$AI65*AG65</f>
        <v>119447.53746045231</v>
      </c>
      <c r="BN65" s="33">
        <f>$AJ65/$AI65*AH65</f>
        <v>88518.741246420424</v>
      </c>
    </row>
    <row r="66" spans="1:66" ht="24.75" x14ac:dyDescent="0.25">
      <c r="A66" s="1" t="s">
        <v>79</v>
      </c>
      <c r="B66" s="4">
        <v>64</v>
      </c>
      <c r="C66" s="4" t="s">
        <v>4</v>
      </c>
      <c r="D66" s="4" t="str">
        <f>A66&amp;C66</f>
        <v>NAKURU STATEHOUSEBAKERY</v>
      </c>
      <c r="E66" s="2">
        <v>37252.199999999997</v>
      </c>
      <c r="F66" s="2">
        <v>34303.03</v>
      </c>
      <c r="G66" s="2">
        <v>24806.03</v>
      </c>
      <c r="H66" s="2">
        <v>31252.03</v>
      </c>
      <c r="I66" s="2">
        <v>41842.129999999997</v>
      </c>
      <c r="J66" s="2">
        <v>37172.65</v>
      </c>
      <c r="K66" s="2">
        <v>26014.86</v>
      </c>
      <c r="L66" s="2">
        <v>21208.31</v>
      </c>
      <c r="M66" s="2">
        <v>28646.61</v>
      </c>
      <c r="N66" s="2">
        <v>29258.55</v>
      </c>
      <c r="O66" s="2">
        <v>32257.200000000001</v>
      </c>
      <c r="P66" s="2">
        <v>33327.129999999997</v>
      </c>
      <c r="Q66" s="2">
        <v>35491.1</v>
      </c>
      <c r="R66" s="2">
        <v>25431.72</v>
      </c>
      <c r="S66" s="2">
        <v>32107.03</v>
      </c>
      <c r="T66" s="2">
        <v>22510.69</v>
      </c>
      <c r="U66" s="2">
        <v>24350.13</v>
      </c>
      <c r="V66" s="2">
        <v>35315.760000000002</v>
      </c>
      <c r="W66" s="2">
        <v>31033.51</v>
      </c>
      <c r="X66" s="2">
        <v>34296.65</v>
      </c>
      <c r="Y66" s="2">
        <v>32417.68</v>
      </c>
      <c r="Z66" s="2">
        <v>23822.58</v>
      </c>
      <c r="AA66" s="2">
        <v>22321.93</v>
      </c>
      <c r="AB66" s="2">
        <v>22469.55</v>
      </c>
      <c r="AC66" s="2">
        <v>21699.55</v>
      </c>
      <c r="AD66" s="2">
        <v>30034.89</v>
      </c>
      <c r="AE66" s="2">
        <v>29931.13</v>
      </c>
      <c r="AF66" s="2">
        <v>53182.82</v>
      </c>
      <c r="AG66" s="2">
        <v>35833.72</v>
      </c>
      <c r="AH66" s="2">
        <v>24953.07</v>
      </c>
      <c r="AI66" s="24">
        <f>SUM(E66:AH66)</f>
        <v>914544.24</v>
      </c>
      <c r="AJ66" s="26">
        <v>2727825.3988084397</v>
      </c>
      <c r="AK66" s="33">
        <f>$AJ66/$AI66*E66</f>
        <v>111112.71918512302</v>
      </c>
      <c r="AL66" s="33">
        <f>$AJ66/$AI66*F66</f>
        <v>102316.18373113134</v>
      </c>
      <c r="AM66" s="33">
        <f>$AJ66/$AI66*G66</f>
        <v>73989.333394745467</v>
      </c>
      <c r="AN66" s="33">
        <f>$AJ66/$AI66*H66</f>
        <v>93215.918344555233</v>
      </c>
      <c r="AO66" s="33">
        <f>$AJ66/$AI66*I66</f>
        <v>124803.17513589564</v>
      </c>
      <c r="AP66" s="33">
        <f>$AJ66/$AI66*J66</f>
        <v>110875.44415677097</v>
      </c>
      <c r="AQ66" s="33">
        <f>$AJ66/$AI66*K66</f>
        <v>77594.929529538917</v>
      </c>
      <c r="AR66" s="33">
        <f>$AJ66/$AI66*L66</f>
        <v>63258.357719035033</v>
      </c>
      <c r="AS66" s="33">
        <f>$AJ66/$AI66*M66</f>
        <v>85444.691388313644</v>
      </c>
      <c r="AT66" s="33">
        <f>$AJ66/$AI66*N66</f>
        <v>87269.934390824739</v>
      </c>
      <c r="AU66" s="33">
        <f>$AJ66/$AI66*O66</f>
        <v>96214.054614179855</v>
      </c>
      <c r="AV66" s="33">
        <f>$AJ66/$AI66*P66</f>
        <v>99405.351547991508</v>
      </c>
      <c r="AW66" s="33">
        <f>$AJ66/$AI66*Q66</f>
        <v>105859.85868944974</v>
      </c>
      <c r="AX66" s="33">
        <f>$AJ66/$AI66*R66</f>
        <v>75855.588737166589</v>
      </c>
      <c r="AY66" s="33">
        <f>$AJ66/$AI66*S66</f>
        <v>95766.140208050012</v>
      </c>
      <c r="AZ66" s="33">
        <f>$AJ66/$AI66*T66</f>
        <v>67142.986900997988</v>
      </c>
      <c r="BA66" s="33">
        <f>$AJ66/$AI66*U66</f>
        <v>72629.513339111247</v>
      </c>
      <c r="BB66" s="33">
        <f>$AJ66/$AI66*V66</f>
        <v>105336.86933091738</v>
      </c>
      <c r="BC66" s="33">
        <f>$AJ66/$AI66*W66</f>
        <v>92564.135325127296</v>
      </c>
      <c r="BD66" s="33">
        <f>$AJ66/$AI66*X66</f>
        <v>102297.1540054131</v>
      </c>
      <c r="BE66" s="33">
        <f>$AJ66/$AI66*Y66</f>
        <v>96692.720818453119</v>
      </c>
      <c r="BF66" s="33">
        <f>$AJ66/$AI66*Z66</f>
        <v>71055.981708600521</v>
      </c>
      <c r="BG66" s="33">
        <f>$AJ66/$AI66*AA66</f>
        <v>66579.969498713457</v>
      </c>
      <c r="BH66" s="33">
        <f>$AJ66/$AI66*AB66</f>
        <v>67020.277979987251</v>
      </c>
      <c r="BI66" s="33">
        <f>$AJ66/$AI66*AC66</f>
        <v>64723.58694502704</v>
      </c>
      <c r="BJ66" s="33">
        <f>$AJ66/$AI66*AD66</f>
        <v>89585.535842878002</v>
      </c>
      <c r="BK66" s="33">
        <f>$AJ66/$AI66*AE66</f>
        <v>89276.049269128038</v>
      </c>
      <c r="BL66" s="33">
        <f>$AJ66/$AI66*AF66</f>
        <v>158629.22845182149</v>
      </c>
      <c r="BM66" s="33">
        <f>$AJ66/$AI66*AG66</f>
        <v>106881.79671853816</v>
      </c>
      <c r="BN66" s="33">
        <f>$AJ66/$AI66*AH66</f>
        <v>74427.911900953986</v>
      </c>
    </row>
    <row r="67" spans="1:66" ht="24.75" x14ac:dyDescent="0.25">
      <c r="A67" s="1" t="s">
        <v>86</v>
      </c>
      <c r="B67" s="4">
        <v>65</v>
      </c>
      <c r="C67" s="4" t="s">
        <v>4</v>
      </c>
      <c r="D67" s="4" t="str">
        <f>A67&amp;C67</f>
        <v>KITENGELA TOWNBAKERY</v>
      </c>
      <c r="E67" s="2">
        <v>91601.71</v>
      </c>
      <c r="F67" s="2">
        <v>91643.95</v>
      </c>
      <c r="G67" s="2">
        <v>90936.71</v>
      </c>
      <c r="H67" s="2">
        <v>98901.81</v>
      </c>
      <c r="I67" s="2">
        <v>115251.33</v>
      </c>
      <c r="J67" s="2">
        <v>115974.47</v>
      </c>
      <c r="K67" s="2">
        <v>93798.36</v>
      </c>
      <c r="L67" s="2">
        <v>87972.98</v>
      </c>
      <c r="M67" s="2">
        <v>92542.5</v>
      </c>
      <c r="N67" s="2">
        <v>95241.47</v>
      </c>
      <c r="O67" s="2">
        <v>93822.61</v>
      </c>
      <c r="P67" s="2">
        <v>99984.23</v>
      </c>
      <c r="Q67" s="2">
        <v>111656.02</v>
      </c>
      <c r="R67" s="2">
        <v>84660.71</v>
      </c>
      <c r="S67" s="2">
        <v>83146.64</v>
      </c>
      <c r="T67" s="2">
        <v>86850.67</v>
      </c>
      <c r="U67" s="2">
        <v>88539.06</v>
      </c>
      <c r="V67" s="2">
        <v>101153.75</v>
      </c>
      <c r="W67" s="2">
        <v>108183.74</v>
      </c>
      <c r="X67" s="2">
        <v>107732.33</v>
      </c>
      <c r="Y67" s="2">
        <v>99834.19</v>
      </c>
      <c r="Z67" s="2">
        <v>89447.360000000001</v>
      </c>
      <c r="AA67" s="2">
        <v>87207.02</v>
      </c>
      <c r="AB67" s="2">
        <v>94765.85</v>
      </c>
      <c r="AC67" s="2">
        <v>94099.99</v>
      </c>
      <c r="AD67" s="2">
        <v>99456.16</v>
      </c>
      <c r="AE67" s="2">
        <v>111524.43</v>
      </c>
      <c r="AF67" s="2">
        <v>108885.82</v>
      </c>
      <c r="AG67" s="2">
        <v>114489.02</v>
      </c>
      <c r="AH67" s="2">
        <v>97083.78</v>
      </c>
      <c r="AI67" s="24">
        <f>SUM(E67:AH67)</f>
        <v>2936388.67</v>
      </c>
      <c r="AJ67" s="26">
        <v>1531349.3674473304</v>
      </c>
      <c r="AK67" s="33">
        <f>$AJ67/$AI67*E67</f>
        <v>47770.999152368277</v>
      </c>
      <c r="AL67" s="33">
        <f>$AJ67/$AI67*F67</f>
        <v>47793.027638563522</v>
      </c>
      <c r="AM67" s="33">
        <f>$AJ67/$AI67*G67</f>
        <v>47424.196516955417</v>
      </c>
      <c r="AN67" s="33">
        <f>$AJ67/$AI67*H67</f>
        <v>51578.057676845638</v>
      </c>
      <c r="AO67" s="33">
        <f>$AJ67/$AI67*I67</f>
        <v>60104.458614793504</v>
      </c>
      <c r="AP67" s="33">
        <f>$AJ67/$AI67*J67</f>
        <v>60481.581709188184</v>
      </c>
      <c r="AQ67" s="33">
        <f>$AJ67/$AI67*K67</f>
        <v>48916.569090833938</v>
      </c>
      <c r="AR67" s="33">
        <f>$AJ67/$AI67*L67</f>
        <v>45878.5884347717</v>
      </c>
      <c r="AS67" s="33">
        <f>$AJ67/$AI67*M67</f>
        <v>48261.628402548828</v>
      </c>
      <c r="AT67" s="33">
        <f>$AJ67/$AI67*N67</f>
        <v>49669.162100143199</v>
      </c>
      <c r="AU67" s="33">
        <f>$AJ67/$AI67*O67</f>
        <v>48929.215653102758</v>
      </c>
      <c r="AV67" s="33">
        <f>$AJ67/$AI67*P67</f>
        <v>52142.548065753297</v>
      </c>
      <c r="AW67" s="33">
        <f>$AJ67/$AI67*Q67</f>
        <v>58229.476685280388</v>
      </c>
      <c r="AX67" s="33">
        <f>$AJ67/$AI67*R67</f>
        <v>44151.214051013856</v>
      </c>
      <c r="AY67" s="33">
        <f>$AJ67/$AI67*S67</f>
        <v>43361.614853721294</v>
      </c>
      <c r="AZ67" s="33">
        <f>$AJ67/$AI67*T67</f>
        <v>45293.295102816497</v>
      </c>
      <c r="BA67" s="33">
        <f>$AJ67/$AI67*U67</f>
        <v>46173.803526282245</v>
      </c>
      <c r="BB67" s="33">
        <f>$AJ67/$AI67*V67</f>
        <v>52752.461777284203</v>
      </c>
      <c r="BC67" s="33">
        <f>$AJ67/$AI67*W67</f>
        <v>56418.655850857263</v>
      </c>
      <c r="BD67" s="33">
        <f>$AJ67/$AI67*X67</f>
        <v>56183.242049877226</v>
      </c>
      <c r="BE67" s="33">
        <f>$AJ67/$AI67*Y67</f>
        <v>52064.301047080597</v>
      </c>
      <c r="BF67" s="33">
        <f>$AJ67/$AI67*Z67</f>
        <v>46647.4889905612</v>
      </c>
      <c r="BG67" s="33">
        <f>$AJ67/$AI67*AA67</f>
        <v>45479.134379702773</v>
      </c>
      <c r="BH67" s="33">
        <f>$AJ67/$AI67*AB67</f>
        <v>49421.122597203255</v>
      </c>
      <c r="BI67" s="33">
        <f>$AJ67/$AI67*AC67</f>
        <v>49073.871465149103</v>
      </c>
      <c r="BJ67" s="33">
        <f>$AJ67/$AI67*AD67</f>
        <v>51867.155482772141</v>
      </c>
      <c r="BK67" s="33">
        <f>$AJ67/$AI67*AE67</f>
        <v>58160.85148408643</v>
      </c>
      <c r="BL67" s="33">
        <f>$AJ67/$AI67*AF67</f>
        <v>56784.795992617655</v>
      </c>
      <c r="BM67" s="33">
        <f>$AJ67/$AI67*AG67</f>
        <v>59706.908062911432</v>
      </c>
      <c r="BN67" s="33">
        <f>$AJ67/$AI67*AH67</f>
        <v>50629.940992244665</v>
      </c>
    </row>
    <row r="68" spans="1:66" x14ac:dyDescent="0.25">
      <c r="A68" s="1" t="s">
        <v>87</v>
      </c>
      <c r="B68" s="4">
        <v>66</v>
      </c>
      <c r="C68" s="4" t="s">
        <v>4</v>
      </c>
      <c r="D68" s="4" t="str">
        <f>A68&amp;C68</f>
        <v>LIKONI FERRYBAKERY</v>
      </c>
      <c r="E68" s="2">
        <v>77260.33</v>
      </c>
      <c r="F68" s="2">
        <v>119394.14</v>
      </c>
      <c r="G68" s="2">
        <v>87395.75</v>
      </c>
      <c r="H68" s="2">
        <v>87487.74</v>
      </c>
      <c r="I68" s="2">
        <v>109695.61</v>
      </c>
      <c r="J68" s="2">
        <v>106809.78</v>
      </c>
      <c r="K68" s="2">
        <v>88552.16</v>
      </c>
      <c r="L68" s="2">
        <v>79101.33</v>
      </c>
      <c r="M68" s="2">
        <v>86767.78</v>
      </c>
      <c r="N68" s="2">
        <v>79281.2</v>
      </c>
      <c r="O68" s="2">
        <v>95639.37</v>
      </c>
      <c r="P68" s="2">
        <v>98773.4</v>
      </c>
      <c r="Q68" s="2">
        <v>104254.71</v>
      </c>
      <c r="R68" s="2">
        <v>69840.09</v>
      </c>
      <c r="S68" s="2">
        <v>82440.639999999999</v>
      </c>
      <c r="T68" s="2">
        <v>74459.990000000005</v>
      </c>
      <c r="U68" s="2">
        <v>90843.43</v>
      </c>
      <c r="V68" s="2">
        <v>84289.06</v>
      </c>
      <c r="W68" s="2">
        <v>113967.85</v>
      </c>
      <c r="X68" s="2">
        <v>118352.88</v>
      </c>
      <c r="Y68" s="2">
        <v>90224.02</v>
      </c>
      <c r="Z68" s="2">
        <v>74976.639999999999</v>
      </c>
      <c r="AA68" s="2">
        <v>80528.02</v>
      </c>
      <c r="AB68" s="2">
        <v>81170.95</v>
      </c>
      <c r="AC68" s="2">
        <v>96805.71</v>
      </c>
      <c r="AD68" s="2">
        <v>100534.5</v>
      </c>
      <c r="AE68" s="2">
        <v>116163.64</v>
      </c>
      <c r="AF68" s="2">
        <v>129354.33</v>
      </c>
      <c r="AG68" s="2">
        <v>111860.95</v>
      </c>
      <c r="AH68" s="2">
        <v>94079.78</v>
      </c>
      <c r="AI68" s="24">
        <f>SUM(E68:AH68)</f>
        <v>2830305.78</v>
      </c>
      <c r="AJ68" s="26">
        <v>1426287.4685909662</v>
      </c>
      <c r="AK68" s="33">
        <f>$AJ68/$AI68*E68</f>
        <v>38934.111387145844</v>
      </c>
      <c r="AL68" s="33">
        <f>$AJ68/$AI68*F68</f>
        <v>60166.773112831448</v>
      </c>
      <c r="AM68" s="33">
        <f>$AJ68/$AI68*G68</f>
        <v>44041.694686822477</v>
      </c>
      <c r="AN68" s="33">
        <f>$AJ68/$AI68*H68</f>
        <v>44088.051580541462</v>
      </c>
      <c r="AO68" s="33">
        <f>$AJ68/$AI68*I68</f>
        <v>55279.353562441545</v>
      </c>
      <c r="AP68" s="33">
        <f>$AJ68/$AI68*J68</f>
        <v>53825.085548515548</v>
      </c>
      <c r="AQ68" s="33">
        <f>$AJ68/$AI68*K68</f>
        <v>44624.449067359157</v>
      </c>
      <c r="AR68" s="33">
        <f>$AJ68/$AI68*L68</f>
        <v>39861.853982391498</v>
      </c>
      <c r="AS68" s="33">
        <f>$AJ68/$AI68*M68</f>
        <v>43725.239218307317</v>
      </c>
      <c r="AT68" s="33">
        <f>$AJ68/$AI68*N68</f>
        <v>39952.496600863429</v>
      </c>
      <c r="AU68" s="33">
        <f>$AJ68/$AI68*O68</f>
        <v>48195.935541259714</v>
      </c>
      <c r="AV68" s="33">
        <f>$AJ68/$AI68*P68</f>
        <v>49775.279987635455</v>
      </c>
      <c r="AW68" s="33">
        <f>$AJ68/$AI68*Q68</f>
        <v>52537.498762619674</v>
      </c>
      <c r="AX68" s="33">
        <f>$AJ68/$AI68*R68</f>
        <v>35194.799754910317</v>
      </c>
      <c r="AY68" s="33">
        <f>$AJ68/$AI68*S68</f>
        <v>41544.646011576588</v>
      </c>
      <c r="AZ68" s="33">
        <f>$AJ68/$AI68*T68</f>
        <v>37522.924695581365</v>
      </c>
      <c r="BA68" s="33">
        <f>$AJ68/$AI68*U68</f>
        <v>45779.09804954737</v>
      </c>
      <c r="BB68" s="33">
        <f>$AJ68/$AI68*V68</f>
        <v>42476.1277975103</v>
      </c>
      <c r="BC68" s="33">
        <f>$AJ68/$AI68*W68</f>
        <v>57432.280789553057</v>
      </c>
      <c r="BD68" s="33">
        <f>$AJ68/$AI68*X68</f>
        <v>59642.04673872744</v>
      </c>
      <c r="BE68" s="33">
        <f>$AJ68/$AI68*Y68</f>
        <v>45466.956256542966</v>
      </c>
      <c r="BF68" s="33">
        <f>$AJ68/$AI68*Z68</f>
        <v>37783.282225094488</v>
      </c>
      <c r="BG68" s="33">
        <f>$AJ68/$AI68*AA68</f>
        <v>40580.811659312203</v>
      </c>
      <c r="BH68" s="33">
        <f>$AJ68/$AI68*AB68</f>
        <v>40904.805981290083</v>
      </c>
      <c r="BI68" s="33">
        <f>$AJ68/$AI68*AC68</f>
        <v>48783.693986962498</v>
      </c>
      <c r="BJ68" s="33">
        <f>$AJ68/$AI68*AD68</f>
        <v>50662.758251887011</v>
      </c>
      <c r="BK68" s="33">
        <f>$AJ68/$AI68*AE68</f>
        <v>58538.81414817035</v>
      </c>
      <c r="BL68" s="33">
        <f>$AJ68/$AI68*AF68</f>
        <v>65186.052048051322</v>
      </c>
      <c r="BM68" s="33">
        <f>$AJ68/$AI68*AG68</f>
        <v>56370.54212908425</v>
      </c>
      <c r="BN68" s="33">
        <f>$AJ68/$AI68*AH68</f>
        <v>47410.005028430191</v>
      </c>
    </row>
    <row r="69" spans="1:66" x14ac:dyDescent="0.25">
      <c r="A69" s="1" t="s">
        <v>92</v>
      </c>
      <c r="B69" s="4">
        <v>67</v>
      </c>
      <c r="C69" s="4" t="s">
        <v>4</v>
      </c>
      <c r="D69" s="4" t="str">
        <f>A69&amp;C69</f>
        <v>ELGON VIEWBAKERY</v>
      </c>
      <c r="E69" s="2">
        <v>134830.79</v>
      </c>
      <c r="F69" s="2">
        <v>117385.19</v>
      </c>
      <c r="G69" s="2">
        <v>125901.33</v>
      </c>
      <c r="H69" s="2">
        <v>129146.02</v>
      </c>
      <c r="I69" s="2">
        <v>145716.32</v>
      </c>
      <c r="J69" s="2">
        <v>145654.06</v>
      </c>
      <c r="K69" s="2">
        <v>131608.16</v>
      </c>
      <c r="L69" s="2">
        <v>123577.13</v>
      </c>
      <c r="M69" s="2">
        <v>127686.01</v>
      </c>
      <c r="N69" s="2">
        <v>119411.17</v>
      </c>
      <c r="O69" s="2">
        <v>138564.69</v>
      </c>
      <c r="P69" s="2">
        <v>143305</v>
      </c>
      <c r="Q69" s="2">
        <v>151767.91</v>
      </c>
      <c r="R69" s="2">
        <v>113227</v>
      </c>
      <c r="S69" s="2">
        <v>120756.81</v>
      </c>
      <c r="T69" s="2">
        <v>111480.84</v>
      </c>
      <c r="U69" s="2">
        <v>126408.29</v>
      </c>
      <c r="V69" s="2">
        <v>133401.03</v>
      </c>
      <c r="W69" s="2">
        <v>162036.1</v>
      </c>
      <c r="X69" s="2">
        <v>147041</v>
      </c>
      <c r="Y69" s="2">
        <v>123364.08</v>
      </c>
      <c r="Z69" s="2">
        <v>121421.08</v>
      </c>
      <c r="AA69" s="2">
        <v>118553.88</v>
      </c>
      <c r="AB69" s="2">
        <v>125679.43</v>
      </c>
      <c r="AC69" s="2">
        <v>121871.15</v>
      </c>
      <c r="AD69" s="2">
        <v>145624.48000000001</v>
      </c>
      <c r="AE69" s="2">
        <v>145020.94</v>
      </c>
      <c r="AF69" s="2">
        <v>154551.54999999999</v>
      </c>
      <c r="AG69" s="2">
        <v>154642.57999999999</v>
      </c>
      <c r="AH69" s="2">
        <v>127263.53</v>
      </c>
      <c r="AI69" s="24">
        <f>SUM(E69:AH69)</f>
        <v>3986897.5499999993</v>
      </c>
      <c r="AJ69" s="26">
        <v>2148247.9797958964</v>
      </c>
      <c r="AK69" s="33">
        <f>$AJ69/$AI69*E69</f>
        <v>72650.46783852893</v>
      </c>
      <c r="AL69" s="33">
        <f>$AJ69/$AI69*F69</f>
        <v>63250.30781778114</v>
      </c>
      <c r="AM69" s="33">
        <f>$AJ69/$AI69*G69</f>
        <v>67839.033843775716</v>
      </c>
      <c r="AN69" s="33">
        <f>$AJ69/$AI69*H69</f>
        <v>69587.360368384805</v>
      </c>
      <c r="AO69" s="33">
        <f>$AJ69/$AI69*I69</f>
        <v>78515.885130605486</v>
      </c>
      <c r="AP69" s="33">
        <f>$AJ69/$AI69*J69</f>
        <v>78482.337762622046</v>
      </c>
      <c r="AQ69" s="33">
        <f>$AJ69/$AI69*K69</f>
        <v>70914.027837172573</v>
      </c>
      <c r="AR69" s="33">
        <f>$AJ69/$AI69*L69</f>
        <v>66586.692169071393</v>
      </c>
      <c r="AS69" s="33">
        <f>$AJ69/$AI69*M69</f>
        <v>68800.667584422539</v>
      </c>
      <c r="AT69" s="33">
        <f>$AJ69/$AI69*N69</f>
        <v>64341.960509510551</v>
      </c>
      <c r="AU69" s="33">
        <f>$AJ69/$AI69*O69</f>
        <v>74662.393911663137</v>
      </c>
      <c r="AV69" s="33">
        <f>$AJ69/$AI69*P69</f>
        <v>77216.600849111608</v>
      </c>
      <c r="AW69" s="33">
        <f>$AJ69/$AI69*Q69</f>
        <v>81776.645114782412</v>
      </c>
      <c r="AX69" s="33">
        <f>$AJ69/$AI69*R69</f>
        <v>61009.762843880948</v>
      </c>
      <c r="AY69" s="33">
        <f>$AJ69/$AI69*S69</f>
        <v>65067.027651386961</v>
      </c>
      <c r="AZ69" s="33">
        <f>$AJ69/$AI69*T69</f>
        <v>60068.884718632806</v>
      </c>
      <c r="BA69" s="33">
        <f>$AJ69/$AI69*U69</f>
        <v>68112.197571255325</v>
      </c>
      <c r="BB69" s="33">
        <f>$AJ69/$AI69*V69</f>
        <v>71880.074570813042</v>
      </c>
      <c r="BC69" s="33">
        <f>$AJ69/$AI69*W69</f>
        <v>87309.422956957074</v>
      </c>
      <c r="BD69" s="33">
        <f>$AJ69/$AI69*X69</f>
        <v>79229.658458910853</v>
      </c>
      <c r="BE69" s="33">
        <f>$AJ69/$AI69*Y69</f>
        <v>66471.895080268456</v>
      </c>
      <c r="BF69" s="33">
        <f>$AJ69/$AI69*Z69</f>
        <v>65424.954251617513</v>
      </c>
      <c r="BG69" s="33">
        <f>$AJ69/$AI69*AA69</f>
        <v>63880.029524953599</v>
      </c>
      <c r="BH69" s="33">
        <f>$AJ69/$AI69*AB69</f>
        <v>67719.468136170137</v>
      </c>
      <c r="BI69" s="33">
        <f>$AJ69/$AI69*AC69</f>
        <v>65667.464112014277</v>
      </c>
      <c r="BJ69" s="33">
        <f>$AJ69/$AI69*AD69</f>
        <v>78466.399260454535</v>
      </c>
      <c r="BK69" s="33">
        <f>$AJ69/$AI69*AE69</f>
        <v>78141.195622922882</v>
      </c>
      <c r="BL69" s="33">
        <f>$AJ69/$AI69*AF69</f>
        <v>83276.545458717519</v>
      </c>
      <c r="BM69" s="33">
        <f>$AJ69/$AI69*AG69</f>
        <v>83325.594879011958</v>
      </c>
      <c r="BN69" s="33">
        <f>$AJ69/$AI69*AH69</f>
        <v>68573.023960496415</v>
      </c>
    </row>
    <row r="70" spans="1:66" ht="24.75" x14ac:dyDescent="0.25">
      <c r="A70" s="1" t="s">
        <v>93</v>
      </c>
      <c r="B70" s="4">
        <v>68</v>
      </c>
      <c r="C70" s="4" t="s">
        <v>4</v>
      </c>
      <c r="D70" s="4" t="str">
        <f>A70&amp;C70</f>
        <v>NGONG RD ADAMSBAKERY</v>
      </c>
      <c r="E70" s="2">
        <v>72319.09</v>
      </c>
      <c r="F70" s="2">
        <v>75060.160000000003</v>
      </c>
      <c r="G70" s="2">
        <v>75395.37</v>
      </c>
      <c r="H70" s="2">
        <v>85698.09</v>
      </c>
      <c r="I70" s="2">
        <v>76670.399999999994</v>
      </c>
      <c r="J70" s="2">
        <v>89735.99</v>
      </c>
      <c r="K70" s="2">
        <v>76979.92</v>
      </c>
      <c r="L70" s="2">
        <v>71682.19</v>
      </c>
      <c r="M70" s="2">
        <v>70484.92</v>
      </c>
      <c r="N70" s="2">
        <v>79002.990000000005</v>
      </c>
      <c r="O70" s="2">
        <v>73848.13</v>
      </c>
      <c r="P70" s="2">
        <v>90075.88</v>
      </c>
      <c r="Q70" s="2">
        <v>78933.75</v>
      </c>
      <c r="R70" s="2">
        <v>67583.19</v>
      </c>
      <c r="S70" s="2">
        <v>64230.16</v>
      </c>
      <c r="T70" s="2">
        <v>73826.78</v>
      </c>
      <c r="U70" s="2">
        <v>70572.61</v>
      </c>
      <c r="V70" s="2">
        <v>78417.990000000005</v>
      </c>
      <c r="W70" s="2">
        <v>84105.88</v>
      </c>
      <c r="X70" s="2">
        <v>83305.759999999995</v>
      </c>
      <c r="Y70" s="2">
        <v>66606.92</v>
      </c>
      <c r="Z70" s="2">
        <v>71453.09</v>
      </c>
      <c r="AA70" s="2">
        <v>76355.850000000006</v>
      </c>
      <c r="AB70" s="2">
        <v>76358.81</v>
      </c>
      <c r="AC70" s="2">
        <v>81193.429999999993</v>
      </c>
      <c r="AD70" s="2">
        <v>81277.3</v>
      </c>
      <c r="AE70" s="2">
        <v>97006.92</v>
      </c>
      <c r="AF70" s="2">
        <v>79975.09</v>
      </c>
      <c r="AG70" s="2">
        <v>78394.78</v>
      </c>
      <c r="AH70" s="2">
        <v>67750.850000000006</v>
      </c>
      <c r="AI70" s="24">
        <f>SUM(E70:AH70)</f>
        <v>2314302.29</v>
      </c>
      <c r="AJ70" s="26">
        <v>1482444.4034112906</v>
      </c>
      <c r="AK70" s="33">
        <f>$AJ70/$AI70*E70</f>
        <v>46324.557813187588</v>
      </c>
      <c r="AL70" s="33">
        <f>$AJ70/$AI70*F70</f>
        <v>48080.371605714492</v>
      </c>
      <c r="AM70" s="33">
        <f>$AJ70/$AI70*G70</f>
        <v>48295.092988748467</v>
      </c>
      <c r="AN70" s="33">
        <f>$AJ70/$AI70*H70</f>
        <v>54894.580734972653</v>
      </c>
      <c r="AO70" s="33">
        <f>$AJ70/$AI70*I70</f>
        <v>49111.823411497819</v>
      </c>
      <c r="AP70" s="33">
        <f>$AJ70/$AI70*J70</f>
        <v>57481.089110477245</v>
      </c>
      <c r="AQ70" s="33">
        <f>$AJ70/$AI70*K70</f>
        <v>49310.088864427853</v>
      </c>
      <c r="AR70" s="33">
        <f>$AJ70/$AI70*L70</f>
        <v>45916.586544865233</v>
      </c>
      <c r="AS70" s="33">
        <f>$AJ70/$AI70*M70</f>
        <v>45149.665897315666</v>
      </c>
      <c r="AT70" s="33">
        <f>$AJ70/$AI70*N70</f>
        <v>50605.982150351745</v>
      </c>
      <c r="AU70" s="33">
        <f>$AJ70/$AI70*O70</f>
        <v>47303.996324909414</v>
      </c>
      <c r="AV70" s="33">
        <f>$AJ70/$AI70*P70</f>
        <v>57698.808304055652</v>
      </c>
      <c r="AW70" s="33">
        <f>$AJ70/$AI70*Q70</f>
        <v>50561.629927681555</v>
      </c>
      <c r="AX70" s="33">
        <f>$AJ70/$AI70*R70</f>
        <v>43290.940087252777</v>
      </c>
      <c r="AY70" s="33">
        <f>$AJ70/$AI70*S70</f>
        <v>41143.130538150981</v>
      </c>
      <c r="AZ70" s="33">
        <f>$AJ70/$AI70*T70</f>
        <v>47290.320415694965</v>
      </c>
      <c r="BA70" s="33">
        <f>$AJ70/$AI70*U70</f>
        <v>45205.836411555247</v>
      </c>
      <c r="BB70" s="33">
        <f>$AJ70/$AI70*V70</f>
        <v>50231.255832297764</v>
      </c>
      <c r="BC70" s="33">
        <f>$AJ70/$AI70*W70</f>
        <v>53874.67818647909</v>
      </c>
      <c r="BD70" s="33">
        <f>$AJ70/$AI70*X70</f>
        <v>53362.155072630616</v>
      </c>
      <c r="BE70" s="33">
        <f>$AJ70/$AI70*Y70</f>
        <v>42665.5827154125</v>
      </c>
      <c r="BF70" s="33">
        <f>$AJ70/$AI70*Z70</f>
        <v>45769.834750905968</v>
      </c>
      <c r="BG70" s="33">
        <f>$AJ70/$AI70*AA70</f>
        <v>48910.335952790338</v>
      </c>
      <c r="BH70" s="33">
        <f>$AJ70/$AI70*AB70</f>
        <v>48912.232003903904</v>
      </c>
      <c r="BI70" s="33">
        <f>$AJ70/$AI70*AC70</f>
        <v>52009.085596707584</v>
      </c>
      <c r="BJ70" s="33">
        <f>$AJ70/$AI70*AD70</f>
        <v>52062.809180118165</v>
      </c>
      <c r="BK70" s="33">
        <f>$AJ70/$AI70*AE70</f>
        <v>62138.540098046913</v>
      </c>
      <c r="BL70" s="33">
        <f>$AJ70/$AI70*AF70</f>
        <v>51228.668396129993</v>
      </c>
      <c r="BM70" s="33">
        <f>$AJ70/$AI70*AG70</f>
        <v>50216.388485559241</v>
      </c>
      <c r="BN70" s="33">
        <f>$AJ70/$AI70*AH70</f>
        <v>43398.336009449245</v>
      </c>
    </row>
    <row r="71" spans="1:66" x14ac:dyDescent="0.25">
      <c r="A71" s="1" t="s">
        <v>94</v>
      </c>
      <c r="B71" s="4">
        <v>69</v>
      </c>
      <c r="C71" s="4" t="s">
        <v>4</v>
      </c>
      <c r="D71" s="4" t="str">
        <f>A71&amp;C71</f>
        <v>NAKURU SEC 58BAKERY</v>
      </c>
      <c r="E71" s="2">
        <v>71722.570000000007</v>
      </c>
      <c r="F71" s="2">
        <v>65348.71</v>
      </c>
      <c r="G71" s="2">
        <v>82681.3</v>
      </c>
      <c r="H71" s="2">
        <v>84976.54</v>
      </c>
      <c r="I71" s="2">
        <v>97208.61</v>
      </c>
      <c r="J71" s="2">
        <v>89333.58</v>
      </c>
      <c r="K71" s="2">
        <v>67444.710000000006</v>
      </c>
      <c r="L71" s="2">
        <v>76255.12</v>
      </c>
      <c r="M71" s="2">
        <v>80878.36</v>
      </c>
      <c r="N71" s="2">
        <v>70635.61</v>
      </c>
      <c r="O71" s="2">
        <v>87101.33</v>
      </c>
      <c r="P71" s="2">
        <v>85960.16</v>
      </c>
      <c r="Q71" s="2">
        <v>99921.75</v>
      </c>
      <c r="R71" s="2">
        <v>72834.990000000005</v>
      </c>
      <c r="S71" s="2">
        <v>69814.61</v>
      </c>
      <c r="T71" s="2">
        <v>71249.88</v>
      </c>
      <c r="U71" s="2">
        <v>76367.710000000006</v>
      </c>
      <c r="V71" s="2">
        <v>88758.23</v>
      </c>
      <c r="W71" s="2">
        <v>112051.47</v>
      </c>
      <c r="X71" s="2">
        <v>97290.2</v>
      </c>
      <c r="Y71" s="2">
        <v>75081.36</v>
      </c>
      <c r="Z71" s="2">
        <v>75565.399999999994</v>
      </c>
      <c r="AA71" s="2">
        <v>71071.710000000006</v>
      </c>
      <c r="AB71" s="2">
        <v>67861.89</v>
      </c>
      <c r="AC71" s="2">
        <v>71460.78</v>
      </c>
      <c r="AD71" s="2">
        <v>86107.33</v>
      </c>
      <c r="AE71" s="2">
        <v>108254.78</v>
      </c>
      <c r="AF71" s="2">
        <v>88367.2</v>
      </c>
      <c r="AG71" s="2">
        <v>87704.16</v>
      </c>
      <c r="AH71" s="2">
        <v>76138.710000000006</v>
      </c>
      <c r="AI71" s="24">
        <f>SUM(E71:AH71)</f>
        <v>2455448.7600000002</v>
      </c>
      <c r="AJ71" s="26">
        <v>2148247.9797958964</v>
      </c>
      <c r="AK71" s="33">
        <f>$AJ71/$AI71*E71</f>
        <v>62749.371364715327</v>
      </c>
      <c r="AL71" s="33">
        <f>$AJ71/$AI71*F71</f>
        <v>57172.943914239069</v>
      </c>
      <c r="AM71" s="33">
        <f>$AJ71/$AI71*G71</f>
        <v>72337.056502819643</v>
      </c>
      <c r="AN71" s="33">
        <f>$AJ71/$AI71*H71</f>
        <v>74345.139413556783</v>
      </c>
      <c r="AO71" s="33">
        <f>$AJ71/$AI71*I71</f>
        <v>85046.857199034828</v>
      </c>
      <c r="AP71" s="33">
        <f>$AJ71/$AI71*J71</f>
        <v>78157.070874056881</v>
      </c>
      <c r="AQ71" s="33">
        <f>$AJ71/$AI71*K71</f>
        <v>59006.713707770505</v>
      </c>
      <c r="AR71" s="33">
        <f>$AJ71/$AI71*L71</f>
        <v>66714.854798718588</v>
      </c>
      <c r="AS71" s="33">
        <f>$AJ71/$AI71*M71</f>
        <v>70759.682022118519</v>
      </c>
      <c r="AT71" s="33">
        <f>$AJ71/$AI71*N71</f>
        <v>61798.400746978245</v>
      </c>
      <c r="AU71" s="33">
        <f>$AJ71/$AI71*O71</f>
        <v>76204.097295044223</v>
      </c>
      <c r="AV71" s="33">
        <f>$AJ71/$AI71*P71</f>
        <v>75205.698881263568</v>
      </c>
      <c r="AW71" s="33">
        <f>$AJ71/$AI71*Q71</f>
        <v>87420.556711258992</v>
      </c>
      <c r="AX71" s="33">
        <f>$AJ71/$AI71*R71</f>
        <v>63722.616686146735</v>
      </c>
      <c r="AY71" s="33">
        <f>$AJ71/$AI71*S71</f>
        <v>61080.115918500524</v>
      </c>
      <c r="AZ71" s="33">
        <f>$AJ71/$AI71*T71</f>
        <v>62335.819530886904</v>
      </c>
      <c r="BA71" s="33">
        <f>$AJ71/$AI71*U71</f>
        <v>66813.358682809107</v>
      </c>
      <c r="BB71" s="33">
        <f>$AJ71/$AI71*V71</f>
        <v>77653.702815512836</v>
      </c>
      <c r="BC71" s="33">
        <f>$AJ71/$AI71*W71</f>
        <v>98032.729487973702</v>
      </c>
      <c r="BD71" s="33">
        <f>$AJ71/$AI71*X71</f>
        <v>85118.239487896572</v>
      </c>
      <c r="BE71" s="33">
        <f>$AJ71/$AI71*Y71</f>
        <v>65687.943714341003</v>
      </c>
      <c r="BF71" s="33">
        <f>$AJ71/$AI71*Z71</f>
        <v>66111.425551583816</v>
      </c>
      <c r="BG71" s="33">
        <f>$AJ71/$AI71*AA71</f>
        <v>62179.940349535049</v>
      </c>
      <c r="BH71" s="33">
        <f>$AJ71/$AI71*AB71</f>
        <v>59371.700388336074</v>
      </c>
      <c r="BI71" s="33">
        <f>$AJ71/$AI71*AC71</f>
        <v>62520.333867459311</v>
      </c>
      <c r="BJ71" s="33">
        <f>$AJ71/$AI71*AD71</f>
        <v>75334.45646738667</v>
      </c>
      <c r="BK71" s="33">
        <f>$AJ71/$AI71*AE71</f>
        <v>94711.042733487615</v>
      </c>
      <c r="BL71" s="33">
        <f>$AJ71/$AI71*AF71</f>
        <v>77311.594512857977</v>
      </c>
      <c r="BM71" s="33">
        <f>$AJ71/$AI71*AG71</f>
        <v>76731.507335423303</v>
      </c>
      <c r="BN71" s="33">
        <f>$AJ71/$AI71*AH71</f>
        <v>66613.008834183784</v>
      </c>
    </row>
    <row r="72" spans="1:66" ht="26.25" x14ac:dyDescent="0.25">
      <c r="A72" s="1" t="s">
        <v>95</v>
      </c>
      <c r="B72" s="4">
        <v>70</v>
      </c>
      <c r="C72" s="4" t="s">
        <v>4</v>
      </c>
      <c r="D72" s="4" t="str">
        <f>A72&amp;C72</f>
        <v>NAKURU KENYATTA AVENUEBAKERY</v>
      </c>
      <c r="E72" s="2">
        <v>89567.67</v>
      </c>
      <c r="F72" s="2">
        <v>89473.09</v>
      </c>
      <c r="G72" s="2">
        <v>90217.99</v>
      </c>
      <c r="H72" s="2">
        <v>128290.36</v>
      </c>
      <c r="I72" s="2">
        <v>123523.81</v>
      </c>
      <c r="J72" s="2">
        <v>86780.19</v>
      </c>
      <c r="K72" s="2">
        <v>99303.88</v>
      </c>
      <c r="L72" s="2">
        <v>88651.98</v>
      </c>
      <c r="M72" s="2">
        <v>91169.29</v>
      </c>
      <c r="N72" s="2">
        <v>86449.88</v>
      </c>
      <c r="O72" s="2">
        <v>100411.5</v>
      </c>
      <c r="P72" s="2">
        <v>108975.36</v>
      </c>
      <c r="Q72" s="2">
        <v>79927.820000000007</v>
      </c>
      <c r="R72" s="2">
        <v>87742.95</v>
      </c>
      <c r="S72" s="2">
        <v>78213.81</v>
      </c>
      <c r="T72" s="2">
        <v>88929.600000000006</v>
      </c>
      <c r="U72" s="2">
        <v>90264.81</v>
      </c>
      <c r="V72" s="2">
        <v>110490.85</v>
      </c>
      <c r="W72" s="2">
        <v>117716.74</v>
      </c>
      <c r="X72" s="2">
        <v>96661.5</v>
      </c>
      <c r="Y72" s="2">
        <v>97482.19</v>
      </c>
      <c r="Z72" s="2">
        <v>90392.36</v>
      </c>
      <c r="AA72" s="2">
        <v>87426.29</v>
      </c>
      <c r="AB72" s="2">
        <v>82712.850000000006</v>
      </c>
      <c r="AC72" s="2">
        <v>91147.81</v>
      </c>
      <c r="AD72" s="2">
        <v>112087.29</v>
      </c>
      <c r="AE72" s="2">
        <v>84510.399999999994</v>
      </c>
      <c r="AF72" s="2">
        <v>124985.02</v>
      </c>
      <c r="AG72" s="2">
        <v>82965.919999999998</v>
      </c>
      <c r="AH72" s="2">
        <v>96849.43</v>
      </c>
      <c r="AI72" s="24">
        <f>SUM(E72:AH72)</f>
        <v>2883322.6400000006</v>
      </c>
      <c r="AJ72" s="26">
        <v>2727825.3988084397</v>
      </c>
      <c r="AK72" s="33">
        <f>$AJ72/$AI72*E72</f>
        <v>84737.296391531359</v>
      </c>
      <c r="AL72" s="33">
        <f>$AJ72/$AI72*F72</f>
        <v>84647.8170794904</v>
      </c>
      <c r="AM72" s="33">
        <f>$AJ72/$AI72*G72</f>
        <v>85352.544712597897</v>
      </c>
      <c r="AN72" s="33">
        <f>$AJ72/$AI72*H72</f>
        <v>121371.67640395535</v>
      </c>
      <c r="AO72" s="33">
        <f>$AJ72/$AI72*I72</f>
        <v>116862.18586886546</v>
      </c>
      <c r="AP72" s="33">
        <f>$AJ72/$AI72*J72</f>
        <v>82100.144850741417</v>
      </c>
      <c r="AQ72" s="33">
        <f>$AJ72/$AI72*K72</f>
        <v>93948.433763980502</v>
      </c>
      <c r="AR72" s="33">
        <f>$AJ72/$AI72*L72</f>
        <v>83870.98944246411</v>
      </c>
      <c r="AS72" s="33">
        <f>$AJ72/$AI72*M72</f>
        <v>86252.541218672719</v>
      </c>
      <c r="AT72" s="33">
        <f>$AJ72/$AI72*N72</f>
        <v>81787.64842908518</v>
      </c>
      <c r="AU72" s="33">
        <f>$AJ72/$AI72*O72</f>
        <v>94996.319951364712</v>
      </c>
      <c r="AV72" s="33">
        <f>$AJ72/$AI72*P72</f>
        <v>103098.33201749952</v>
      </c>
      <c r="AW72" s="33">
        <f>$AJ72/$AI72*Q72</f>
        <v>75617.322335938501</v>
      </c>
      <c r="AX72" s="33">
        <f>$AJ72/$AI72*R72</f>
        <v>83010.983320402505</v>
      </c>
      <c r="AY72" s="33">
        <f>$AJ72/$AI72*S72</f>
        <v>73995.748687901782</v>
      </c>
      <c r="AZ72" s="33">
        <f>$AJ72/$AI72*T72</f>
        <v>84133.637429446666</v>
      </c>
      <c r="BA72" s="33">
        <f>$AJ72/$AI72*U72</f>
        <v>85396.83971566151</v>
      </c>
      <c r="BB72" s="33">
        <f>$AJ72/$AI72*V72</f>
        <v>104532.09182512209</v>
      </c>
      <c r="BC72" s="33">
        <f>$AJ72/$AI72*W72</f>
        <v>111368.29045150818</v>
      </c>
      <c r="BD72" s="33">
        <f>$AJ72/$AI72*X72</f>
        <v>91448.556997742693</v>
      </c>
      <c r="BE72" s="33">
        <f>$AJ72/$AI72*Y72</f>
        <v>92224.987285318173</v>
      </c>
      <c r="BF72" s="33">
        <f>$AJ72/$AI72*Z72</f>
        <v>85517.510959590712</v>
      </c>
      <c r="BG72" s="33">
        <f>$AJ72/$AI72*AA72</f>
        <v>82711.400755897455</v>
      </c>
      <c r="BH72" s="33">
        <f>$AJ72/$AI72*AB72</f>
        <v>78252.156004932083</v>
      </c>
      <c r="BI72" s="33">
        <f>$AJ72/$AI72*AC72</f>
        <v>86232.219632474371</v>
      </c>
      <c r="BJ72" s="33">
        <f>$AJ72/$AI72*AD72</f>
        <v>106042.43600903684</v>
      </c>
      <c r="BK72" s="33">
        <f>$AJ72/$AI72*AE72</f>
        <v>79952.764350874277</v>
      </c>
      <c r="BL72" s="33">
        <f>$AJ72/$AI72*AF72</f>
        <v>118244.59299032201</v>
      </c>
      <c r="BM72" s="33">
        <f>$AJ72/$AI72*AG72</f>
        <v>78491.577970444909</v>
      </c>
      <c r="BN72" s="33">
        <f>$AJ72/$AI72*AH72</f>
        <v>91626.35195557581</v>
      </c>
    </row>
    <row r="73" spans="1:66" ht="24.75" x14ac:dyDescent="0.25">
      <c r="A73" s="1" t="s">
        <v>96</v>
      </c>
      <c r="B73" s="4">
        <v>71</v>
      </c>
      <c r="C73" s="4" t="s">
        <v>4</v>
      </c>
      <c r="D73" s="4" t="str">
        <f>A73&amp;C73</f>
        <v>SYOKIMAU DIAMOND BIZBAKERY</v>
      </c>
      <c r="E73" s="42">
        <v>66999.570000000007</v>
      </c>
      <c r="F73" s="42">
        <v>61508.58</v>
      </c>
      <c r="G73" s="42">
        <v>83498.820000000007</v>
      </c>
      <c r="H73" s="2">
        <v>94262.22</v>
      </c>
      <c r="I73" s="2">
        <v>129765.65</v>
      </c>
      <c r="J73" s="2">
        <v>105074.3</v>
      </c>
      <c r="K73" s="2">
        <v>77711.509999999995</v>
      </c>
      <c r="L73" s="2">
        <v>66999.570000000007</v>
      </c>
      <c r="M73" s="2">
        <v>61508.58</v>
      </c>
      <c r="N73" s="2">
        <v>83498.820000000007</v>
      </c>
      <c r="O73" s="2">
        <v>84078.75</v>
      </c>
      <c r="P73" s="2">
        <v>99310.82</v>
      </c>
      <c r="Q73" s="2">
        <v>91705.54</v>
      </c>
      <c r="R73" s="2">
        <v>72942.880000000005</v>
      </c>
      <c r="S73" s="2">
        <v>66981.89</v>
      </c>
      <c r="T73" s="2">
        <v>67492.75</v>
      </c>
      <c r="U73" s="2">
        <v>74391.679999999993</v>
      </c>
      <c r="V73" s="2">
        <v>82232.820000000007</v>
      </c>
      <c r="W73" s="2">
        <v>109495.75</v>
      </c>
      <c r="X73" s="2">
        <v>115413.44</v>
      </c>
      <c r="Y73" s="2">
        <v>73918.03</v>
      </c>
      <c r="Z73" s="2">
        <v>70914.61</v>
      </c>
      <c r="AA73" s="2">
        <v>64672.2</v>
      </c>
      <c r="AB73" s="2">
        <v>73790.820000000007</v>
      </c>
      <c r="AC73" s="2">
        <v>78391.27</v>
      </c>
      <c r="AD73" s="2">
        <v>89053.71</v>
      </c>
      <c r="AE73" s="2">
        <v>87851.44</v>
      </c>
      <c r="AF73" s="42">
        <v>129765.65</v>
      </c>
      <c r="AG73" s="42">
        <v>105074.3</v>
      </c>
      <c r="AH73" s="42">
        <v>77711.509999999995</v>
      </c>
      <c r="AI73" s="24">
        <f>SUM(E73:AH73)</f>
        <v>2546017.48</v>
      </c>
      <c r="AJ73" s="26">
        <v>2586246.1469371999</v>
      </c>
      <c r="AK73" s="33">
        <f>$AJ73/$AI73*E73</f>
        <v>68058.205067370247</v>
      </c>
      <c r="AL73" s="33">
        <f>$AJ73/$AI73*F73</f>
        <v>62480.453994596501</v>
      </c>
      <c r="AM73" s="33">
        <f>$AJ73/$AI73*G73</f>
        <v>84818.153526111229</v>
      </c>
      <c r="AN73" s="33">
        <f>$AJ73/$AI73*H73</f>
        <v>95751.621971089786</v>
      </c>
      <c r="AO73" s="33">
        <f>$AJ73/$AI73*I73</f>
        <v>131816.02834765345</v>
      </c>
      <c r="AP73" s="33">
        <f>$AJ73/$AI73*J73</f>
        <v>106734.53959048365</v>
      </c>
      <c r="AQ73" s="33">
        <f>$AJ73/$AI73*K73</f>
        <v>78939.40041219657</v>
      </c>
      <c r="AR73" s="33">
        <f>$AJ73/$AI73*L73</f>
        <v>68058.205067370247</v>
      </c>
      <c r="AS73" s="33">
        <f>$AJ73/$AI73*M73</f>
        <v>62480.453994596501</v>
      </c>
      <c r="AT73" s="33">
        <f>$AJ73/$AI73*N73</f>
        <v>84818.153526111229</v>
      </c>
      <c r="AU73" s="33">
        <f>$AJ73/$AI73*O73</f>
        <v>85407.246782451824</v>
      </c>
      <c r="AV73" s="33">
        <f>$AJ73/$AI73*P73</f>
        <v>100879.993005458</v>
      </c>
      <c r="AW73" s="33">
        <f>$AJ73/$AI73*Q73</f>
        <v>93154.544829674633</v>
      </c>
      <c r="AX73" s="33">
        <f>$AJ73/$AI73*R73</f>
        <v>74095.423078753782</v>
      </c>
      <c r="AY73" s="33">
        <f>$AJ73/$AI73*S73</f>
        <v>68040.245712323769</v>
      </c>
      <c r="AZ73" s="33">
        <f>$AJ73/$AI73*T73</f>
        <v>68559.177619509384</v>
      </c>
      <c r="BA73" s="33">
        <f>$AJ73/$AI73*U73</f>
        <v>75567.115023964856</v>
      </c>
      <c r="BB73" s="33">
        <f>$AJ73/$AI73*V73</f>
        <v>83532.149935113688</v>
      </c>
      <c r="BC73" s="33">
        <f>$AJ73/$AI73*W73</f>
        <v>111225.85126300818</v>
      </c>
      <c r="BD73" s="33">
        <f>$AJ73/$AI73*X73</f>
        <v>117237.04446238432</v>
      </c>
      <c r="BE73" s="33">
        <f>$AJ73/$AI73*Y73</f>
        <v>75085.981058028061</v>
      </c>
      <c r="BF73" s="33">
        <f>$AJ73/$AI73*Z73</f>
        <v>72035.105145489506</v>
      </c>
      <c r="BG73" s="33">
        <f>$AJ73/$AI73*AA73</f>
        <v>65694.061167228108</v>
      </c>
      <c r="BH73" s="33">
        <f>$AJ73/$AI73*AB73</f>
        <v>74956.761060547185</v>
      </c>
      <c r="BI73" s="33">
        <f>$AJ73/$AI73*AC73</f>
        <v>79629.901044911021</v>
      </c>
      <c r="BJ73" s="33">
        <f>$AJ73/$AI73*AD73</f>
        <v>90460.814258809725</v>
      </c>
      <c r="BK73" s="33">
        <f>$AJ73/$AI73*AE73</f>
        <v>89239.547641630721</v>
      </c>
      <c r="BL73" s="33">
        <f>$AJ73/$AI73*AF73</f>
        <v>131816.02834765345</v>
      </c>
      <c r="BM73" s="33">
        <f>$AJ73/$AI73*AG73</f>
        <v>106734.53959048365</v>
      </c>
      <c r="BN73" s="33">
        <f>$AJ73/$AI73*AH73</f>
        <v>78939.40041219657</v>
      </c>
    </row>
    <row r="74" spans="1:66" ht="24.75" x14ac:dyDescent="0.25">
      <c r="A74" s="1" t="s">
        <v>97</v>
      </c>
      <c r="B74" s="4">
        <v>72</v>
      </c>
      <c r="C74" s="4" t="s">
        <v>4</v>
      </c>
      <c r="D74" s="4" t="str">
        <f>A74&amp;C74</f>
        <v>MAKONGENI THIKABAKERY</v>
      </c>
      <c r="E74" s="42">
        <v>75784.44</v>
      </c>
      <c r="F74" s="42">
        <v>76932.710000000006</v>
      </c>
      <c r="G74" s="42">
        <v>82273.75</v>
      </c>
      <c r="H74" s="42">
        <v>85221.23</v>
      </c>
      <c r="I74" s="42">
        <v>102444.3</v>
      </c>
      <c r="J74" s="42">
        <v>121470.95</v>
      </c>
      <c r="K74" s="42">
        <v>73618.61</v>
      </c>
      <c r="L74" s="42">
        <v>76926.75</v>
      </c>
      <c r="M74" s="42">
        <v>66880.58</v>
      </c>
      <c r="N74" s="42">
        <v>60850.44</v>
      </c>
      <c r="O74" s="2">
        <v>84312.27</v>
      </c>
      <c r="P74" s="2">
        <v>138244.60999999999</v>
      </c>
      <c r="Q74" s="2">
        <v>111828.02</v>
      </c>
      <c r="R74" s="2">
        <v>79187.23</v>
      </c>
      <c r="S74" s="2">
        <v>75784.44</v>
      </c>
      <c r="T74" s="2">
        <v>76932.710000000006</v>
      </c>
      <c r="U74" s="2">
        <v>82273.75</v>
      </c>
      <c r="V74" s="2">
        <v>85221.23</v>
      </c>
      <c r="W74" s="2">
        <v>102444.3</v>
      </c>
      <c r="X74" s="2">
        <v>121470.95</v>
      </c>
      <c r="Y74" s="2">
        <v>73618.61</v>
      </c>
      <c r="Z74" s="2">
        <v>76926.75</v>
      </c>
      <c r="AA74" s="2">
        <v>66880.58</v>
      </c>
      <c r="AB74" s="2">
        <v>60850.44</v>
      </c>
      <c r="AC74" s="2">
        <v>77376.399999999994</v>
      </c>
      <c r="AD74" s="2">
        <v>101645.47</v>
      </c>
      <c r="AE74" s="2">
        <v>111470.09</v>
      </c>
      <c r="AF74" s="42">
        <v>138244.60999999999</v>
      </c>
      <c r="AG74" s="42">
        <v>111828.02</v>
      </c>
      <c r="AH74" s="42">
        <v>79187.23</v>
      </c>
      <c r="AI74" s="24">
        <f>SUM(E74:AH74)</f>
        <v>2678131.4699999997</v>
      </c>
      <c r="AJ74" s="26">
        <v>1563285.359983772</v>
      </c>
      <c r="AK74" s="33">
        <f>$AJ74/$AI74*E74</f>
        <v>44237.076071014759</v>
      </c>
      <c r="AL74" s="33">
        <f>$AJ74/$AI74*F74</f>
        <v>44907.347004468436</v>
      </c>
      <c r="AM74" s="33">
        <f>$AJ74/$AI74*G74</f>
        <v>48025.031753189047</v>
      </c>
      <c r="AN74" s="33">
        <f>$AJ74/$AI74*H74</f>
        <v>49745.54188663853</v>
      </c>
      <c r="AO74" s="33">
        <f>$AJ74/$AI74*I74</f>
        <v>59799.033840480406</v>
      </c>
      <c r="AP74" s="33">
        <f>$AJ74/$AI74*J74</f>
        <v>70905.315861256342</v>
      </c>
      <c r="AQ74" s="33">
        <f>$AJ74/$AI74*K74</f>
        <v>42972.832560514631</v>
      </c>
      <c r="AR74" s="33">
        <f>$AJ74/$AI74*L74</f>
        <v>44903.86801889589</v>
      </c>
      <c r="AS74" s="33">
        <f>$AJ74/$AI74*M74</f>
        <v>39039.693440151939</v>
      </c>
      <c r="AT74" s="33">
        <f>$AJ74/$AI74*N74</f>
        <v>35519.765577666331</v>
      </c>
      <c r="AU74" s="33">
        <f>$AJ74/$AI74*O74</f>
        <v>49214.961563481047</v>
      </c>
      <c r="AV74" s="33">
        <f>$AJ74/$AI74*P74</f>
        <v>80696.477126145779</v>
      </c>
      <c r="AW74" s="33">
        <f>$AJ74/$AI74*Q74</f>
        <v>65276.521507725854</v>
      </c>
      <c r="AX74" s="33">
        <f>$AJ74/$AI74*R74</f>
        <v>46223.360855644532</v>
      </c>
      <c r="AY74" s="33">
        <f>$AJ74/$AI74*S74</f>
        <v>44237.076071014759</v>
      </c>
      <c r="AZ74" s="33">
        <f>$AJ74/$AI74*T74</f>
        <v>44907.347004468436</v>
      </c>
      <c r="BA74" s="33">
        <f>$AJ74/$AI74*U74</f>
        <v>48025.031753189047</v>
      </c>
      <c r="BB74" s="33">
        <f>$AJ74/$AI74*V74</f>
        <v>49745.54188663853</v>
      </c>
      <c r="BC74" s="33">
        <f>$AJ74/$AI74*W74</f>
        <v>59799.033840480406</v>
      </c>
      <c r="BD74" s="33">
        <f>$AJ74/$AI74*X74</f>
        <v>70905.315861256342</v>
      </c>
      <c r="BE74" s="33">
        <f>$AJ74/$AI74*Y74</f>
        <v>42972.832560514631</v>
      </c>
      <c r="BF74" s="33">
        <f>$AJ74/$AI74*Z74</f>
        <v>44903.86801889589</v>
      </c>
      <c r="BG74" s="33">
        <f>$AJ74/$AI74*AA74</f>
        <v>39039.693440151939</v>
      </c>
      <c r="BH74" s="33">
        <f>$AJ74/$AI74*AB74</f>
        <v>35519.765577666331</v>
      </c>
      <c r="BI74" s="33">
        <f>$AJ74/$AI74*AC74</f>
        <v>45166.338801227088</v>
      </c>
      <c r="BJ74" s="33">
        <f>$AJ74/$AI74*AD74</f>
        <v>59332.738866501466</v>
      </c>
      <c r="BK74" s="33">
        <f>$AJ74/$AI74*AE74</f>
        <v>65067.589744977478</v>
      </c>
      <c r="BL74" s="33">
        <f>$AJ74/$AI74*AF74</f>
        <v>80696.477126145779</v>
      </c>
      <c r="BM74" s="33">
        <f>$AJ74/$AI74*AG74</f>
        <v>65276.521507725854</v>
      </c>
      <c r="BN74" s="33">
        <f>$AJ74/$AI74*AH74</f>
        <v>46223.360855644532</v>
      </c>
    </row>
    <row r="75" spans="1:66" x14ac:dyDescent="0.25">
      <c r="A75" s="1" t="s">
        <v>7</v>
      </c>
      <c r="B75" s="4">
        <v>1</v>
      </c>
      <c r="C75" s="4" t="s">
        <v>3</v>
      </c>
      <c r="D75" s="4" t="str">
        <f>A75&amp;C75</f>
        <v>KIAMBUBUTCHERY</v>
      </c>
      <c r="E75" s="2">
        <v>300246.14</v>
      </c>
      <c r="F75" s="2">
        <v>210563.6</v>
      </c>
      <c r="G75" s="2">
        <v>291976.38</v>
      </c>
      <c r="H75" s="2">
        <v>334194.78000000003</v>
      </c>
      <c r="I75" s="2">
        <v>391332.22</v>
      </c>
      <c r="J75" s="2">
        <v>287339.51</v>
      </c>
      <c r="K75" s="2">
        <v>264948.59000000003</v>
      </c>
      <c r="L75" s="2">
        <v>286457.53999999998</v>
      </c>
      <c r="M75" s="2">
        <v>207275.56</v>
      </c>
      <c r="N75" s="2">
        <v>249982.61</v>
      </c>
      <c r="O75" s="2">
        <v>314232.13</v>
      </c>
      <c r="P75" s="2">
        <v>303425.71999999997</v>
      </c>
      <c r="Q75" s="2">
        <v>347413.1</v>
      </c>
      <c r="R75" s="2">
        <v>259655.61</v>
      </c>
      <c r="S75" s="2">
        <v>262475.2</v>
      </c>
      <c r="T75" s="2">
        <v>252112.16</v>
      </c>
      <c r="U75" s="2">
        <v>240776.77</v>
      </c>
      <c r="V75" s="2">
        <v>338071.89</v>
      </c>
      <c r="W75" s="2">
        <v>349133.26</v>
      </c>
      <c r="X75" s="2">
        <v>296182.14</v>
      </c>
      <c r="Y75" s="2">
        <v>258008.95</v>
      </c>
      <c r="Z75" s="2">
        <v>252031.87</v>
      </c>
      <c r="AA75" s="2">
        <v>239723.5</v>
      </c>
      <c r="AB75" s="2">
        <v>202979.66</v>
      </c>
      <c r="AC75" s="2">
        <v>260574.88</v>
      </c>
      <c r="AD75" s="2">
        <v>378441.86</v>
      </c>
      <c r="AE75" s="2">
        <v>335515.3</v>
      </c>
      <c r="AF75" s="2">
        <v>328364.90999999997</v>
      </c>
      <c r="AG75" s="2">
        <v>289395.17</v>
      </c>
      <c r="AH75" s="2">
        <v>238981.09</v>
      </c>
      <c r="AI75" s="24">
        <f>SUM(E75:AH75)</f>
        <v>8571812.0999999996</v>
      </c>
      <c r="AJ75" s="26">
        <v>7312577.2850437453</v>
      </c>
      <c r="AK75" s="33">
        <f>$AJ75/$AI75*E75</f>
        <v>256138.73445570096</v>
      </c>
      <c r="AL75" s="33">
        <f>$AJ75/$AI75*F75</f>
        <v>179630.93222925841</v>
      </c>
      <c r="AM75" s="33">
        <f>$AJ75/$AI75*G75</f>
        <v>249083.83656208482</v>
      </c>
      <c r="AN75" s="33">
        <f>$AJ75/$AI75*H75</f>
        <v>285100.17817681655</v>
      </c>
      <c r="AO75" s="33">
        <f>$AJ75/$AI75*I75</f>
        <v>333843.89082417492</v>
      </c>
      <c r="AP75" s="33">
        <f>$AJ75/$AI75*J75</f>
        <v>245128.14203213816</v>
      </c>
      <c r="AQ75" s="33">
        <f>$AJ75/$AI75*K75</f>
        <v>226026.5412185562</v>
      </c>
      <c r="AR75" s="33">
        <f>$AJ75/$AI75*L75</f>
        <v>244375.73708988677</v>
      </c>
      <c r="AS75" s="33">
        <f>$AJ75/$AI75*M75</f>
        <v>176825.91896767335</v>
      </c>
      <c r="AT75" s="33">
        <f>$AJ75/$AI75*N75</f>
        <v>213259.12586697386</v>
      </c>
      <c r="AU75" s="33">
        <f>$AJ75/$AI75*O75</f>
        <v>268070.12441032316</v>
      </c>
      <c r="AV75" s="33">
        <f>$AJ75/$AI75*P75</f>
        <v>258851.22094195738</v>
      </c>
      <c r="AW75" s="33">
        <f>$AJ75/$AI75*Q75</f>
        <v>296376.67204424972</v>
      </c>
      <c r="AX75" s="33">
        <f>$AJ75/$AI75*R75</f>
        <v>221511.12197386799</v>
      </c>
      <c r="AY75" s="33">
        <f>$AJ75/$AI75*S75</f>
        <v>223916.50248694955</v>
      </c>
      <c r="AZ75" s="33">
        <f>$AJ75/$AI75*T75</f>
        <v>215075.83612329935</v>
      </c>
      <c r="BA75" s="33">
        <f>$AJ75/$AI75*U75</f>
        <v>205405.66201494343</v>
      </c>
      <c r="BB75" s="33">
        <f>$AJ75/$AI75*V75</f>
        <v>288407.72460770671</v>
      </c>
      <c r="BC75" s="33">
        <f>$AJ75/$AI75*W75</f>
        <v>297844.13339266647</v>
      </c>
      <c r="BD75" s="33">
        <f>$AJ75/$AI75*X75</f>
        <v>252671.75294237339</v>
      </c>
      <c r="BE75" s="33">
        <f>$AJ75/$AI75*Y75</f>
        <v>220106.3631700452</v>
      </c>
      <c r="BF75" s="33">
        <f>$AJ75/$AI75*Z75</f>
        <v>215007.34105791917</v>
      </c>
      <c r="BG75" s="33">
        <f>$AJ75/$AI75*AA75</f>
        <v>204507.12175447529</v>
      </c>
      <c r="BH75" s="33">
        <f>$AJ75/$AI75*AB75</f>
        <v>173161.1045279332</v>
      </c>
      <c r="BI75" s="33">
        <f>$AJ75/$AI75*AC75</f>
        <v>222295.34739113098</v>
      </c>
      <c r="BJ75" s="33">
        <f>$AJ75/$AI75*AD75</f>
        <v>322847.17827000725</v>
      </c>
      <c r="BK75" s="33">
        <f>$AJ75/$AI75*AE75</f>
        <v>286226.70830181142</v>
      </c>
      <c r="BL75" s="33">
        <f>$AJ75/$AI75*AF75</f>
        <v>280126.74030400568</v>
      </c>
      <c r="BM75" s="33">
        <f>$AJ75/$AI75*AG75</f>
        <v>246881.81703649025</v>
      </c>
      <c r="BN75" s="33">
        <f>$AJ75/$AI75*AH75</f>
        <v>203873.77486832626</v>
      </c>
    </row>
    <row r="76" spans="1:66" x14ac:dyDescent="0.25">
      <c r="A76" s="1" t="s">
        <v>1</v>
      </c>
      <c r="B76" s="4">
        <v>2</v>
      </c>
      <c r="C76" s="4" t="s">
        <v>3</v>
      </c>
      <c r="D76" s="4" t="str">
        <f>A76&amp;C76</f>
        <v>RUAKABUTCHERY</v>
      </c>
      <c r="E76" s="2">
        <v>126958.21</v>
      </c>
      <c r="F76" s="2">
        <v>130539.91</v>
      </c>
      <c r="G76" s="2">
        <v>105323.86</v>
      </c>
      <c r="H76" s="2">
        <v>148918.19</v>
      </c>
      <c r="I76" s="2">
        <v>186350.19</v>
      </c>
      <c r="J76" s="2">
        <v>187223.45</v>
      </c>
      <c r="K76" s="2">
        <v>125727.15</v>
      </c>
      <c r="L76" s="2">
        <v>117316.85</v>
      </c>
      <c r="M76" s="2">
        <v>128510.59</v>
      </c>
      <c r="N76" s="2">
        <v>112669</v>
      </c>
      <c r="O76" s="2">
        <v>163284.34</v>
      </c>
      <c r="P76" s="2">
        <v>148028.85</v>
      </c>
      <c r="Q76" s="2">
        <v>198938.34</v>
      </c>
      <c r="R76" s="2">
        <v>132338.26999999999</v>
      </c>
      <c r="S76" s="2">
        <v>130775.53</v>
      </c>
      <c r="T76" s="2">
        <v>112774.53</v>
      </c>
      <c r="U76" s="2">
        <v>119427.88</v>
      </c>
      <c r="V76" s="2">
        <v>151781.79</v>
      </c>
      <c r="W76" s="2">
        <v>136755.56</v>
      </c>
      <c r="X76" s="2">
        <v>181652.43</v>
      </c>
      <c r="Y76" s="2">
        <v>126643.73</v>
      </c>
      <c r="Z76" s="2">
        <v>146517.81</v>
      </c>
      <c r="AA76" s="2">
        <v>96092.95</v>
      </c>
      <c r="AB76" s="2">
        <v>96805.49</v>
      </c>
      <c r="AC76" s="2">
        <v>153120.34</v>
      </c>
      <c r="AD76" s="2">
        <v>188216.1</v>
      </c>
      <c r="AE76" s="2">
        <v>163763.23000000001</v>
      </c>
      <c r="AF76" s="2">
        <v>186091.29</v>
      </c>
      <c r="AG76" s="2">
        <v>187058.97</v>
      </c>
      <c r="AH76" s="2">
        <v>116043.3</v>
      </c>
      <c r="AI76" s="24">
        <f>SUM(E76:AH76)</f>
        <v>4305648.1300000008</v>
      </c>
      <c r="AJ76" s="26">
        <v>4514287.3753054244</v>
      </c>
      <c r="AK76" s="33">
        <f>$AJ76/$AI76*E76</f>
        <v>133110.23736497827</v>
      </c>
      <c r="AL76" s="33">
        <f>$AJ76/$AI76*F76</f>
        <v>136865.49617943494</v>
      </c>
      <c r="AM76" s="33">
        <f>$AJ76/$AI76*G76</f>
        <v>110427.54938649292</v>
      </c>
      <c r="AN76" s="33">
        <f>$AJ76/$AI76*H76</f>
        <v>156134.33443069912</v>
      </c>
      <c r="AO76" s="33">
        <f>$AJ76/$AI76*I76</f>
        <v>195380.18080050749</v>
      </c>
      <c r="AP76" s="33">
        <f>$AJ76/$AI76*J76</f>
        <v>196295.75645238018</v>
      </c>
      <c r="AQ76" s="33">
        <f>$AJ76/$AI76*K76</f>
        <v>131819.52376078887</v>
      </c>
      <c r="AR76" s="33">
        <f>$AJ76/$AI76*L76</f>
        <v>123001.68496713643</v>
      </c>
      <c r="AS76" s="33">
        <f>$AJ76/$AI76*M76</f>
        <v>134737.84120627883</v>
      </c>
      <c r="AT76" s="33">
        <f>$AJ76/$AI76*N76</f>
        <v>118128.61360974399</v>
      </c>
      <c r="AU76" s="33">
        <f>$AJ76/$AI76*O76</f>
        <v>171196.62647562384</v>
      </c>
      <c r="AV76" s="33">
        <f>$AJ76/$AI76*P76</f>
        <v>155201.8995885714</v>
      </c>
      <c r="AW76" s="33">
        <f>$AJ76/$AI76*Q76</f>
        <v>208578.31611200841</v>
      </c>
      <c r="AX76" s="33">
        <f>$AJ76/$AI76*R76</f>
        <v>138750.99949952491</v>
      </c>
      <c r="AY76" s="33">
        <f>$AJ76/$AI76*S76</f>
        <v>137112.53364261228</v>
      </c>
      <c r="AZ76" s="33">
        <f>$AJ76/$AI76*T76</f>
        <v>118239.25728807818</v>
      </c>
      <c r="BA76" s="33">
        <f>$AJ76/$AI76*U76</f>
        <v>125215.0093703758</v>
      </c>
      <c r="BB76" s="33">
        <f>$AJ76/$AI76*V76</f>
        <v>159136.69619775895</v>
      </c>
      <c r="BC76" s="33">
        <f>$AJ76/$AI76*W76</f>
        <v>143382.3385866934</v>
      </c>
      <c r="BD76" s="33">
        <f>$AJ76/$AI76*X76</f>
        <v>190454.78094898388</v>
      </c>
      <c r="BE76" s="33">
        <f>$AJ76/$AI76*Y76</f>
        <v>132780.51857446806</v>
      </c>
      <c r="BF76" s="33">
        <f>$AJ76/$AI76*Z76</f>
        <v>153617.63896400857</v>
      </c>
      <c r="BG76" s="33">
        <f>$AJ76/$AI76*AA76</f>
        <v>100749.33620756773</v>
      </c>
      <c r="BH76" s="33">
        <f>$AJ76/$AI76*AB76</f>
        <v>101496.40383345851</v>
      </c>
      <c r="BI76" s="33">
        <f>$AJ76/$AI76*AC76</f>
        <v>160540.10845620913</v>
      </c>
      <c r="BJ76" s="33">
        <f>$AJ76/$AI76*AD76</f>
        <v>197336.50739806809</v>
      </c>
      <c r="BK76" s="33">
        <f>$AJ76/$AI76*AE76</f>
        <v>171698.72209883496</v>
      </c>
      <c r="BL76" s="33">
        <f>$AJ76/$AI76*AF76</f>
        <v>195108.73525591614</v>
      </c>
      <c r="BM76" s="33">
        <f>$AJ76/$AI76*AG76</f>
        <v>196123.3062276819</v>
      </c>
      <c r="BN76" s="33">
        <f>$AJ76/$AI76*AH76</f>
        <v>121666.42242053807</v>
      </c>
    </row>
    <row r="77" spans="1:66" x14ac:dyDescent="0.25">
      <c r="A77" s="1" t="s">
        <v>6</v>
      </c>
      <c r="B77" s="4">
        <v>3</v>
      </c>
      <c r="C77" s="4" t="s">
        <v>3</v>
      </c>
      <c r="D77" s="4" t="str">
        <f>A77&amp;C77</f>
        <v>RUAIBUTCHERY</v>
      </c>
      <c r="E77" s="2">
        <v>61112.33</v>
      </c>
      <c r="F77" s="2">
        <v>95209.91</v>
      </c>
      <c r="G77" s="2">
        <v>70076.67</v>
      </c>
      <c r="H77" s="2">
        <v>85528.639999999999</v>
      </c>
      <c r="I77" s="2">
        <v>63475.15</v>
      </c>
      <c r="J77" s="2">
        <v>88059.3</v>
      </c>
      <c r="K77" s="2">
        <v>43098.27</v>
      </c>
      <c r="L77" s="2">
        <v>51416.37</v>
      </c>
      <c r="M77" s="2">
        <v>85389.18</v>
      </c>
      <c r="N77" s="2">
        <v>68449.240000000005</v>
      </c>
      <c r="O77" s="2">
        <v>59547.18</v>
      </c>
      <c r="P77" s="2">
        <v>90552.04</v>
      </c>
      <c r="Q77" s="2">
        <v>70539.820000000007</v>
      </c>
      <c r="R77" s="2">
        <v>53114.93</v>
      </c>
      <c r="S77" s="2">
        <v>51942.21</v>
      </c>
      <c r="T77" s="2">
        <v>62059.39</v>
      </c>
      <c r="U77" s="2">
        <v>52236.75</v>
      </c>
      <c r="V77" s="2">
        <v>69811.259999999995</v>
      </c>
      <c r="W77" s="2">
        <v>62912.77</v>
      </c>
      <c r="X77" s="2">
        <v>69766.820000000007</v>
      </c>
      <c r="Y77" s="2">
        <v>48465.57</v>
      </c>
      <c r="Z77" s="2">
        <v>56506.35</v>
      </c>
      <c r="AA77" s="2">
        <v>48676.81</v>
      </c>
      <c r="AB77" s="2">
        <v>58992.36</v>
      </c>
      <c r="AC77" s="2">
        <v>54809.7</v>
      </c>
      <c r="AD77" s="2">
        <v>57877.73</v>
      </c>
      <c r="AE77" s="2">
        <v>80530.149999999994</v>
      </c>
      <c r="AF77" s="2">
        <v>129292.46</v>
      </c>
      <c r="AG77" s="2">
        <v>68969.56</v>
      </c>
      <c r="AH77" s="2">
        <v>107064.75</v>
      </c>
      <c r="AI77" s="24">
        <f>SUM(E77:AH77)</f>
        <v>2065483.6700000004</v>
      </c>
      <c r="AJ77" s="26">
        <v>1369456.0393886841</v>
      </c>
      <c r="AK77" s="33">
        <f>$AJ77/$AI77*E77</f>
        <v>40518.669121026869</v>
      </c>
      <c r="AL77" s="33">
        <f>$AJ77/$AI77*F77</f>
        <v>63126.031037153181</v>
      </c>
      <c r="AM77" s="33">
        <f>$AJ77/$AI77*G77</f>
        <v>46462.201732995447</v>
      </c>
      <c r="AN77" s="33">
        <f>$AJ77/$AI77*H77</f>
        <v>56707.159824071889</v>
      </c>
      <c r="AO77" s="33">
        <f>$AJ77/$AI77*I77</f>
        <v>42085.26495811154</v>
      </c>
      <c r="AP77" s="33">
        <f>$AJ77/$AI77*J77</f>
        <v>58385.036861288732</v>
      </c>
      <c r="AQ77" s="33">
        <f>$AJ77/$AI77*K77</f>
        <v>28574.995288490529</v>
      </c>
      <c r="AR77" s="33">
        <f>$AJ77/$AI77*L77</f>
        <v>34090.058150855846</v>
      </c>
      <c r="AS77" s="33">
        <f>$AJ77/$AI77*M77</f>
        <v>56614.695118575983</v>
      </c>
      <c r="AT77" s="33">
        <f>$AJ77/$AI77*N77</f>
        <v>45383.183837791119</v>
      </c>
      <c r="AU77" s="33">
        <f>$AJ77/$AI77*O77</f>
        <v>39480.944082973576</v>
      </c>
      <c r="AV77" s="33">
        <f>$AJ77/$AI77*P77</f>
        <v>60037.77219742709</v>
      </c>
      <c r="AW77" s="33">
        <f>$AJ77/$AI77*Q77</f>
        <v>46769.279234432623</v>
      </c>
      <c r="AX77" s="33">
        <f>$AJ77/$AI77*R77</f>
        <v>35216.236626168626</v>
      </c>
      <c r="AY77" s="33">
        <f>$AJ77/$AI77*S77</f>
        <v>34438.700347456775</v>
      </c>
      <c r="AZ77" s="33">
        <f>$AJ77/$AI77*T77</f>
        <v>41146.588409618213</v>
      </c>
      <c r="BA77" s="33">
        <f>$AJ77/$AI77*U77</f>
        <v>34633.986123713497</v>
      </c>
      <c r="BB77" s="33">
        <f>$AJ77/$AI77*V77</f>
        <v>46286.229716032394</v>
      </c>
      <c r="BC77" s="33">
        <f>$AJ77/$AI77*W77</f>
        <v>41712.396027401759</v>
      </c>
      <c r="BD77" s="33">
        <f>$AJ77/$AI77*X77</f>
        <v>46256.765127532199</v>
      </c>
      <c r="BE77" s="33">
        <f>$AJ77/$AI77*Y77</f>
        <v>32133.620082755249</v>
      </c>
      <c r="BF77" s="33">
        <f>$AJ77/$AI77*Z77</f>
        <v>37464.814365397891</v>
      </c>
      <c r="BG77" s="33">
        <f>$AJ77/$AI77*AA77</f>
        <v>32273.676331062681</v>
      </c>
      <c r="BH77" s="33">
        <f>$AJ77/$AI77*AB77</f>
        <v>39113.087580010455</v>
      </c>
      <c r="BI77" s="33">
        <f>$AJ77/$AI77*AC77</f>
        <v>36339.902257412643</v>
      </c>
      <c r="BJ77" s="33">
        <f>$AJ77/$AI77*AD77</f>
        <v>38374.066106563609</v>
      </c>
      <c r="BK77" s="33">
        <f>$AJ77/$AI77*AE77</f>
        <v>53393.063267538018</v>
      </c>
      <c r="BL77" s="33">
        <f>$AJ77/$AI77*AF77</f>
        <v>85723.427769545058</v>
      </c>
      <c r="BM77" s="33">
        <f>$AJ77/$AI77*AG77</f>
        <v>45728.166166513525</v>
      </c>
      <c r="BN77" s="33">
        <f>$AJ77/$AI77*AH77</f>
        <v>70986.021638766862</v>
      </c>
    </row>
    <row r="78" spans="1:66" x14ac:dyDescent="0.25">
      <c r="A78" s="1" t="s">
        <v>9</v>
      </c>
      <c r="B78" s="4">
        <v>4</v>
      </c>
      <c r="C78" s="4" t="s">
        <v>3</v>
      </c>
      <c r="D78" s="4" t="str">
        <f>A78&amp;C78</f>
        <v>EBP 1BUTCHERY</v>
      </c>
      <c r="E78" s="2">
        <v>41616.080000000002</v>
      </c>
      <c r="F78" s="2">
        <v>46029.07</v>
      </c>
      <c r="G78" s="2">
        <v>46499.77</v>
      </c>
      <c r="H78" s="2">
        <v>48283</v>
      </c>
      <c r="I78" s="2">
        <v>73459.289999999994</v>
      </c>
      <c r="J78" s="2">
        <v>92370.71</v>
      </c>
      <c r="K78" s="2">
        <v>44828.55</v>
      </c>
      <c r="L78" s="2">
        <v>46571.3</v>
      </c>
      <c r="M78" s="2">
        <v>43231.9</v>
      </c>
      <c r="N78" s="2">
        <v>59870.77</v>
      </c>
      <c r="O78" s="2">
        <v>53049.84</v>
      </c>
      <c r="P78" s="2">
        <v>69215.509999999995</v>
      </c>
      <c r="Q78" s="2">
        <v>69074.509999999995</v>
      </c>
      <c r="R78" s="2">
        <v>54052.24</v>
      </c>
      <c r="S78" s="2">
        <v>42571.71</v>
      </c>
      <c r="T78" s="2">
        <v>36544.79</v>
      </c>
      <c r="U78" s="2">
        <v>40973.18</v>
      </c>
      <c r="V78" s="2">
        <v>55950.1</v>
      </c>
      <c r="W78" s="2">
        <v>40498.410000000003</v>
      </c>
      <c r="X78" s="2">
        <v>81370.28</v>
      </c>
      <c r="Y78" s="2">
        <v>42046.68</v>
      </c>
      <c r="Z78" s="2">
        <v>39718.269999999997</v>
      </c>
      <c r="AA78" s="2">
        <v>46991.97</v>
      </c>
      <c r="AB78" s="2">
        <v>41388.22</v>
      </c>
      <c r="AC78" s="2">
        <v>69269.279999999999</v>
      </c>
      <c r="AD78" s="2">
        <v>64191.3</v>
      </c>
      <c r="AE78" s="2">
        <v>80940.52</v>
      </c>
      <c r="AF78" s="2">
        <v>56849.1</v>
      </c>
      <c r="AG78" s="2">
        <v>69755.100000000006</v>
      </c>
      <c r="AH78" s="2">
        <v>54754.12</v>
      </c>
      <c r="AI78" s="24">
        <f>SUM(E78:AH78)</f>
        <v>1651965.5700000003</v>
      </c>
      <c r="AJ78" s="26">
        <v>1817527.9823509541</v>
      </c>
      <c r="AK78" s="33">
        <f>$AJ78/$AI78*E78</f>
        <v>45786.904575593471</v>
      </c>
      <c r="AL78" s="33">
        <f>$AJ78/$AI78*F78</f>
        <v>50642.170905892919</v>
      </c>
      <c r="AM78" s="33">
        <f>$AJ78/$AI78*G78</f>
        <v>51160.04515026509</v>
      </c>
      <c r="AN78" s="33">
        <f>$AJ78/$AI78*H78</f>
        <v>53121.993076315208</v>
      </c>
      <c r="AO78" s="33">
        <f>$AJ78/$AI78*I78</f>
        <v>80821.487785991558</v>
      </c>
      <c r="AP78" s="33">
        <f>$AJ78/$AI78*J78</f>
        <v>101628.23803562993</v>
      </c>
      <c r="AQ78" s="33">
        <f>$AJ78/$AI78*K78</f>
        <v>49321.333030699214</v>
      </c>
      <c r="AR78" s="33">
        <f>$AJ78/$AI78*L78</f>
        <v>51238.743991777614</v>
      </c>
      <c r="AS78" s="33">
        <f>$AJ78/$AI78*M78</f>
        <v>47564.664425904593</v>
      </c>
      <c r="AT78" s="33">
        <f>$AJ78/$AI78*N78</f>
        <v>65871.106381410849</v>
      </c>
      <c r="AU78" s="33">
        <f>$AJ78/$AI78*O78</f>
        <v>58366.572772603795</v>
      </c>
      <c r="AV78" s="33">
        <f>$AJ78/$AI78*P78</f>
        <v>76152.389930071149</v>
      </c>
      <c r="AW78" s="33">
        <f>$AJ78/$AI78*Q78</f>
        <v>75997.258703267507</v>
      </c>
      <c r="AX78" s="33">
        <f>$AJ78/$AI78*R78</f>
        <v>59469.434770816384</v>
      </c>
      <c r="AY78" s="33">
        <f>$AJ78/$AI78*S78</f>
        <v>46838.309215808848</v>
      </c>
      <c r="AZ78" s="33">
        <f>$AJ78/$AI78*T78</f>
        <v>40207.362453770336</v>
      </c>
      <c r="BA78" s="33">
        <f>$AJ78/$AI78*U78</f>
        <v>45079.572194656852</v>
      </c>
      <c r="BB78" s="33">
        <f>$AJ78/$AI78*V78</f>
        <v>61557.501083593466</v>
      </c>
      <c r="BC78" s="33">
        <f>$AJ78/$AI78*W78</f>
        <v>44557.220048915238</v>
      </c>
      <c r="BD78" s="33">
        <f>$AJ78/$AI78*X78</f>
        <v>89525.328806781472</v>
      </c>
      <c r="BE78" s="33">
        <f>$AJ78/$AI78*Y78</f>
        <v>46260.659939151272</v>
      </c>
      <c r="BF78" s="33">
        <f>$AJ78/$AI78*Z78</f>
        <v>43698.893273889727</v>
      </c>
      <c r="BG78" s="33">
        <f>$AJ78/$AI78*AA78</f>
        <v>51701.574156171155</v>
      </c>
      <c r="BH78" s="33">
        <f>$AJ78/$AI78*AB78</f>
        <v>45536.208112192915</v>
      </c>
      <c r="BI78" s="33">
        <f>$AJ78/$AI78*AC78</f>
        <v>76211.54883833522</v>
      </c>
      <c r="BJ78" s="33">
        <f>$AJ78/$AI78*AD78</f>
        <v>70624.646234899905</v>
      </c>
      <c r="BK78" s="33">
        <f>$AJ78/$AI78*AE78</f>
        <v>89052.497629255697</v>
      </c>
      <c r="BL78" s="33">
        <f>$AJ78/$AI78*AF78</f>
        <v>62546.600182150047</v>
      </c>
      <c r="BM78" s="33">
        <f>$AJ78/$AI78*AG78</f>
        <v>76746.058431283789</v>
      </c>
      <c r="BN78" s="33">
        <f>$AJ78/$AI78*AH78</f>
        <v>60241.658213858544</v>
      </c>
    </row>
    <row r="79" spans="1:66" x14ac:dyDescent="0.25">
      <c r="A79" s="1" t="s">
        <v>65</v>
      </c>
      <c r="B79" s="4">
        <v>5</v>
      </c>
      <c r="C79" s="4" t="s">
        <v>3</v>
      </c>
      <c r="D79" s="4" t="str">
        <f>A79&amp;C79</f>
        <v>KahawaBUTCHERY</v>
      </c>
      <c r="E79" s="2">
        <v>31846.560000000001</v>
      </c>
      <c r="F79" s="2">
        <v>25148.66</v>
      </c>
      <c r="G79" s="2">
        <v>29349.71</v>
      </c>
      <c r="H79" s="2">
        <v>33686.35</v>
      </c>
      <c r="I79" s="2">
        <v>34156.879999999997</v>
      </c>
      <c r="J79" s="2">
        <v>44137.87</v>
      </c>
      <c r="K79" s="2">
        <v>27967.14</v>
      </c>
      <c r="L79" s="2">
        <v>19817.439999999999</v>
      </c>
      <c r="M79" s="2">
        <v>24509.35</v>
      </c>
      <c r="N79" s="2">
        <v>26162.02</v>
      </c>
      <c r="O79" s="2">
        <v>34995.4</v>
      </c>
      <c r="P79" s="2">
        <v>39429.72</v>
      </c>
      <c r="Q79" s="2">
        <v>27290.2</v>
      </c>
      <c r="R79" s="2">
        <v>16967.8</v>
      </c>
      <c r="S79" s="2">
        <v>21026.14</v>
      </c>
      <c r="T79" s="2">
        <v>24338.17</v>
      </c>
      <c r="U79" s="2">
        <v>25627.03</v>
      </c>
      <c r="V79" s="2">
        <v>30344.65</v>
      </c>
      <c r="W79" s="2">
        <v>32836.199999999997</v>
      </c>
      <c r="X79" s="2">
        <v>32936.99</v>
      </c>
      <c r="Y79" s="2">
        <v>19568.11</v>
      </c>
      <c r="Z79" s="2">
        <v>31539.14</v>
      </c>
      <c r="AA79" s="2">
        <v>23218.02</v>
      </c>
      <c r="AB79" s="2">
        <v>26641.17</v>
      </c>
      <c r="AC79" s="2">
        <v>31913.15</v>
      </c>
      <c r="AD79" s="2">
        <v>31197.599999999999</v>
      </c>
      <c r="AE79" s="2">
        <v>30082.39</v>
      </c>
      <c r="AF79" s="2">
        <v>29045.919999999998</v>
      </c>
      <c r="AG79" s="2">
        <v>37144.74</v>
      </c>
      <c r="AH79" s="2">
        <v>25446.47</v>
      </c>
      <c r="AI79" s="24">
        <f>SUM(E79:AH79)</f>
        <v>868370.99</v>
      </c>
      <c r="AJ79" s="26">
        <v>843072.41509825946</v>
      </c>
      <c r="AK79" s="33">
        <f>$AJ79/$AI79*E79</f>
        <v>30918.762327345397</v>
      </c>
      <c r="AL79" s="33">
        <f>$AJ79/$AI79*F79</f>
        <v>24415.994738245452</v>
      </c>
      <c r="AM79" s="33">
        <f>$AJ79/$AI79*G79</f>
        <v>28494.653986694717</v>
      </c>
      <c r="AN79" s="33">
        <f>$AJ79/$AI79*H79</f>
        <v>32704.953041263219</v>
      </c>
      <c r="AO79" s="33">
        <f>$AJ79/$AI79*I79</f>
        <v>33161.774915835726</v>
      </c>
      <c r="AP79" s="33">
        <f>$AJ79/$AI79*J79</f>
        <v>42851.985023351619</v>
      </c>
      <c r="AQ79" s="33">
        <f>$AJ79/$AI79*K79</f>
        <v>27152.3629125279</v>
      </c>
      <c r="AR79" s="33">
        <f>$AJ79/$AI79*L79</f>
        <v>19240.091152590037</v>
      </c>
      <c r="AS79" s="33">
        <f>$AJ79/$AI79*M79</f>
        <v>23795.309994163352</v>
      </c>
      <c r="AT79" s="33">
        <f>$AJ79/$AI79*N79</f>
        <v>25399.832144610184</v>
      </c>
      <c r="AU79" s="33">
        <f>$AJ79/$AI79*O79</f>
        <v>33975.866000923903</v>
      </c>
      <c r="AV79" s="33">
        <f>$AJ79/$AI79*P79</f>
        <v>38280.999307736136</v>
      </c>
      <c r="AW79" s="33">
        <f>$AJ79/$AI79*Q79</f>
        <v>26495.144457226193</v>
      </c>
      <c r="AX79" s="33">
        <f>$AJ79/$AI79*R79</f>
        <v>16473.470774172507</v>
      </c>
      <c r="AY79" s="33">
        <f>$AJ79/$AI79*S79</f>
        <v>20413.577646109661</v>
      </c>
      <c r="AZ79" s="33">
        <f>$AJ79/$AI79*T79</f>
        <v>23629.117044746054</v>
      </c>
      <c r="BA79" s="33">
        <f>$AJ79/$AI79*U79</f>
        <v>24880.42820718314</v>
      </c>
      <c r="BB79" s="33">
        <f>$AJ79/$AI79*V79</f>
        <v>29460.608029767787</v>
      </c>
      <c r="BC79" s="33">
        <f>$AJ79/$AI79*W79</f>
        <v>31879.57077728894</v>
      </c>
      <c r="BD79" s="33">
        <f>$AJ79/$AI79*X79</f>
        <v>31977.424424746408</v>
      </c>
      <c r="BE79" s="33">
        <f>$AJ79/$AI79*Y79</f>
        <v>18998.024976177985</v>
      </c>
      <c r="BF79" s="33">
        <f>$AJ79/$AI79*Z79</f>
        <v>30620.29850850052</v>
      </c>
      <c r="BG79" s="33">
        <f>$AJ79/$AI79*AA79</f>
        <v>22541.600791154586</v>
      </c>
      <c r="BH79" s="33">
        <f>$AJ79/$AI79*AB79</f>
        <v>25865.022889517873</v>
      </c>
      <c r="BI79" s="33">
        <f>$AJ79/$AI79*AC79</f>
        <v>30983.412336118025</v>
      </c>
      <c r="BJ79" s="33">
        <f>$AJ79/$AI79*AD79</f>
        <v>30288.708720301052</v>
      </c>
      <c r="BK79" s="33">
        <f>$AJ79/$AI79*AE79</f>
        <v>29205.98854785295</v>
      </c>
      <c r="BL79" s="33">
        <f>$AJ79/$AI79*AF79</f>
        <v>28199.714413710248</v>
      </c>
      <c r="BM79" s="33">
        <f>$AJ79/$AI79*AG79</f>
        <v>36062.588479604696</v>
      </c>
      <c r="BN79" s="33">
        <f>$AJ79/$AI79*AH79</f>
        <v>24705.128528793215</v>
      </c>
    </row>
    <row r="80" spans="1:66" x14ac:dyDescent="0.25">
      <c r="A80" s="1" t="s">
        <v>8</v>
      </c>
      <c r="B80" s="4">
        <v>6</v>
      </c>
      <c r="C80" s="4" t="s">
        <v>3</v>
      </c>
      <c r="D80" s="4" t="str">
        <f>A80&amp;C80</f>
        <v>KIKUYUBUTCHERY</v>
      </c>
      <c r="E80" s="2">
        <v>12170.65</v>
      </c>
      <c r="F80" s="2">
        <v>9756.6200000000008</v>
      </c>
      <c r="G80" s="2">
        <v>8129.85</v>
      </c>
      <c r="H80" s="2">
        <v>10097.040000000001</v>
      </c>
      <c r="I80" s="2">
        <v>21626.67</v>
      </c>
      <c r="J80" s="2">
        <v>25096.85</v>
      </c>
      <c r="K80" s="2">
        <v>5614.22</v>
      </c>
      <c r="L80" s="2">
        <v>10300.469999999999</v>
      </c>
      <c r="M80" s="2">
        <v>10045.16</v>
      </c>
      <c r="N80" s="2">
        <v>10285.48</v>
      </c>
      <c r="O80" s="2">
        <v>10360.67</v>
      </c>
      <c r="P80" s="2">
        <v>20800.900000000001</v>
      </c>
      <c r="Q80" s="2">
        <v>28527.759999999998</v>
      </c>
      <c r="R80" s="2">
        <v>14392.08</v>
      </c>
      <c r="S80" s="2">
        <v>13061.61</v>
      </c>
      <c r="T80" s="2">
        <v>11741.14</v>
      </c>
      <c r="U80" s="2">
        <v>11084.79</v>
      </c>
      <c r="V80" s="2">
        <v>16610.14</v>
      </c>
      <c r="W80" s="2">
        <v>19882.54</v>
      </c>
      <c r="X80" s="2">
        <v>20736.810000000001</v>
      </c>
      <c r="Y80" s="2">
        <v>14408.93</v>
      </c>
      <c r="Z80" s="2">
        <v>11731.86</v>
      </c>
      <c r="AA80" s="2">
        <v>10341.040000000001</v>
      </c>
      <c r="AB80" s="2">
        <v>10862.58</v>
      </c>
      <c r="AC80" s="2">
        <v>15850.37</v>
      </c>
      <c r="AD80" s="2">
        <v>29239.599999999999</v>
      </c>
      <c r="AE80" s="2">
        <v>31045.4</v>
      </c>
      <c r="AF80" s="2">
        <v>19311.32</v>
      </c>
      <c r="AG80" s="2">
        <v>30636.34</v>
      </c>
      <c r="AH80" s="2">
        <v>12566.85</v>
      </c>
      <c r="AI80" s="24">
        <f>SUM(E80:AH80)</f>
        <v>476315.73999999993</v>
      </c>
      <c r="AJ80" s="26">
        <v>404486.8153551814</v>
      </c>
      <c r="AK80" s="33">
        <f>$AJ80/$AI80*E80</f>
        <v>10335.302921760551</v>
      </c>
      <c r="AL80" s="33">
        <f>$AJ80/$AI80*F80</f>
        <v>8285.3112358425751</v>
      </c>
      <c r="AM80" s="33">
        <f>$AJ80/$AI80*G80</f>
        <v>6903.8598972507652</v>
      </c>
      <c r="AN80" s="33">
        <f>$AJ80/$AI80*H80</f>
        <v>8574.3955345961949</v>
      </c>
      <c r="AO80" s="33">
        <f>$AJ80/$AI80*I80</f>
        <v>18365.344960125487</v>
      </c>
      <c r="AP80" s="33">
        <f>$AJ80/$AI80*J80</f>
        <v>21312.218092869836</v>
      </c>
      <c r="AQ80" s="33">
        <f>$AJ80/$AI80*K80</f>
        <v>4767.5896003423422</v>
      </c>
      <c r="AR80" s="33">
        <f>$AJ80/$AI80*L80</f>
        <v>8747.1480723303121</v>
      </c>
      <c r="AS80" s="33">
        <f>$AJ80/$AI80*M80</f>
        <v>8530.3390942597325</v>
      </c>
      <c r="AT80" s="33">
        <f>$AJ80/$AI80*N80</f>
        <v>8734.4185804135122</v>
      </c>
      <c r="AU80" s="33">
        <f>$AJ80/$AI80*O80</f>
        <v>8798.2698477400063</v>
      </c>
      <c r="AV80" s="33">
        <f>$AJ80/$AI80*P80</f>
        <v>17664.101962117806</v>
      </c>
      <c r="AW80" s="33">
        <f>$AJ80/$AI80*Q80</f>
        <v>24225.743183748098</v>
      </c>
      <c r="AX80" s="33">
        <f>$AJ80/$AI80*R80</f>
        <v>12221.738894324593</v>
      </c>
      <c r="AY80" s="33">
        <f>$AJ80/$AI80*S80</f>
        <v>11091.905197824015</v>
      </c>
      <c r="AZ80" s="33">
        <f>$AJ80/$AI80*T80</f>
        <v>9970.5634905941497</v>
      </c>
      <c r="BA80" s="33">
        <f>$AJ80/$AI80*U80</f>
        <v>9413.1917748108899</v>
      </c>
      <c r="BB80" s="33">
        <f>$AJ80/$AI80*V80</f>
        <v>14105.313066504403</v>
      </c>
      <c r="BC80" s="33">
        <f>$AJ80/$AI80*W80</f>
        <v>16884.23163545259</v>
      </c>
      <c r="BD80" s="33">
        <f>$AJ80/$AI80*X80</f>
        <v>17609.676802881804</v>
      </c>
      <c r="BE80" s="33">
        <f>$AJ80/$AI80*Y80</f>
        <v>12236.047896245746</v>
      </c>
      <c r="BF80" s="33">
        <f>$AJ80/$AI80*Z80</f>
        <v>9962.6829245509289</v>
      </c>
      <c r="BG80" s="33">
        <f>$AJ80/$AI80*AA80</f>
        <v>8781.600072801597</v>
      </c>
      <c r="BH80" s="33">
        <f>$AJ80/$AI80*AB80</f>
        <v>9224.4912812263719</v>
      </c>
      <c r="BI80" s="33">
        <f>$AJ80/$AI80*AC80</f>
        <v>13460.117197683428</v>
      </c>
      <c r="BJ80" s="33">
        <f>$AJ80/$AI80*AD80</f>
        <v>24830.236947994545</v>
      </c>
      <c r="BK80" s="33">
        <f>$AJ80/$AI80*AE80</f>
        <v>26363.720370499937</v>
      </c>
      <c r="BL80" s="33">
        <f>$AJ80/$AI80*AF80</f>
        <v>16399.152224330908</v>
      </c>
      <c r="BM80" s="33">
        <f>$AJ80/$AI80*AG80</f>
        <v>26016.34705739214</v>
      </c>
      <c r="BN80" s="33">
        <f>$AJ80/$AI80*AH80</f>
        <v>10671.755536666209</v>
      </c>
    </row>
    <row r="81" spans="1:66" x14ac:dyDescent="0.25">
      <c r="A81" s="1" t="s">
        <v>10</v>
      </c>
      <c r="B81" s="4">
        <v>7</v>
      </c>
      <c r="C81" s="4" t="s">
        <v>3</v>
      </c>
      <c r="D81" s="4" t="str">
        <f>A81&amp;C81</f>
        <v>RUIRUBUTCHERY</v>
      </c>
      <c r="E81" s="2">
        <v>127827.66</v>
      </c>
      <c r="F81" s="2">
        <v>82202.73</v>
      </c>
      <c r="G81" s="2">
        <v>61919.07</v>
      </c>
      <c r="H81" s="2">
        <v>60272.21</v>
      </c>
      <c r="I81" s="2">
        <v>186404.98</v>
      </c>
      <c r="J81" s="2">
        <v>83904.62</v>
      </c>
      <c r="K81" s="2">
        <v>69127.31</v>
      </c>
      <c r="L81" s="2">
        <v>69616.94</v>
      </c>
      <c r="M81" s="2">
        <v>143627.78</v>
      </c>
      <c r="N81" s="2">
        <v>58245.71</v>
      </c>
      <c r="O81" s="2">
        <v>82638.850000000006</v>
      </c>
      <c r="P81" s="2">
        <v>118436.39</v>
      </c>
      <c r="Q81" s="2">
        <v>84687.039999999994</v>
      </c>
      <c r="R81" s="2">
        <v>49701.48</v>
      </c>
      <c r="S81" s="2">
        <v>55406.93</v>
      </c>
      <c r="T81" s="2">
        <v>44457.52</v>
      </c>
      <c r="U81" s="2">
        <v>55968.44</v>
      </c>
      <c r="V81" s="2">
        <v>65600.53</v>
      </c>
      <c r="W81" s="2">
        <v>91605.52</v>
      </c>
      <c r="X81" s="2">
        <v>106681.5</v>
      </c>
      <c r="Y81" s="2">
        <v>63585.49</v>
      </c>
      <c r="Z81" s="2">
        <v>64868.87</v>
      </c>
      <c r="AA81" s="2">
        <v>92521.279999999999</v>
      </c>
      <c r="AB81" s="2">
        <v>68445.509999999995</v>
      </c>
      <c r="AC81" s="2">
        <v>82270.63</v>
      </c>
      <c r="AD81" s="2">
        <v>115797.26</v>
      </c>
      <c r="AE81" s="2">
        <v>87104.74</v>
      </c>
      <c r="AF81" s="2">
        <v>120594.41</v>
      </c>
      <c r="AG81" s="2">
        <v>85874.9</v>
      </c>
      <c r="AH81" s="2">
        <v>114015.67</v>
      </c>
      <c r="AI81" s="24">
        <f>SUM(E81:AH81)</f>
        <v>2593411.9700000002</v>
      </c>
      <c r="AJ81" s="26">
        <v>2038449.5123502263</v>
      </c>
      <c r="AK81" s="33">
        <f>$AJ81/$AI81*E81</f>
        <v>100473.90626945804</v>
      </c>
      <c r="AL81" s="33">
        <f>$AJ81/$AI81*F81</f>
        <v>64612.223904541206</v>
      </c>
      <c r="AM81" s="33">
        <f>$AJ81/$AI81*G81</f>
        <v>48669.050465853878</v>
      </c>
      <c r="AN81" s="33">
        <f>$AJ81/$AI81*H81</f>
        <v>47374.600913394577</v>
      </c>
      <c r="AO81" s="33">
        <f>$AJ81/$AI81*I81</f>
        <v>146516.30553731642</v>
      </c>
      <c r="AP81" s="33">
        <f>$AJ81/$AI81*J81</f>
        <v>65949.92762485439</v>
      </c>
      <c r="AQ81" s="33">
        <f>$AJ81/$AI81*K81</f>
        <v>54334.804107340846</v>
      </c>
      <c r="AR81" s="33">
        <f>$AJ81/$AI81*L81</f>
        <v>54719.658517776857</v>
      </c>
      <c r="AS81" s="33">
        <f>$AJ81/$AI81*M81</f>
        <v>112892.96937306323</v>
      </c>
      <c r="AT81" s="33">
        <f>$AJ81/$AI81*N81</f>
        <v>45781.750265459246</v>
      </c>
      <c r="AU81" s="33">
        <f>$AJ81/$AI81*O81</f>
        <v>64955.018883360637</v>
      </c>
      <c r="AV81" s="33">
        <f>$AJ81/$AI81*P81</f>
        <v>93092.267727915678</v>
      </c>
      <c r="AW81" s="33">
        <f>$AJ81/$AI81*Q81</f>
        <v>66564.918102997763</v>
      </c>
      <c r="AX81" s="33">
        <f>$AJ81/$AI81*R81</f>
        <v>39065.894212358602</v>
      </c>
      <c r="AY81" s="33">
        <f>$AJ81/$AI81*S81</f>
        <v>43550.438860403316</v>
      </c>
      <c r="AZ81" s="33">
        <f>$AJ81/$AI81*T81</f>
        <v>34944.085634146439</v>
      </c>
      <c r="BA81" s="33">
        <f>$AJ81/$AI81*U81</f>
        <v>43991.791718692075</v>
      </c>
      <c r="BB81" s="33">
        <f>$AJ81/$AI81*V81</f>
        <v>51562.717352776148</v>
      </c>
      <c r="BC81" s="33">
        <f>$AJ81/$AI81*W81</f>
        <v>72002.917289145116</v>
      </c>
      <c r="BD81" s="33">
        <f>$AJ81/$AI81*X81</f>
        <v>83852.798617178691</v>
      </c>
      <c r="BE81" s="33">
        <f>$AJ81/$AI81*Y81</f>
        <v>49978.874387261421</v>
      </c>
      <c r="BF81" s="33">
        <f>$AJ81/$AI81*Z81</f>
        <v>50987.624776872697</v>
      </c>
      <c r="BG81" s="33">
        <f>$AJ81/$AI81*AA81</f>
        <v>72722.714431683111</v>
      </c>
      <c r="BH81" s="33">
        <f>$AJ81/$AI81*AB81</f>
        <v>53798.902024063122</v>
      </c>
      <c r="BI81" s="33">
        <f>$AJ81/$AI81*AC81</f>
        <v>64665.59402987791</v>
      </c>
      <c r="BJ81" s="33">
        <f>$AJ81/$AI81*AD81</f>
        <v>91017.883355605998</v>
      </c>
      <c r="BK81" s="33">
        <f>$AJ81/$AI81*AE81</f>
        <v>68465.256129897971</v>
      </c>
      <c r="BL81" s="33">
        <f>$AJ81/$AI81*AF81</f>
        <v>94788.494500803601</v>
      </c>
      <c r="BM81" s="33">
        <f>$AJ81/$AI81*AG81</f>
        <v>67498.588752223746</v>
      </c>
      <c r="BN81" s="33">
        <f>$AJ81/$AI81*AH81</f>
        <v>89617.5345839035</v>
      </c>
    </row>
    <row r="82" spans="1:66" x14ac:dyDescent="0.25">
      <c r="A82" s="1" t="s">
        <v>11</v>
      </c>
      <c r="B82" s="4">
        <v>8</v>
      </c>
      <c r="C82" s="4" t="s">
        <v>3</v>
      </c>
      <c r="D82" s="4" t="str">
        <f>A82&amp;C82</f>
        <v>LAVINGTONBUTCHERY</v>
      </c>
      <c r="E82" s="2">
        <v>283531.73</v>
      </c>
      <c r="F82" s="2">
        <v>296401.09000000003</v>
      </c>
      <c r="G82" s="2">
        <v>308334.5</v>
      </c>
      <c r="H82" s="2">
        <v>305500.61</v>
      </c>
      <c r="I82" s="2">
        <v>365436.3</v>
      </c>
      <c r="J82" s="2">
        <v>409201.15</v>
      </c>
      <c r="K82" s="2">
        <v>249659.91</v>
      </c>
      <c r="L82" s="2">
        <v>319122.99</v>
      </c>
      <c r="M82" s="2">
        <v>309904.84999999998</v>
      </c>
      <c r="N82" s="2">
        <v>296978.17</v>
      </c>
      <c r="O82" s="2">
        <v>304485.23</v>
      </c>
      <c r="P82" s="2">
        <v>353051.37</v>
      </c>
      <c r="Q82" s="2">
        <v>294530.28000000003</v>
      </c>
      <c r="R82" s="2">
        <v>261274.55</v>
      </c>
      <c r="S82" s="2">
        <v>319260.86</v>
      </c>
      <c r="T82" s="2">
        <v>256689.12</v>
      </c>
      <c r="U82" s="2">
        <v>309951.09999999998</v>
      </c>
      <c r="V82" s="2">
        <v>368934.06</v>
      </c>
      <c r="W82" s="2">
        <v>382244.91</v>
      </c>
      <c r="X82" s="2">
        <v>275617.84999999998</v>
      </c>
      <c r="Y82" s="2">
        <v>290609.59000000003</v>
      </c>
      <c r="Z82" s="2">
        <v>279522.67</v>
      </c>
      <c r="AA82" s="2">
        <v>267493.28000000003</v>
      </c>
      <c r="AB82" s="2">
        <v>264803.93</v>
      </c>
      <c r="AC82" s="2">
        <v>348510.01</v>
      </c>
      <c r="AD82" s="2">
        <v>418222.86</v>
      </c>
      <c r="AE82" s="2">
        <v>330156.21999999997</v>
      </c>
      <c r="AF82" s="2">
        <v>400385.82</v>
      </c>
      <c r="AG82" s="2">
        <v>291342.14</v>
      </c>
      <c r="AH82" s="2">
        <v>338460.05</v>
      </c>
      <c r="AI82" s="24">
        <f>SUM(E82:AH82)</f>
        <v>9499617.2000000011</v>
      </c>
      <c r="AJ82" s="26">
        <v>7809296.2736768732</v>
      </c>
      <c r="AK82" s="33">
        <f>$AJ82/$AI82*E82</f>
        <v>233081.31643011436</v>
      </c>
      <c r="AL82" s="33">
        <f>$AJ82/$AI82*F82</f>
        <v>243660.75799883425</v>
      </c>
      <c r="AM82" s="33">
        <f>$AJ82/$AI82*G82</f>
        <v>253470.78847514209</v>
      </c>
      <c r="AN82" s="33">
        <f>$AJ82/$AI82*H82</f>
        <v>251141.14864323282</v>
      </c>
      <c r="AO82" s="33">
        <f>$AJ82/$AI82*I82</f>
        <v>300412.14038143173</v>
      </c>
      <c r="AP82" s="33">
        <f>$AJ82/$AI82*J82</f>
        <v>336389.66166755551</v>
      </c>
      <c r="AQ82" s="33">
        <f>$AJ82/$AI82*K82</f>
        <v>205236.50204026152</v>
      </c>
      <c r="AR82" s="33">
        <f>$AJ82/$AI82*L82</f>
        <v>262339.6210798496</v>
      </c>
      <c r="AS82" s="33">
        <f>$AJ82/$AI82*M82</f>
        <v>254761.71716681277</v>
      </c>
      <c r="AT82" s="33">
        <f>$AJ82/$AI82*N82</f>
        <v>244135.15487175385</v>
      </c>
      <c r="AU82" s="33">
        <f>$AJ82/$AI82*O82</f>
        <v>250306.440982553</v>
      </c>
      <c r="AV82" s="33">
        <f>$AJ82/$AI82*P82</f>
        <v>290230.93142716476</v>
      </c>
      <c r="AW82" s="33">
        <f>$AJ82/$AI82*Q82</f>
        <v>242122.83186410984</v>
      </c>
      <c r="AX82" s="33">
        <f>$AJ82/$AI82*R82</f>
        <v>214784.48307597084</v>
      </c>
      <c r="AY82" s="33">
        <f>$AJ82/$AI82*S82</f>
        <v>262452.95908648544</v>
      </c>
      <c r="AZ82" s="33">
        <f>$AJ82/$AI82*T82</f>
        <v>211014.96471977793</v>
      </c>
      <c r="BA82" s="33">
        <f>$AJ82/$AI82*U82</f>
        <v>254799.7376412228</v>
      </c>
      <c r="BB82" s="33">
        <f>$AJ82/$AI82*V82</f>
        <v>303287.52404786157</v>
      </c>
      <c r="BC82" s="33">
        <f>$AJ82/$AI82*W82</f>
        <v>314229.89878949558</v>
      </c>
      <c r="BD82" s="33">
        <f>$AJ82/$AI82*X82</f>
        <v>226575.59811608313</v>
      </c>
      <c r="BE82" s="33">
        <f>$AJ82/$AI82*Y82</f>
        <v>238899.77253838858</v>
      </c>
      <c r="BF82" s="33">
        <f>$AJ82/$AI82*Z82</f>
        <v>229785.61128117982</v>
      </c>
      <c r="BG82" s="33">
        <f>$AJ82/$AI82*AA82</f>
        <v>219896.67907224773</v>
      </c>
      <c r="BH82" s="33">
        <f>$AJ82/$AI82*AB82</f>
        <v>217685.86041593246</v>
      </c>
      <c r="BI82" s="33">
        <f>$AJ82/$AI82*AC82</f>
        <v>286497.64144518261</v>
      </c>
      <c r="BJ82" s="33">
        <f>$AJ82/$AI82*AD82</f>
        <v>343806.087487871</v>
      </c>
      <c r="BK82" s="33">
        <f>$AJ82/$AI82*AE82</f>
        <v>271409.64570417022</v>
      </c>
      <c r="BL82" s="33">
        <f>$AJ82/$AI82*AF82</f>
        <v>329142.89347986138</v>
      </c>
      <c r="BM82" s="33">
        <f>$AJ82/$AI82*AG82</f>
        <v>239501.97574982766</v>
      </c>
      <c r="BN82" s="33">
        <f>$AJ82/$AI82*AH82</f>
        <v>278235.92799649737</v>
      </c>
    </row>
    <row r="83" spans="1:66" x14ac:dyDescent="0.25">
      <c r="A83" s="1" t="s">
        <v>16</v>
      </c>
      <c r="B83" s="4">
        <v>9</v>
      </c>
      <c r="C83" s="4" t="s">
        <v>3</v>
      </c>
      <c r="D83" s="4" t="str">
        <f>A83&amp;C83</f>
        <v>PIPELINEBUTCHERY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24"/>
      <c r="AJ83" s="26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</row>
    <row r="84" spans="1:66" x14ac:dyDescent="0.25">
      <c r="A84" s="1" t="s">
        <v>17</v>
      </c>
      <c r="B84" s="4">
        <v>10</v>
      </c>
      <c r="C84" s="4" t="s">
        <v>3</v>
      </c>
      <c r="D84" s="4" t="str">
        <f>A84&amp;C84</f>
        <v>DONHOLMBUTCHERY</v>
      </c>
      <c r="E84" s="2">
        <v>21381.88</v>
      </c>
      <c r="F84" s="2">
        <v>23531.19</v>
      </c>
      <c r="G84" s="2">
        <v>25754.48</v>
      </c>
      <c r="H84" s="2">
        <v>40683.519999999997</v>
      </c>
      <c r="I84" s="2">
        <v>37353.15</v>
      </c>
      <c r="J84" s="2">
        <v>28287.19</v>
      </c>
      <c r="K84" s="2">
        <v>22136.3</v>
      </c>
      <c r="L84" s="2">
        <v>21794.35</v>
      </c>
      <c r="M84" s="2">
        <v>21000.35</v>
      </c>
      <c r="N84" s="2">
        <v>27510.54</v>
      </c>
      <c r="O84" s="2">
        <v>16086.9</v>
      </c>
      <c r="P84" s="2">
        <v>34360.74</v>
      </c>
      <c r="Q84" s="2">
        <v>29313.97</v>
      </c>
      <c r="R84" s="2">
        <v>22379.26</v>
      </c>
      <c r="S84" s="2">
        <v>33010.410000000003</v>
      </c>
      <c r="T84" s="2">
        <v>25413.67</v>
      </c>
      <c r="U84" s="2">
        <v>23181.93</v>
      </c>
      <c r="V84" s="2">
        <v>38029.72</v>
      </c>
      <c r="W84" s="2">
        <v>31308.58</v>
      </c>
      <c r="X84" s="2">
        <v>25375.73</v>
      </c>
      <c r="Y84" s="2">
        <v>21632.560000000001</v>
      </c>
      <c r="Z84" s="2">
        <v>22740.77</v>
      </c>
      <c r="AA84" s="2">
        <v>16626.75</v>
      </c>
      <c r="AB84" s="2">
        <v>23152.79</v>
      </c>
      <c r="AC84" s="2">
        <v>26061.41</v>
      </c>
      <c r="AD84" s="2">
        <v>36782.44</v>
      </c>
      <c r="AE84" s="2">
        <v>33257.64</v>
      </c>
      <c r="AF84" s="2">
        <v>38541.1</v>
      </c>
      <c r="AG84" s="2">
        <v>45602.07</v>
      </c>
      <c r="AH84" s="2">
        <v>21956.41</v>
      </c>
      <c r="AI84" s="24">
        <f>SUM(E84:AH84)</f>
        <v>834247.80000000028</v>
      </c>
      <c r="AJ84" s="26">
        <v>699075.64633712277</v>
      </c>
      <c r="AK84" s="33">
        <f>$AJ84/$AI84*E84</f>
        <v>17917.400058954659</v>
      </c>
      <c r="AL84" s="33">
        <f>$AJ84/$AI84*F84</f>
        <v>19718.45998075348</v>
      </c>
      <c r="AM84" s="33">
        <f>$AJ84/$AI84*G84</f>
        <v>21581.513013371441</v>
      </c>
      <c r="AN84" s="33">
        <f>$AJ84/$AI84*H84</f>
        <v>34091.618868241843</v>
      </c>
      <c r="AO84" s="33">
        <f>$AJ84/$AI84*I84</f>
        <v>31300.864657931961</v>
      </c>
      <c r="AP84" s="33">
        <f>$AJ84/$AI84*J84</f>
        <v>23703.851100729291</v>
      </c>
      <c r="AQ84" s="33">
        <f>$AJ84/$AI84*K84</f>
        <v>18549.58230637521</v>
      </c>
      <c r="AR84" s="33">
        <f>$AJ84/$AI84*L84</f>
        <v>18263.038047864753</v>
      </c>
      <c r="AS84" s="33">
        <f>$AJ84/$AI84*M84</f>
        <v>17597.688899576111</v>
      </c>
      <c r="AT84" s="33">
        <f>$AJ84/$AI84*N84</f>
        <v>23053.040753099096</v>
      </c>
      <c r="AU84" s="33">
        <f>$AJ84/$AI84*O84</f>
        <v>13480.359211088908</v>
      </c>
      <c r="AV84" s="33">
        <f>$AJ84/$AI84*P84</f>
        <v>28793.311200966691</v>
      </c>
      <c r="AW84" s="33">
        <f>$AJ84/$AI84*Q84</f>
        <v>24564.263189494803</v>
      </c>
      <c r="AX84" s="33">
        <f>$AJ84/$AI84*R84</f>
        <v>18753.175793866656</v>
      </c>
      <c r="AY84" s="33">
        <f>$AJ84/$AI84*S84</f>
        <v>27661.773524129661</v>
      </c>
      <c r="AZ84" s="33">
        <f>$AJ84/$AI84*T84</f>
        <v>21295.924042051221</v>
      </c>
      <c r="BA84" s="33">
        <f>$AJ84/$AI84*U84</f>
        <v>19425.790152628429</v>
      </c>
      <c r="BB84" s="33">
        <f>$AJ84/$AI84*V84</f>
        <v>31867.810845913886</v>
      </c>
      <c r="BC84" s="33">
        <f>$AJ84/$AI84*W84</f>
        <v>26235.688963635876</v>
      </c>
      <c r="BD84" s="33">
        <f>$AJ84/$AI84*X84</f>
        <v>21264.131413983123</v>
      </c>
      <c r="BE84" s="33">
        <f>$AJ84/$AI84*Y84</f>
        <v>18127.462684260699</v>
      </c>
      <c r="BF84" s="33">
        <f>$AJ84/$AI84*Z84</f>
        <v>19056.110769430674</v>
      </c>
      <c r="BG84" s="33">
        <f>$AJ84/$AI84*AA84</f>
        <v>13932.73797393982</v>
      </c>
      <c r="BH84" s="33">
        <f>$AJ84/$AI84*AB84</f>
        <v>19401.371671291992</v>
      </c>
      <c r="BI84" s="33">
        <f>$AJ84/$AI84*AC84</f>
        <v>21838.711519774759</v>
      </c>
      <c r="BJ84" s="33">
        <f>$AJ84/$AI84*AD84</f>
        <v>30822.626103247057</v>
      </c>
      <c r="BK84" s="33">
        <f>$AJ84/$AI84*AE84</f>
        <v>27868.945148728399</v>
      </c>
      <c r="BL84" s="33">
        <f>$AJ84/$AI84*AF84</f>
        <v>32296.332568145426</v>
      </c>
      <c r="BM84" s="33">
        <f>$AJ84/$AI84*AG84</f>
        <v>38213.222209948537</v>
      </c>
      <c r="BN84" s="33">
        <f>$AJ84/$AI84*AH84</f>
        <v>18398.839663698076</v>
      </c>
    </row>
    <row r="85" spans="1:66" x14ac:dyDescent="0.25">
      <c r="A85" s="1" t="s">
        <v>19</v>
      </c>
      <c r="B85" s="4">
        <v>11</v>
      </c>
      <c r="C85" s="4" t="s">
        <v>3</v>
      </c>
      <c r="D85" s="4" t="str">
        <f>A85&amp;C85</f>
        <v>OUTERINGBUTCHERY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24"/>
      <c r="AJ85" s="26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</row>
    <row r="86" spans="1:66" x14ac:dyDescent="0.25">
      <c r="A86" s="1" t="s">
        <v>20</v>
      </c>
      <c r="B86" s="4">
        <v>12</v>
      </c>
      <c r="C86" s="4" t="s">
        <v>3</v>
      </c>
      <c r="D86" s="4" t="str">
        <f>A86&amp;C86</f>
        <v>FEDHABUTCHERY</v>
      </c>
      <c r="E86" s="2">
        <v>55198.78</v>
      </c>
      <c r="F86" s="2">
        <v>72145.429999999993</v>
      </c>
      <c r="G86" s="2">
        <v>67531.929999999993</v>
      </c>
      <c r="H86" s="2">
        <v>81467.259999999995</v>
      </c>
      <c r="I86" s="2">
        <v>87160.01</v>
      </c>
      <c r="J86" s="2">
        <v>83551.37</v>
      </c>
      <c r="K86" s="2">
        <v>60500.55</v>
      </c>
      <c r="L86" s="2">
        <v>61636.29</v>
      </c>
      <c r="M86" s="2">
        <v>56646.89</v>
      </c>
      <c r="N86" s="2">
        <v>52729.71</v>
      </c>
      <c r="O86" s="2">
        <v>54895.27</v>
      </c>
      <c r="P86" s="2">
        <v>79799.22</v>
      </c>
      <c r="Q86" s="2">
        <v>90237.17</v>
      </c>
      <c r="R86" s="2">
        <v>65362.09</v>
      </c>
      <c r="S86" s="2">
        <v>57427.360000000001</v>
      </c>
      <c r="T86" s="2">
        <v>50636.77</v>
      </c>
      <c r="U86" s="2">
        <v>65791.87</v>
      </c>
      <c r="V86" s="2">
        <v>58963.02</v>
      </c>
      <c r="W86" s="2">
        <v>81529.37</v>
      </c>
      <c r="X86" s="2">
        <v>77955.839999999997</v>
      </c>
      <c r="Y86" s="2">
        <v>64032.79</v>
      </c>
      <c r="Z86" s="2">
        <v>52636.65</v>
      </c>
      <c r="AA86" s="2">
        <v>44425.77</v>
      </c>
      <c r="AB86" s="2">
        <v>56023.41</v>
      </c>
      <c r="AC86" s="2">
        <v>68962</v>
      </c>
      <c r="AD86" s="2">
        <v>94092.19</v>
      </c>
      <c r="AE86" s="2">
        <v>82602.3</v>
      </c>
      <c r="AF86" s="2">
        <v>98691.51</v>
      </c>
      <c r="AG86" s="2">
        <v>110106.4</v>
      </c>
      <c r="AH86" s="2">
        <v>65010.53</v>
      </c>
      <c r="AI86" s="24">
        <f>SUM(E86:AH86)</f>
        <v>2097749.7499999995</v>
      </c>
      <c r="AJ86" s="26">
        <v>1732165.7052954922</v>
      </c>
      <c r="AK86" s="33">
        <f>$AJ86/$AI86*E86</f>
        <v>45579.046638022832</v>
      </c>
      <c r="AL86" s="33">
        <f>$AJ86/$AI86*F86</f>
        <v>59572.329654572277</v>
      </c>
      <c r="AM86" s="33">
        <f>$AJ86/$AI86*G86</f>
        <v>55762.844523478467</v>
      </c>
      <c r="AN86" s="33">
        <f>$AJ86/$AI86*H86</f>
        <v>67269.603476959659</v>
      </c>
      <c r="AO86" s="33">
        <f>$AJ86/$AI86*I86</f>
        <v>71970.252979513971</v>
      </c>
      <c r="AP86" s="33">
        <f>$AJ86/$AI86*J86</f>
        <v>68990.50649127936</v>
      </c>
      <c r="AQ86" s="33">
        <f>$AJ86/$AI86*K86</f>
        <v>49956.85393909127</v>
      </c>
      <c r="AR86" s="33">
        <f>$AJ86/$AI86*L86</f>
        <v>50894.663550620142</v>
      </c>
      <c r="AS86" s="33">
        <f>$AJ86/$AI86*M86</f>
        <v>46774.788160335229</v>
      </c>
      <c r="AT86" s="33">
        <f>$AJ86/$AI86*N86</f>
        <v>43540.272290427776</v>
      </c>
      <c r="AU86" s="33">
        <f>$AJ86/$AI86*O86</f>
        <v>45328.430656200289</v>
      </c>
      <c r="AV86" s="33">
        <f>$AJ86/$AI86*P86</f>
        <v>65892.260119840401</v>
      </c>
      <c r="AW86" s="33">
        <f>$AJ86/$AI86*Q86</f>
        <v>74511.142817163607</v>
      </c>
      <c r="AX86" s="33">
        <f>$AJ86/$AI86*R86</f>
        <v>53971.152052067919</v>
      </c>
      <c r="AY86" s="33">
        <f>$AJ86/$AI86*S86</f>
        <v>47419.242232138589</v>
      </c>
      <c r="AZ86" s="33">
        <f>$AJ86/$AI86*T86</f>
        <v>41812.078118915582</v>
      </c>
      <c r="BA86" s="33">
        <f>$AJ86/$AI86*U86</f>
        <v>54326.032407468694</v>
      </c>
      <c r="BB86" s="33">
        <f>$AJ86/$AI86*V86</f>
        <v>48687.276032163623</v>
      </c>
      <c r="BC86" s="33">
        <f>$AJ86/$AI86*W86</f>
        <v>67320.889294992012</v>
      </c>
      <c r="BD86" s="33">
        <f>$AJ86/$AI86*X86</f>
        <v>64370.134033147937</v>
      </c>
      <c r="BE86" s="33">
        <f>$AJ86/$AI86*Y86</f>
        <v>52873.514990235686</v>
      </c>
      <c r="BF86" s="33">
        <f>$AJ86/$AI86*Z86</f>
        <v>43463.430264568975</v>
      </c>
      <c r="BG86" s="33">
        <f>$AJ86/$AI86*AA86</f>
        <v>36683.496315680808</v>
      </c>
      <c r="BH86" s="33">
        <f>$AJ86/$AI86*AB86</f>
        <v>46259.964753044813</v>
      </c>
      <c r="BI86" s="33">
        <f>$AJ86/$AI86*AC86</f>
        <v>56943.689955671674</v>
      </c>
      <c r="BJ86" s="33">
        <f>$AJ86/$AI86*AD86</f>
        <v>77694.331582757906</v>
      </c>
      <c r="BK86" s="33">
        <f>$AJ86/$AI86*AE86</f>
        <v>68206.835080557095</v>
      </c>
      <c r="BL86" s="33">
        <f>$AJ86/$AI86*AF86</f>
        <v>81492.107924611671</v>
      </c>
      <c r="BM86" s="33">
        <f>$AJ86/$AI86*AG86</f>
        <v>90917.675005585203</v>
      </c>
      <c r="BN86" s="33">
        <f>$AJ86/$AI86*AH86</f>
        <v>53680.859954379106</v>
      </c>
    </row>
    <row r="87" spans="1:66" ht="24.75" x14ac:dyDescent="0.25">
      <c r="A87" s="1" t="s">
        <v>21</v>
      </c>
      <c r="B87" s="4">
        <v>13</v>
      </c>
      <c r="C87" s="4" t="s">
        <v>3</v>
      </c>
      <c r="D87" s="4" t="str">
        <f>A87&amp;C87</f>
        <v>RONGAI EXPRESSBUTCHERY</v>
      </c>
      <c r="E87" s="2">
        <v>8220.61</v>
      </c>
      <c r="F87" s="2">
        <v>6565.3</v>
      </c>
      <c r="G87" s="2">
        <v>9897.6</v>
      </c>
      <c r="H87" s="2">
        <v>7813.6</v>
      </c>
      <c r="I87" s="2">
        <v>17201.75</v>
      </c>
      <c r="J87" s="2">
        <v>11944.76</v>
      </c>
      <c r="K87" s="2">
        <v>8758.9</v>
      </c>
      <c r="L87" s="2">
        <v>5354.12</v>
      </c>
      <c r="M87" s="2">
        <v>9404.89</v>
      </c>
      <c r="N87" s="2">
        <v>2499.15</v>
      </c>
      <c r="O87" s="2">
        <v>5956.22</v>
      </c>
      <c r="P87" s="2">
        <v>14964.29</v>
      </c>
      <c r="Q87" s="2">
        <v>7769.75</v>
      </c>
      <c r="R87" s="2">
        <v>12070.97</v>
      </c>
      <c r="S87" s="2">
        <v>7538.16</v>
      </c>
      <c r="T87" s="2">
        <v>3013.55</v>
      </c>
      <c r="U87" s="2">
        <v>9564.52</v>
      </c>
      <c r="V87" s="2">
        <v>8542.9500000000007</v>
      </c>
      <c r="W87" s="2">
        <v>9593.9699999999993</v>
      </c>
      <c r="X87" s="2">
        <v>12974.77</v>
      </c>
      <c r="Y87" s="2">
        <v>10540.12</v>
      </c>
      <c r="Z87" s="2">
        <v>9189.65</v>
      </c>
      <c r="AA87" s="2">
        <v>4108.45</v>
      </c>
      <c r="AB87" s="2">
        <v>8860.3700000000008</v>
      </c>
      <c r="AC87" s="2">
        <v>7972.87</v>
      </c>
      <c r="AD87" s="2">
        <v>7944.16</v>
      </c>
      <c r="AE87" s="2">
        <v>10433.08</v>
      </c>
      <c r="AF87" s="2">
        <v>8800.5499999999993</v>
      </c>
      <c r="AG87" s="2">
        <v>15921.94</v>
      </c>
      <c r="AH87" s="2">
        <v>11557.01</v>
      </c>
      <c r="AI87" s="24">
        <f>SUM(E87:AH87)</f>
        <v>274978.02999999997</v>
      </c>
      <c r="AJ87" s="26">
        <v>267671.4874772341</v>
      </c>
      <c r="AK87" s="33">
        <f>$AJ87/$AI87*E87</f>
        <v>8002.1771436438967</v>
      </c>
      <c r="AL87" s="33">
        <f>$AJ87/$AI87*F87</f>
        <v>6390.8509953841958</v>
      </c>
      <c r="AM87" s="33">
        <f>$AJ87/$AI87*G87</f>
        <v>9634.6072246378098</v>
      </c>
      <c r="AN87" s="33">
        <f>$AJ87/$AI87*H87</f>
        <v>7605.9819562752582</v>
      </c>
      <c r="AO87" s="33">
        <f>$AJ87/$AI87*I87</f>
        <v>16744.67596451801</v>
      </c>
      <c r="AP87" s="33">
        <f>$AJ87/$AI87*J87</f>
        <v>11627.371382210307</v>
      </c>
      <c r="AQ87" s="33">
        <f>$AJ87/$AI87*K87</f>
        <v>8526.1640417757953</v>
      </c>
      <c r="AR87" s="33">
        <f>$AJ87/$AI87*L87</f>
        <v>5211.8537053000518</v>
      </c>
      <c r="AS87" s="33">
        <f>$AJ87/$AI87*M87</f>
        <v>9154.9892035366029</v>
      </c>
      <c r="AT87" s="33">
        <f>$AJ87/$AI87*N87</f>
        <v>2432.7441647928372</v>
      </c>
      <c r="AU87" s="33">
        <f>$AJ87/$AI87*O87</f>
        <v>5797.9550844176583</v>
      </c>
      <c r="AV87" s="33">
        <f>$AJ87/$AI87*P87</f>
        <v>14566.668338342159</v>
      </c>
      <c r="AW87" s="33">
        <f>$AJ87/$AI87*Q87</f>
        <v>7563.2971107773219</v>
      </c>
      <c r="AX87" s="33">
        <f>$AJ87/$AI87*R87</f>
        <v>11750.227809811091</v>
      </c>
      <c r="AY87" s="33">
        <f>$AJ87/$AI87*S87</f>
        <v>7337.8607739730596</v>
      </c>
      <c r="AZ87" s="33">
        <f>$AJ87/$AI87*T87</f>
        <v>2933.4758529145724</v>
      </c>
      <c r="BA87" s="33">
        <f>$AJ87/$AI87*U87</f>
        <v>9310.3776160071975</v>
      </c>
      <c r="BB87" s="33">
        <f>$AJ87/$AI87*V87</f>
        <v>8315.9521287705684</v>
      </c>
      <c r="BC87" s="33">
        <f>$AJ87/$AI87*W87</f>
        <v>9339.0450892093431</v>
      </c>
      <c r="BD87" s="33">
        <f>$AJ87/$AI87*X87</f>
        <v>12630.012607098077</v>
      </c>
      <c r="BE87" s="33">
        <f>$AJ87/$AI87*Y87</f>
        <v>10260.054589046787</v>
      </c>
      <c r="BF87" s="33">
        <f>$AJ87/$AI87*Z87</f>
        <v>8945.4684248598496</v>
      </c>
      <c r="BG87" s="33">
        <f>$AJ87/$AI87*AA87</f>
        <v>3999.2828617102336</v>
      </c>
      <c r="BH87" s="33">
        <f>$AJ87/$AI87*AB87</f>
        <v>8624.9378450295135</v>
      </c>
      <c r="BI87" s="33">
        <f>$AJ87/$AI87*AC87</f>
        <v>7761.0199344384555</v>
      </c>
      <c r="BJ87" s="33">
        <f>$AJ87/$AI87*AD87</f>
        <v>7733.0727984237292</v>
      </c>
      <c r="BK87" s="33">
        <f>$AJ87/$AI87*AE87</f>
        <v>10155.858788314767</v>
      </c>
      <c r="BL87" s="33">
        <f>$AJ87/$AI87*AF87</f>
        <v>8566.7073442840956</v>
      </c>
      <c r="BM87" s="33">
        <f>$AJ87/$AI87*AG87</f>
        <v>15498.872267443596</v>
      </c>
      <c r="BN87" s="33">
        <f>$AJ87/$AI87*AH87</f>
        <v>11249.924430287283</v>
      </c>
    </row>
    <row r="88" spans="1:66" ht="24.75" x14ac:dyDescent="0.25">
      <c r="A88" s="1" t="s">
        <v>22</v>
      </c>
      <c r="B88" s="4">
        <v>14</v>
      </c>
      <c r="C88" s="4" t="s">
        <v>3</v>
      </c>
      <c r="D88" s="4" t="str">
        <f>A88&amp;C88</f>
        <v>UTAWALA MAINBUTCHERY</v>
      </c>
      <c r="E88" s="2">
        <v>62110.42</v>
      </c>
      <c r="F88" s="2">
        <v>57881.18</v>
      </c>
      <c r="G88" s="2">
        <v>70947.73</v>
      </c>
      <c r="H88" s="2">
        <v>59835.48</v>
      </c>
      <c r="I88" s="2">
        <v>70641.55</v>
      </c>
      <c r="J88" s="2">
        <v>59990.559999999998</v>
      </c>
      <c r="K88" s="2">
        <v>46023.82</v>
      </c>
      <c r="L88" s="2">
        <v>42965.61</v>
      </c>
      <c r="M88" s="2">
        <v>48190.46</v>
      </c>
      <c r="N88" s="2">
        <v>55774.62</v>
      </c>
      <c r="O88" s="2">
        <v>64271.69</v>
      </c>
      <c r="P88" s="2">
        <v>71712.149999999994</v>
      </c>
      <c r="Q88" s="2">
        <v>61474.7</v>
      </c>
      <c r="R88" s="2">
        <v>46403.96</v>
      </c>
      <c r="S88" s="2">
        <v>49622.06</v>
      </c>
      <c r="T88" s="2">
        <v>47347.28</v>
      </c>
      <c r="U88" s="2">
        <v>56027.14</v>
      </c>
      <c r="V88" s="2">
        <v>61145.41</v>
      </c>
      <c r="W88" s="2">
        <v>66234.78</v>
      </c>
      <c r="X88" s="2">
        <v>65836.02</v>
      </c>
      <c r="Y88" s="2">
        <v>52713.83</v>
      </c>
      <c r="Z88" s="2">
        <v>50822.11</v>
      </c>
      <c r="AA88" s="2">
        <v>46284.31</v>
      </c>
      <c r="AB88" s="2">
        <v>60201.06</v>
      </c>
      <c r="AC88" s="2">
        <v>68206.33</v>
      </c>
      <c r="AD88" s="2">
        <v>94783.679999999993</v>
      </c>
      <c r="AE88" s="2">
        <v>72047.78</v>
      </c>
      <c r="AF88" s="2">
        <v>63536.13</v>
      </c>
      <c r="AG88" s="2">
        <v>69339.83</v>
      </c>
      <c r="AH88" s="2">
        <v>48460.160000000003</v>
      </c>
      <c r="AI88" s="24">
        <f>SUM(E88:AH88)</f>
        <v>1790831.8400000003</v>
      </c>
      <c r="AJ88" s="26">
        <v>1438168.7569106999</v>
      </c>
      <c r="AK88" s="33">
        <f>$AJ88/$AI88*E88</f>
        <v>49879.20335535326</v>
      </c>
      <c r="AL88" s="33">
        <f>$AJ88/$AI88*F88</f>
        <v>46482.814762286362</v>
      </c>
      <c r="AM88" s="33">
        <f>$AJ88/$AI88*G88</f>
        <v>56976.208698487259</v>
      </c>
      <c r="AN88" s="33">
        <f>$AJ88/$AI88*H88</f>
        <v>48052.260390207841</v>
      </c>
      <c r="AO88" s="33">
        <f>$AJ88/$AI88*I88</f>
        <v>56730.323797317025</v>
      </c>
      <c r="AP88" s="33">
        <f>$AJ88/$AI88*J88</f>
        <v>48176.800956128151</v>
      </c>
      <c r="AQ88" s="33">
        <f>$AJ88/$AI88*K88</f>
        <v>36960.488706567667</v>
      </c>
      <c r="AR88" s="33">
        <f>$AJ88/$AI88*L88</f>
        <v>34504.522727052878</v>
      </c>
      <c r="AS88" s="33">
        <f>$AJ88/$AI88*M88</f>
        <v>38700.458862265252</v>
      </c>
      <c r="AT88" s="33">
        <f>$AJ88/$AI88*N88</f>
        <v>44791.093234396954</v>
      </c>
      <c r="AU88" s="33">
        <f>$AJ88/$AI88*O88</f>
        <v>51614.861008864929</v>
      </c>
      <c r="AV88" s="33">
        <f>$AJ88/$AI88*P88</f>
        <v>57590.093786189114</v>
      </c>
      <c r="AW88" s="33">
        <f>$AJ88/$AI88*Q88</f>
        <v>49368.67376696752</v>
      </c>
      <c r="AX88" s="33">
        <f>$AJ88/$AI88*R88</f>
        <v>37265.768889240782</v>
      </c>
      <c r="AY88" s="33">
        <f>$AJ88/$AI88*S88</f>
        <v>39850.138215963452</v>
      </c>
      <c r="AZ88" s="33">
        <f>$AJ88/$AI88*T88</f>
        <v>38023.323742503271</v>
      </c>
      <c r="BA88" s="33">
        <f>$AJ88/$AI88*U88</f>
        <v>44993.885236629329</v>
      </c>
      <c r="BB88" s="33">
        <f>$AJ88/$AI88*V88</f>
        <v>49104.229848010218</v>
      </c>
      <c r="BC88" s="33">
        <f>$AJ88/$AI88*W88</f>
        <v>53191.365648744366</v>
      </c>
      <c r="BD88" s="33">
        <f>$AJ88/$AI88*X88</f>
        <v>52871.132246201276</v>
      </c>
      <c r="BE88" s="33">
        <f>$AJ88/$AI88*Y88</f>
        <v>42333.055326457645</v>
      </c>
      <c r="BF88" s="33">
        <f>$AJ88/$AI88*Z88</f>
        <v>40813.866008926241</v>
      </c>
      <c r="BG88" s="33">
        <f>$AJ88/$AI88*AA88</f>
        <v>37169.681200871128</v>
      </c>
      <c r="BH88" s="33">
        <f>$AJ88/$AI88*AB88</f>
        <v>48345.847829523977</v>
      </c>
      <c r="BI88" s="33">
        <f>$AJ88/$AI88*AC88</f>
        <v>54774.664286480947</v>
      </c>
      <c r="BJ88" s="33">
        <f>$AJ88/$AI88*AD88</f>
        <v>76118.21735368605</v>
      </c>
      <c r="BK88" s="33">
        <f>$AJ88/$AI88*AE88</f>
        <v>57859.62918817412</v>
      </c>
      <c r="BL88" s="33">
        <f>$AJ88/$AI88*AF88</f>
        <v>51024.152608888508</v>
      </c>
      <c r="BM88" s="33">
        <f>$AJ88/$AI88*AG88</f>
        <v>55684.947569113603</v>
      </c>
      <c r="BN88" s="33">
        <f>$AJ88/$AI88*AH88</f>
        <v>38917.047659200434</v>
      </c>
    </row>
    <row r="89" spans="1:66" x14ac:dyDescent="0.25">
      <c r="A89" s="1" t="s">
        <v>23</v>
      </c>
      <c r="B89" s="4">
        <v>15</v>
      </c>
      <c r="C89" s="4" t="s">
        <v>3</v>
      </c>
      <c r="D89" s="4" t="str">
        <f>A89&amp;C89</f>
        <v>KONDELEBUTCHERY</v>
      </c>
      <c r="E89" s="2">
        <v>8429.6299999999992</v>
      </c>
      <c r="F89" s="2">
        <v>7573.41</v>
      </c>
      <c r="G89" s="2">
        <v>8065.9</v>
      </c>
      <c r="H89" s="2">
        <v>13146.5</v>
      </c>
      <c r="I89" s="2">
        <v>11562.48</v>
      </c>
      <c r="J89" s="2">
        <v>11832.13</v>
      </c>
      <c r="K89" s="2">
        <v>4949.6400000000003</v>
      </c>
      <c r="L89" s="2">
        <v>5628.31</v>
      </c>
      <c r="M89" s="2">
        <v>4822.18</v>
      </c>
      <c r="N89" s="2">
        <v>4582.29</v>
      </c>
      <c r="O89" s="2">
        <v>12085.62</v>
      </c>
      <c r="P89" s="2">
        <v>13400.92</v>
      </c>
      <c r="Q89" s="2">
        <v>13975.63</v>
      </c>
      <c r="R89" s="2">
        <v>9320.9599999999991</v>
      </c>
      <c r="S89" s="2">
        <v>9031.35</v>
      </c>
      <c r="T89" s="2">
        <v>5563.16</v>
      </c>
      <c r="U89" s="2">
        <v>6549.63</v>
      </c>
      <c r="V89" s="2">
        <v>12459.63</v>
      </c>
      <c r="W89" s="2">
        <v>12088.49</v>
      </c>
      <c r="X89" s="2">
        <v>13466.19</v>
      </c>
      <c r="Y89" s="2">
        <v>6918.61</v>
      </c>
      <c r="Z89" s="2">
        <v>7741.24</v>
      </c>
      <c r="AA89" s="2">
        <v>3674.33</v>
      </c>
      <c r="AB89" s="2">
        <v>9864.9</v>
      </c>
      <c r="AC89" s="2">
        <v>14102.07</v>
      </c>
      <c r="AD89" s="2">
        <v>17613.34</v>
      </c>
      <c r="AE89" s="2">
        <v>12122.37</v>
      </c>
      <c r="AF89" s="2">
        <v>12772.3</v>
      </c>
      <c r="AG89" s="2">
        <v>15664.55</v>
      </c>
      <c r="AH89" s="2">
        <v>9775.34</v>
      </c>
      <c r="AI89" s="24">
        <f>SUM(E89:AH89)</f>
        <v>298783.09999999998</v>
      </c>
      <c r="AJ89" s="26">
        <v>10622.048899058445</v>
      </c>
      <c r="AK89" s="33">
        <f>$AJ89/$AI89*E89</f>
        <v>299.68208396314935</v>
      </c>
      <c r="AL89" s="33">
        <f>$AJ89/$AI89*F89</f>
        <v>269.2425754757154</v>
      </c>
      <c r="AM89" s="33">
        <f>$AJ89/$AI89*G89</f>
        <v>286.75110545046061</v>
      </c>
      <c r="AN89" s="33">
        <f>$AJ89/$AI89*H89</f>
        <v>467.37170158376381</v>
      </c>
      <c r="AO89" s="33">
        <f>$AJ89/$AI89*I89</f>
        <v>411.0581487185363</v>
      </c>
      <c r="AP89" s="33">
        <f>$AJ89/$AI89*J89</f>
        <v>420.64448571561246</v>
      </c>
      <c r="AQ89" s="33">
        <f>$AJ89/$AI89*K89</f>
        <v>175.96483239090716</v>
      </c>
      <c r="AR89" s="33">
        <f>$AJ89/$AI89*L89</f>
        <v>200.09225434457187</v>
      </c>
      <c r="AS89" s="33">
        <f>$AJ89/$AI89*M89</f>
        <v>171.43349727632406</v>
      </c>
      <c r="AT89" s="33">
        <f>$AJ89/$AI89*N89</f>
        <v>162.90515912602328</v>
      </c>
      <c r="AU89" s="33">
        <f>$AJ89/$AI89*O89</f>
        <v>429.65631796255798</v>
      </c>
      <c r="AV89" s="33">
        <f>$AJ89/$AI89*P89</f>
        <v>476.41659629467102</v>
      </c>
      <c r="AW89" s="33">
        <f>$AJ89/$AI89*Q89</f>
        <v>496.84813249192536</v>
      </c>
      <c r="AX89" s="33">
        <f>$AJ89/$AI89*R89</f>
        <v>331.36978934272992</v>
      </c>
      <c r="AY89" s="33">
        <f>$AJ89/$AI89*S89</f>
        <v>321.07385365675469</v>
      </c>
      <c r="AZ89" s="33">
        <f>$AJ89/$AI89*T89</f>
        <v>197.77610431542476</v>
      </c>
      <c r="BA89" s="33">
        <f>$AJ89/$AI89*U89</f>
        <v>232.84613530932697</v>
      </c>
      <c r="BB89" s="33">
        <f>$AJ89/$AI89*V89</f>
        <v>442.9527611306516</v>
      </c>
      <c r="BC89" s="33">
        <f>$AJ89/$AI89*W89</f>
        <v>429.75834943736453</v>
      </c>
      <c r="BD89" s="33">
        <f>$AJ89/$AI89*X89</f>
        <v>478.73701244820029</v>
      </c>
      <c r="BE89" s="33">
        <f>$AJ89/$AI89*Y89</f>
        <v>245.96375676373515</v>
      </c>
      <c r="BF89" s="33">
        <f>$AJ89/$AI89*Z89</f>
        <v>275.20910593452976</v>
      </c>
      <c r="BG89" s="33">
        <f>$AJ89/$AI89*AA89</f>
        <v>130.62624000914852</v>
      </c>
      <c r="BH89" s="33">
        <f>$AJ89/$AI89*AB89</f>
        <v>350.70742014632577</v>
      </c>
      <c r="BI89" s="33">
        <f>$AJ89/$AI89*AC89</f>
        <v>501.34320554926012</v>
      </c>
      <c r="BJ89" s="33">
        <f>$AJ89/$AI89*AD89</f>
        <v>626.17249354378509</v>
      </c>
      <c r="BK89" s="33">
        <f>$AJ89/$AI89*AE89</f>
        <v>430.96281855459409</v>
      </c>
      <c r="BL89" s="33">
        <f>$AJ89/$AI89*AF89</f>
        <v>454.06850371873173</v>
      </c>
      <c r="BM89" s="33">
        <f>$AJ89/$AI89*AG89</f>
        <v>556.89098908789015</v>
      </c>
      <c r="BN89" s="33">
        <f>$AJ89/$AI89*AH89</f>
        <v>347.52346931577455</v>
      </c>
    </row>
    <row r="90" spans="1:66" x14ac:dyDescent="0.25">
      <c r="A90" s="1" t="s">
        <v>24</v>
      </c>
      <c r="B90" s="4">
        <v>16</v>
      </c>
      <c r="C90" s="4" t="s">
        <v>3</v>
      </c>
      <c r="D90" s="4" t="str">
        <f>A90&amp;C90</f>
        <v>NYALENDABUTCHERY</v>
      </c>
      <c r="E90" s="2">
        <v>15423.57</v>
      </c>
      <c r="F90" s="2">
        <v>22433.56</v>
      </c>
      <c r="G90" s="2">
        <v>18145.169999999998</v>
      </c>
      <c r="H90" s="2">
        <v>19485.259999999998</v>
      </c>
      <c r="I90" s="2">
        <v>19630.509999999998</v>
      </c>
      <c r="J90" s="2">
        <v>16821.16</v>
      </c>
      <c r="K90" s="2">
        <v>19531.16</v>
      </c>
      <c r="L90" s="2">
        <v>15068.33</v>
      </c>
      <c r="M90" s="2">
        <v>25840</v>
      </c>
      <c r="N90" s="2">
        <v>18985.650000000001</v>
      </c>
      <c r="O90" s="2">
        <v>20791.689999999999</v>
      </c>
      <c r="P90" s="2">
        <v>21021.41</v>
      </c>
      <c r="Q90" s="2">
        <v>18190.18</v>
      </c>
      <c r="R90" s="2">
        <v>23927.279999999999</v>
      </c>
      <c r="S90" s="2">
        <v>13159.64</v>
      </c>
      <c r="T90" s="2">
        <v>10286.86</v>
      </c>
      <c r="U90" s="2">
        <v>16060.97</v>
      </c>
      <c r="V90" s="2">
        <v>16491.099999999999</v>
      </c>
      <c r="W90" s="2">
        <v>20532.71</v>
      </c>
      <c r="X90" s="2">
        <v>26781.1</v>
      </c>
      <c r="Y90" s="2">
        <v>18887.91</v>
      </c>
      <c r="Z90" s="2">
        <v>13924.2</v>
      </c>
      <c r="AA90" s="2">
        <v>22208.82</v>
      </c>
      <c r="AB90" s="2">
        <v>28529.119999999999</v>
      </c>
      <c r="AC90" s="2">
        <v>23742.02</v>
      </c>
      <c r="AD90" s="2">
        <v>19206.490000000002</v>
      </c>
      <c r="AE90" s="2">
        <v>19007.23</v>
      </c>
      <c r="AF90" s="2">
        <v>17916.310000000001</v>
      </c>
      <c r="AG90" s="2">
        <v>18867.89</v>
      </c>
      <c r="AH90" s="2">
        <v>16032.14</v>
      </c>
      <c r="AI90" s="24">
        <f>SUM(E90:AH90)</f>
        <v>576929.43999999994</v>
      </c>
      <c r="AJ90" s="26">
        <v>528293.47354787088</v>
      </c>
      <c r="AK90" s="33">
        <f>$AJ90/$AI90*E90</f>
        <v>14123.341269963161</v>
      </c>
      <c r="AL90" s="33">
        <f>$AJ90/$AI90*F90</f>
        <v>20542.379214422785</v>
      </c>
      <c r="AM90" s="33">
        <f>$AJ90/$AI90*G90</f>
        <v>16615.506546895267</v>
      </c>
      <c r="AN90" s="33">
        <f>$AJ90/$AI90*H90</f>
        <v>17842.625067605124</v>
      </c>
      <c r="AO90" s="33">
        <f>$AJ90/$AI90*I90</f>
        <v>17975.630287503122</v>
      </c>
      <c r="AP90" s="33">
        <f>$AJ90/$AI90*J90</f>
        <v>15403.112459479455</v>
      </c>
      <c r="AQ90" s="33">
        <f>$AJ90/$AI90*K90</f>
        <v>17884.65563279148</v>
      </c>
      <c r="AR90" s="33">
        <f>$AJ90/$AI90*L90</f>
        <v>13798.048503584061</v>
      </c>
      <c r="AS90" s="33">
        <f>$AJ90/$AI90*M90</f>
        <v>23661.65151231836</v>
      </c>
      <c r="AT90" s="33">
        <f>$AJ90/$AI90*N90</f>
        <v>17385.132896085415</v>
      </c>
      <c r="AU90" s="33">
        <f>$AJ90/$AI90*O90</f>
        <v>19038.921173844989</v>
      </c>
      <c r="AV90" s="33">
        <f>$AJ90/$AI90*P90</f>
        <v>19249.275453466111</v>
      </c>
      <c r="AW90" s="33">
        <f>$AJ90/$AI90*Q90</f>
        <v>16656.722140338359</v>
      </c>
      <c r="AX90" s="33">
        <f>$AJ90/$AI90*R90</f>
        <v>21910.176509197558</v>
      </c>
      <c r="AY90" s="33">
        <f>$AJ90/$AI90*S90</f>
        <v>12050.263765772646</v>
      </c>
      <c r="AZ90" s="33">
        <f>$AJ90/$AI90*T90</f>
        <v>9419.6631763160713</v>
      </c>
      <c r="BA90" s="33">
        <f>$AJ90/$AI90*U90</f>
        <v>14707.007549914853</v>
      </c>
      <c r="BB90" s="33">
        <f>$AJ90/$AI90*V90</f>
        <v>15100.876983544631</v>
      </c>
      <c r="BC90" s="33">
        <f>$AJ90/$AI90*W90</f>
        <v>18801.773553540803</v>
      </c>
      <c r="BD90" s="33">
        <f>$AJ90/$AI90*X90</f>
        <v>24523.415453426827</v>
      </c>
      <c r="BE90" s="33">
        <f>$AJ90/$AI90*Y90</f>
        <v>17295.632516100351</v>
      </c>
      <c r="BF90" s="33">
        <f>$AJ90/$AI90*Z90</f>
        <v>12750.370278166538</v>
      </c>
      <c r="BG90" s="33">
        <f>$AJ90/$AI90*AA90</f>
        <v>20336.585113769594</v>
      </c>
      <c r="BH90" s="33">
        <f>$AJ90/$AI90*AB90</f>
        <v>26124.074899114239</v>
      </c>
      <c r="BI90" s="33">
        <f>$AJ90/$AI90*AC90</f>
        <v>21740.534188796159</v>
      </c>
      <c r="BJ90" s="33">
        <f>$AJ90/$AI90*AD90</f>
        <v>17587.355772245646</v>
      </c>
      <c r="BK90" s="33">
        <f>$AJ90/$AI90*AE90</f>
        <v>17404.893671613114</v>
      </c>
      <c r="BL90" s="33">
        <f>$AJ90/$AI90*AF90</f>
        <v>16405.939768059776</v>
      </c>
      <c r="BM90" s="33">
        <f>$AJ90/$AI90*AG90</f>
        <v>17277.30023036983</v>
      </c>
      <c r="BN90" s="33">
        <f>$AJ90/$AI90*AH90</f>
        <v>14680.6079596246</v>
      </c>
    </row>
    <row r="91" spans="1:66" x14ac:dyDescent="0.25">
      <c r="A91" s="1" t="s">
        <v>25</v>
      </c>
      <c r="B91" s="4">
        <v>17</v>
      </c>
      <c r="C91" s="4" t="s">
        <v>3</v>
      </c>
      <c r="D91" s="4" t="str">
        <f>A91&amp;C91</f>
        <v>MAYFAIRBUTCHERY</v>
      </c>
      <c r="E91" s="2">
        <v>2206.6</v>
      </c>
      <c r="F91" s="3">
        <v>764.05</v>
      </c>
      <c r="G91" s="32">
        <v>755.2</v>
      </c>
      <c r="H91" s="2">
        <v>5233.3</v>
      </c>
      <c r="I91" s="3">
        <v>705.05</v>
      </c>
      <c r="J91" s="42">
        <v>2634.72</v>
      </c>
      <c r="K91" s="2">
        <v>1383.55</v>
      </c>
      <c r="L91" s="3">
        <v>746.35</v>
      </c>
      <c r="M91" s="3">
        <v>728.65</v>
      </c>
      <c r="N91" s="43">
        <v>755.2</v>
      </c>
      <c r="O91" s="42">
        <v>5233.3</v>
      </c>
      <c r="P91" s="2">
        <v>1578.25</v>
      </c>
      <c r="Q91" s="3">
        <v>802.4</v>
      </c>
      <c r="R91" s="2">
        <v>3392.32</v>
      </c>
      <c r="S91" s="3">
        <v>796.5</v>
      </c>
      <c r="T91" s="2">
        <v>2242</v>
      </c>
      <c r="U91" s="3">
        <v>755.2</v>
      </c>
      <c r="V91" s="2">
        <v>3175.2</v>
      </c>
      <c r="W91" s="2">
        <v>1543.5</v>
      </c>
      <c r="X91" s="43">
        <v>802.4</v>
      </c>
      <c r="Y91" s="42">
        <v>3392.32</v>
      </c>
      <c r="Z91" s="43">
        <v>796.5</v>
      </c>
      <c r="AA91" s="42">
        <v>2242</v>
      </c>
      <c r="AB91" s="43">
        <v>755.2</v>
      </c>
      <c r="AC91" s="2">
        <v>2079.75</v>
      </c>
      <c r="AD91" s="3">
        <v>772.9</v>
      </c>
      <c r="AE91" s="2">
        <v>1607.75</v>
      </c>
      <c r="AF91" s="2">
        <v>3268.45</v>
      </c>
      <c r="AG91" s="2">
        <v>2634.72</v>
      </c>
      <c r="AH91" s="2">
        <v>1513.35</v>
      </c>
      <c r="AI91" s="24">
        <f>SUM(E91:AH91)</f>
        <v>55296.679999999993</v>
      </c>
      <c r="AJ91" s="26">
        <v>45768.580715209762</v>
      </c>
      <c r="AK91" s="33">
        <f>$AJ91/$AI91*E91</f>
        <v>1826.3836130158604</v>
      </c>
      <c r="AL91" s="33">
        <f>$AJ91/$AI91*F91</f>
        <v>632.3975344533527</v>
      </c>
      <c r="AM91" s="33">
        <f>$AJ91/$AI91*G91</f>
        <v>625.07246648671173</v>
      </c>
      <c r="AN91" s="33">
        <f>$AJ91/$AI91*H91</f>
        <v>4331.5568576071346</v>
      </c>
      <c r="AO91" s="33">
        <f>$AJ91/$AI91*I91</f>
        <v>583.56374800907838</v>
      </c>
      <c r="AP91" s="33">
        <f>$AJ91/$AI91*J91</f>
        <v>2180.7348105162459</v>
      </c>
      <c r="AQ91" s="33">
        <f>$AJ91/$AI91*K91</f>
        <v>1145.1522921182334</v>
      </c>
      <c r="AR91" s="33">
        <f>$AJ91/$AI91*L91</f>
        <v>617.74739852007053</v>
      </c>
      <c r="AS91" s="33">
        <f>$AJ91/$AI91*M91</f>
        <v>603.09726258678813</v>
      </c>
      <c r="AT91" s="33">
        <f>$AJ91/$AI91*N91</f>
        <v>625.07246648671173</v>
      </c>
      <c r="AU91" s="33">
        <f>$AJ91/$AI91*O91</f>
        <v>4331.5568576071346</v>
      </c>
      <c r="AV91" s="33">
        <f>$AJ91/$AI91*P91</f>
        <v>1306.3037873843389</v>
      </c>
      <c r="AW91" s="33">
        <f>$AJ91/$AI91*Q91</f>
        <v>664.13949564213112</v>
      </c>
      <c r="AX91" s="33">
        <f>$AJ91/$AI91*R91</f>
        <v>2807.7937361125555</v>
      </c>
      <c r="AY91" s="33">
        <f>$AJ91/$AI91*S91</f>
        <v>659.25611699770366</v>
      </c>
      <c r="AZ91" s="33">
        <f>$AJ91/$AI91*T91</f>
        <v>1855.6838848824252</v>
      </c>
      <c r="BA91" s="33">
        <f>$AJ91/$AI91*U91</f>
        <v>625.07246648671173</v>
      </c>
      <c r="BB91" s="33">
        <f>$AJ91/$AI91*V91</f>
        <v>2628.0854019976255</v>
      </c>
      <c r="BC91" s="33">
        <f>$AJ91/$AI91*W91</f>
        <v>1277.5415148599568</v>
      </c>
      <c r="BD91" s="33">
        <f>$AJ91/$AI91*X91</f>
        <v>664.13949564213112</v>
      </c>
      <c r="BE91" s="33">
        <f>$AJ91/$AI91*Y91</f>
        <v>2807.7937361125555</v>
      </c>
      <c r="BF91" s="33">
        <f>$AJ91/$AI91*Z91</f>
        <v>659.25611699770366</v>
      </c>
      <c r="BG91" s="33">
        <f>$AJ91/$AI91*AA91</f>
        <v>1855.6838848824252</v>
      </c>
      <c r="BH91" s="33">
        <f>$AJ91/$AI91*AB91</f>
        <v>625.07246648671173</v>
      </c>
      <c r="BI91" s="33">
        <f>$AJ91/$AI91*AC91</f>
        <v>1721.3909721606708</v>
      </c>
      <c r="BJ91" s="33">
        <f>$AJ91/$AI91*AD91</f>
        <v>639.7226024199939</v>
      </c>
      <c r="BK91" s="33">
        <f>$AJ91/$AI91*AE91</f>
        <v>1330.720680606476</v>
      </c>
      <c r="BL91" s="33">
        <f>$AJ91/$AI91*AF91</f>
        <v>2705.2676153184489</v>
      </c>
      <c r="BM91" s="33">
        <f>$AJ91/$AI91*AG91</f>
        <v>2180.7348105162459</v>
      </c>
      <c r="BN91" s="33">
        <f>$AJ91/$AI91*AH91</f>
        <v>1252.586622295637</v>
      </c>
    </row>
    <row r="92" spans="1:66" ht="24.75" x14ac:dyDescent="0.25">
      <c r="A92" s="1" t="s">
        <v>80</v>
      </c>
      <c r="B92" s="4">
        <v>18</v>
      </c>
      <c r="C92" s="4" t="s">
        <v>3</v>
      </c>
      <c r="D92" s="4" t="str">
        <f>A92&amp;C92</f>
        <v>WAIYAKI WAYBUTCHERY</v>
      </c>
      <c r="E92" s="2">
        <v>63615.02</v>
      </c>
      <c r="F92" s="2">
        <v>66853.759999999995</v>
      </c>
      <c r="G92" s="2">
        <v>79551.899999999994</v>
      </c>
      <c r="H92" s="2">
        <v>77567.679999999993</v>
      </c>
      <c r="I92" s="2">
        <v>67535.47</v>
      </c>
      <c r="J92" s="2">
        <v>44403.92</v>
      </c>
      <c r="K92" s="2">
        <v>96892.03</v>
      </c>
      <c r="L92" s="2">
        <v>89817.600000000006</v>
      </c>
      <c r="M92" s="2">
        <v>77846.7</v>
      </c>
      <c r="N92" s="2">
        <v>66030.41</v>
      </c>
      <c r="O92" s="2">
        <v>71978.559999999998</v>
      </c>
      <c r="P92" s="2">
        <v>92393.37</v>
      </c>
      <c r="Q92" s="2">
        <v>49719.24</v>
      </c>
      <c r="R92" s="2">
        <v>69183.08</v>
      </c>
      <c r="S92" s="2">
        <v>57079.11</v>
      </c>
      <c r="T92" s="2">
        <v>74920.63</v>
      </c>
      <c r="U92" s="2">
        <v>71649.37</v>
      </c>
      <c r="V92" s="2">
        <v>76353.899999999994</v>
      </c>
      <c r="W92" s="2">
        <v>67723.259999999995</v>
      </c>
      <c r="X92" s="2">
        <v>84078</v>
      </c>
      <c r="Y92" s="2">
        <v>86379.05</v>
      </c>
      <c r="Z92" s="2">
        <v>59503.62</v>
      </c>
      <c r="AA92" s="2">
        <v>64186.83</v>
      </c>
      <c r="AB92" s="2">
        <v>56133</v>
      </c>
      <c r="AC92" s="2">
        <v>67698.58</v>
      </c>
      <c r="AD92" s="2">
        <v>90209.46</v>
      </c>
      <c r="AE92" s="2">
        <v>88368.04</v>
      </c>
      <c r="AF92" s="2">
        <v>77187.009999999995</v>
      </c>
      <c r="AG92" s="2">
        <v>67655.86</v>
      </c>
      <c r="AH92" s="2">
        <v>79396</v>
      </c>
      <c r="AI92" s="24">
        <f>SUM(E92:AH92)</f>
        <v>2181910.4600000004</v>
      </c>
      <c r="AJ92" s="26">
        <v>2500596.5574390977</v>
      </c>
      <c r="AK92" s="33">
        <f>$AJ92/$AI92*E92</f>
        <v>72906.520652281615</v>
      </c>
      <c r="AL92" s="33">
        <f>$AJ92/$AI92*F92</f>
        <v>76618.30545872153</v>
      </c>
      <c r="AM92" s="33">
        <f>$AJ92/$AI92*G92</f>
        <v>91171.113996006636</v>
      </c>
      <c r="AN92" s="33">
        <f>$AJ92/$AI92*H92</f>
        <v>88897.082227901075</v>
      </c>
      <c r="AO92" s="33">
        <f>$AJ92/$AI92*I92</f>
        <v>77399.584851447755</v>
      </c>
      <c r="AP92" s="33">
        <f>$AJ92/$AI92*J92</f>
        <v>50889.480354203472</v>
      </c>
      <c r="AQ92" s="33">
        <f>$AJ92/$AI92*K92</f>
        <v>111043.91362663238</v>
      </c>
      <c r="AR92" s="33">
        <f>$AJ92/$AI92*L92</f>
        <v>102936.20452117079</v>
      </c>
      <c r="AS92" s="33">
        <f>$AJ92/$AI92*M92</f>
        <v>89216.855410278455</v>
      </c>
      <c r="AT92" s="33">
        <f>$AJ92/$AI92*N92</f>
        <v>75674.698370661892</v>
      </c>
      <c r="AU92" s="33">
        <f>$AJ92/$AI92*O92</f>
        <v>82491.624952118102</v>
      </c>
      <c r="AV92" s="33">
        <f>$AJ92/$AI92*P92</f>
        <v>105888.18706712498</v>
      </c>
      <c r="AW92" s="33">
        <f>$AJ92/$AI92*Q92</f>
        <v>56981.146871851124</v>
      </c>
      <c r="AX92" s="33">
        <f>$AJ92/$AI92*R92</f>
        <v>79287.841940605416</v>
      </c>
      <c r="AY92" s="33">
        <f>$AJ92/$AI92*S92</f>
        <v>65415.98685387279</v>
      </c>
      <c r="AZ92" s="33">
        <f>$AJ92/$AI92*T92</f>
        <v>85863.40864746958</v>
      </c>
      <c r="BA92" s="33">
        <f>$AJ92/$AI92*U92</f>
        <v>82114.354025636829</v>
      </c>
      <c r="BB92" s="33">
        <f>$AJ92/$AI92*V92</f>
        <v>87506.019604053348</v>
      </c>
      <c r="BC92" s="33">
        <f>$AJ92/$AI92*W92</f>
        <v>77614.803136583752</v>
      </c>
      <c r="BD92" s="33">
        <f>$AJ92/$AI92*X92</f>
        <v>96358.288394824602</v>
      </c>
      <c r="BE92" s="33">
        <f>$AJ92/$AI92*Y92</f>
        <v>98995.425809022257</v>
      </c>
      <c r="BF92" s="33">
        <f>$AJ92/$AI92*Z92</f>
        <v>68194.616623802343</v>
      </c>
      <c r="BG92" s="33">
        <f>$AJ92/$AI92*AA92</f>
        <v>73561.848239605839</v>
      </c>
      <c r="BH92" s="33">
        <f>$AJ92/$AI92*AB92</f>
        <v>64331.689650880006</v>
      </c>
      <c r="BI92" s="33">
        <f>$AJ92/$AI92*AC92</f>
        <v>77586.51841813678</v>
      </c>
      <c r="BJ92" s="33">
        <f>$AJ92/$AI92*AD92</f>
        <v>103385.29892030488</v>
      </c>
      <c r="BK92" s="33">
        <f>$AJ92/$AI92*AE92</f>
        <v>101274.92427514207</v>
      </c>
      <c r="BL92" s="33">
        <f>$AJ92/$AI92*AF92</f>
        <v>88460.812220963984</v>
      </c>
      <c r="BM92" s="33">
        <f>$AJ92/$AI92*AG92</f>
        <v>77537.558808248024</v>
      </c>
      <c r="BN92" s="33">
        <f>$AJ92/$AI92*AH92</f>
        <v>90992.443509544639</v>
      </c>
    </row>
    <row r="93" spans="1:66" x14ac:dyDescent="0.25">
      <c r="A93" s="1" t="s">
        <v>12</v>
      </c>
      <c r="B93" s="4">
        <v>19</v>
      </c>
      <c r="C93" s="4" t="s">
        <v>3</v>
      </c>
      <c r="D93" s="4" t="str">
        <f>A93&amp;C93</f>
        <v>JIPANGEBUTCHERY</v>
      </c>
      <c r="E93" s="2">
        <v>93093.81</v>
      </c>
      <c r="F93" s="2">
        <v>143805.87</v>
      </c>
      <c r="G93" s="2">
        <v>138708.01999999999</v>
      </c>
      <c r="H93" s="2">
        <v>124030.87</v>
      </c>
      <c r="I93" s="2">
        <v>134332.46</v>
      </c>
      <c r="J93" s="2">
        <v>158775.16</v>
      </c>
      <c r="K93" s="2">
        <v>83149.81</v>
      </c>
      <c r="L93" s="2">
        <v>124469.9</v>
      </c>
      <c r="M93" s="2">
        <v>98039.64</v>
      </c>
      <c r="N93" s="2">
        <v>133335.91</v>
      </c>
      <c r="O93" s="2">
        <v>113467.04</v>
      </c>
      <c r="P93" s="2">
        <v>117848.28</v>
      </c>
      <c r="Q93" s="2">
        <v>147293.95000000001</v>
      </c>
      <c r="R93" s="2">
        <v>98796.89</v>
      </c>
      <c r="S93" s="2">
        <v>111442</v>
      </c>
      <c r="T93" s="2">
        <v>97144.1</v>
      </c>
      <c r="U93" s="2">
        <v>88379.03</v>
      </c>
      <c r="V93" s="2">
        <v>148124.45000000001</v>
      </c>
      <c r="W93" s="2">
        <v>131095.29</v>
      </c>
      <c r="X93" s="2">
        <v>215870.24</v>
      </c>
      <c r="Y93" s="2">
        <v>91624.27</v>
      </c>
      <c r="Z93" s="2">
        <v>97466.97</v>
      </c>
      <c r="AA93" s="2">
        <v>87759.05</v>
      </c>
      <c r="AB93" s="2">
        <v>110279.43</v>
      </c>
      <c r="AC93" s="2">
        <v>134057.20000000001</v>
      </c>
      <c r="AD93" s="2">
        <v>161138.29</v>
      </c>
      <c r="AE93" s="2">
        <v>149480.63</v>
      </c>
      <c r="AF93" s="2">
        <v>158838.5</v>
      </c>
      <c r="AG93" s="2">
        <v>181137.29</v>
      </c>
      <c r="AH93" s="2">
        <v>101575.12</v>
      </c>
      <c r="AI93" s="24">
        <f>SUM(E93:AH93)</f>
        <v>3774559.47</v>
      </c>
      <c r="AJ93" s="26">
        <v>3283409.7240660163</v>
      </c>
      <c r="AK93" s="33">
        <f>$AJ93/$AI93*E93</f>
        <v>80980.343119181038</v>
      </c>
      <c r="AL93" s="33">
        <f>$AJ93/$AI93*F93</f>
        <v>125093.69522154419</v>
      </c>
      <c r="AM93" s="33">
        <f>$AJ93/$AI93*G93</f>
        <v>120659.18295730108</v>
      </c>
      <c r="AN93" s="33">
        <f>$AJ93/$AI93*H93</f>
        <v>107891.83953230121</v>
      </c>
      <c r="AO93" s="33">
        <f>$AJ93/$AI93*I93</f>
        <v>116852.97553987383</v>
      </c>
      <c r="AP93" s="33">
        <f>$AJ93/$AI93*J93</f>
        <v>138115.16507491603</v>
      </c>
      <c r="AQ93" s="33">
        <f>$AJ93/$AI93*K93</f>
        <v>72330.267115447423</v>
      </c>
      <c r="AR93" s="33">
        <f>$AJ93/$AI93*L93</f>
        <v>108273.74247557546</v>
      </c>
      <c r="AS93" s="33">
        <f>$AJ93/$AI93*M93</f>
        <v>85282.616389650255</v>
      </c>
      <c r="AT93" s="33">
        <f>$AJ93/$AI93*N93</f>
        <v>115986.09769981744</v>
      </c>
      <c r="AU93" s="33">
        <f>$AJ93/$AI93*O93</f>
        <v>98702.586476134544</v>
      </c>
      <c r="AV93" s="33">
        <f>$AJ93/$AI93*P93</f>
        <v>102513.73480584069</v>
      </c>
      <c r="AW93" s="33">
        <f>$AJ93/$AI93*Q93</f>
        <v>128127.90249297452</v>
      </c>
      <c r="AX93" s="33">
        <f>$AJ93/$AI93*R93</f>
        <v>85941.332203591039</v>
      </c>
      <c r="AY93" s="33">
        <f>$AJ93/$AI93*S93</f>
        <v>96941.046863242285</v>
      </c>
      <c r="AZ93" s="33">
        <f>$AJ93/$AI93*T93</f>
        <v>84503.605019539275</v>
      </c>
      <c r="BA93" s="33">
        <f>$AJ93/$AI93*U93</f>
        <v>76879.055373718133</v>
      </c>
      <c r="BB93" s="33">
        <f>$AJ93/$AI93*V93</f>
        <v>128850.33693797661</v>
      </c>
      <c r="BC93" s="33">
        <f>$AJ93/$AI93*W93</f>
        <v>114037.02958884746</v>
      </c>
      <c r="BD93" s="33">
        <f>$AJ93/$AI93*X93</f>
        <v>187780.97173614398</v>
      </c>
      <c r="BE93" s="33">
        <f>$AJ93/$AI93*Y93</f>
        <v>79702.02124764779</v>
      </c>
      <c r="BF93" s="33">
        <f>$AJ93/$AI93*Z93</f>
        <v>84784.462827194686</v>
      </c>
      <c r="BG93" s="33">
        <f>$AJ93/$AI93*AA93</f>
        <v>76339.747839446733</v>
      </c>
      <c r="BH93" s="33">
        <f>$AJ93/$AI93*AB93</f>
        <v>95929.751724499263</v>
      </c>
      <c r="BI93" s="33">
        <f>$AJ93/$AI93*AC93</f>
        <v>116613.53266771096</v>
      </c>
      <c r="BJ93" s="33">
        <f>$AJ93/$AI93*AD93</f>
        <v>140170.80205266172</v>
      </c>
      <c r="BK93" s="33">
        <f>$AJ93/$AI93*AE93</f>
        <v>130030.04933487358</v>
      </c>
      <c r="BL93" s="33">
        <f>$AJ93/$AI93*AF93</f>
        <v>138170.26320585696</v>
      </c>
      <c r="BM93" s="33">
        <f>$AJ93/$AI93*AG93</f>
        <v>157567.51062050852</v>
      </c>
      <c r="BN93" s="33">
        <f>$AJ93/$AI93*AH93</f>
        <v>88358.055921999417</v>
      </c>
    </row>
    <row r="94" spans="1:66" ht="24.75" x14ac:dyDescent="0.25">
      <c r="A94" s="1" t="s">
        <v>68</v>
      </c>
      <c r="B94" s="4">
        <v>20</v>
      </c>
      <c r="C94" s="4" t="s">
        <v>3</v>
      </c>
      <c r="D94" s="4" t="str">
        <f>A94&amp;C94</f>
        <v>RONGAI MAINBUTCHERY</v>
      </c>
      <c r="E94" s="2">
        <v>32252.28</v>
      </c>
      <c r="F94" s="2">
        <v>52750.02</v>
      </c>
      <c r="G94" s="2">
        <v>33844.33</v>
      </c>
      <c r="H94" s="2">
        <v>44807.61</v>
      </c>
      <c r="I94" s="2">
        <v>51470.01</v>
      </c>
      <c r="J94" s="2">
        <v>40186.769999999997</v>
      </c>
      <c r="K94" s="2">
        <v>35707.14</v>
      </c>
      <c r="L94" s="2">
        <v>29720.080000000002</v>
      </c>
      <c r="M94" s="2">
        <v>27557.119999999999</v>
      </c>
      <c r="N94" s="2">
        <v>43305.72</v>
      </c>
      <c r="O94" s="2">
        <v>46958.45</v>
      </c>
      <c r="P94" s="2">
        <v>42371.839999999997</v>
      </c>
      <c r="Q94" s="2">
        <v>54863.7</v>
      </c>
      <c r="R94" s="2">
        <v>35758.980000000003</v>
      </c>
      <c r="S94" s="2">
        <v>29516.97</v>
      </c>
      <c r="T94" s="2">
        <v>43348.44</v>
      </c>
      <c r="U94" s="2">
        <v>37538.58</v>
      </c>
      <c r="V94" s="2">
        <v>61532.92</v>
      </c>
      <c r="W94" s="2">
        <v>63197.48</v>
      </c>
      <c r="X94" s="2">
        <v>44382.18</v>
      </c>
      <c r="Y94" s="2">
        <v>38152.46</v>
      </c>
      <c r="Z94" s="2">
        <v>47238.71</v>
      </c>
      <c r="AA94" s="2">
        <v>32698.81</v>
      </c>
      <c r="AB94" s="2">
        <v>25799.35</v>
      </c>
      <c r="AC94" s="2">
        <v>47004.89</v>
      </c>
      <c r="AD94" s="2">
        <v>60155.21</v>
      </c>
      <c r="AE94" s="2">
        <v>44268.800000000003</v>
      </c>
      <c r="AF94" s="2">
        <v>85925.86</v>
      </c>
      <c r="AG94" s="2">
        <v>59475.38</v>
      </c>
      <c r="AH94" s="2">
        <v>39566.230000000003</v>
      </c>
      <c r="AI94" s="24">
        <f>SUM(E94:AH94)</f>
        <v>1331356.32</v>
      </c>
      <c r="AJ94" s="26">
        <v>968395.32029721327</v>
      </c>
      <c r="AK94" s="33">
        <f>$AJ94/$AI94*E94</f>
        <v>23459.502577728705</v>
      </c>
      <c r="AL94" s="33">
        <f>$AJ94/$AI94*F94</f>
        <v>38369.04647253592</v>
      </c>
      <c r="AM94" s="33">
        <f>$AJ94/$AI94*G94</f>
        <v>24617.519966851989</v>
      </c>
      <c r="AN94" s="33">
        <f>$AJ94/$AI94*H94</f>
        <v>32591.935897147818</v>
      </c>
      <c r="AO94" s="33">
        <f>$AJ94/$AI94*I94</f>
        <v>37437.99918240578</v>
      </c>
      <c r="AP94" s="33">
        <f>$AJ94/$AI94*J94</f>
        <v>29230.852343015456</v>
      </c>
      <c r="AQ94" s="33">
        <f>$AJ94/$AI94*K94</f>
        <v>25972.48141444015</v>
      </c>
      <c r="AR94" s="33">
        <f>$AJ94/$AI94*L94</f>
        <v>21617.643570324439</v>
      </c>
      <c r="AS94" s="33">
        <f>$AJ94/$AI94*M94</f>
        <v>20044.360512645286</v>
      </c>
      <c r="AT94" s="33">
        <f>$AJ94/$AI94*N94</f>
        <v>31499.498639178306</v>
      </c>
      <c r="AU94" s="33">
        <f>$AJ94/$AI94*O94</f>
        <v>34156.403169671867</v>
      </c>
      <c r="AV94" s="33">
        <f>$AJ94/$AI94*P94</f>
        <v>30820.217662227547</v>
      </c>
      <c r="AW94" s="33">
        <f>$AJ94/$AI94*Q94</f>
        <v>39906.484489584436</v>
      </c>
      <c r="AX94" s="33">
        <f>$AJ94/$AI94*R94</f>
        <v>26010.188535103545</v>
      </c>
      <c r="AY94" s="33">
        <f>$AJ94/$AI94*S94</f>
        <v>21469.906431475261</v>
      </c>
      <c r="AZ94" s="33">
        <f>$AJ94/$AI94*T94</f>
        <v>31530.572099724988</v>
      </c>
      <c r="BA94" s="33">
        <f>$AJ94/$AI94*U94</f>
        <v>27304.62510787688</v>
      </c>
      <c r="BB94" s="33">
        <f>$AJ94/$AI94*V94</f>
        <v>44757.508472429676</v>
      </c>
      <c r="BC94" s="33">
        <f>$AJ94/$AI94*W94</f>
        <v>45968.267823730865</v>
      </c>
      <c r="BD94" s="33">
        <f>$AJ94/$AI94*X94</f>
        <v>32282.48874545364</v>
      </c>
      <c r="BE94" s="33">
        <f>$AJ94/$AI94*Y94</f>
        <v>27751.146080732629</v>
      </c>
      <c r="BF94" s="33">
        <f>$AJ94/$AI94*Z94</f>
        <v>34360.257290758324</v>
      </c>
      <c r="BG94" s="33">
        <f>$AJ94/$AI94*AA94</f>
        <v>23784.297342192902</v>
      </c>
      <c r="BH94" s="33">
        <f>$AJ94/$AI94*AB94</f>
        <v>18765.802536401305</v>
      </c>
      <c r="BI94" s="33">
        <f>$AJ94/$AI94*AC94</f>
        <v>34190.182465266153</v>
      </c>
      <c r="BJ94" s="33">
        <f>$AJ94/$AI94*AD94</f>
        <v>43755.396643549284</v>
      </c>
      <c r="BK94" s="33">
        <f>$AJ94/$AI94*AE94</f>
        <v>32200.018966502728</v>
      </c>
      <c r="BL94" s="33">
        <f>$AJ94/$AI94*AF94</f>
        <v>62500.323517083321</v>
      </c>
      <c r="BM94" s="33">
        <f>$AJ94/$AI94*AG94</f>
        <v>43260.905288599577</v>
      </c>
      <c r="BN94" s="33">
        <f>$AJ94/$AI94*AH94</f>
        <v>28779.487052574485</v>
      </c>
    </row>
    <row r="95" spans="1:66" x14ac:dyDescent="0.25">
      <c r="A95" s="1" t="s">
        <v>13</v>
      </c>
      <c r="B95" s="4">
        <v>21</v>
      </c>
      <c r="C95" s="4" t="s">
        <v>3</v>
      </c>
      <c r="D95" s="4" t="str">
        <f>A95&amp;C95</f>
        <v>CHAKABUTCHERY</v>
      </c>
      <c r="E95" s="2">
        <v>88267.96</v>
      </c>
      <c r="F95" s="2">
        <v>113413.45</v>
      </c>
      <c r="G95" s="2">
        <v>83469.22</v>
      </c>
      <c r="H95" s="2">
        <v>92067.6</v>
      </c>
      <c r="I95" s="2">
        <v>104034.06</v>
      </c>
      <c r="J95" s="2">
        <v>98521.98</v>
      </c>
      <c r="K95" s="2">
        <v>84503.61</v>
      </c>
      <c r="L95" s="2">
        <v>118896.45</v>
      </c>
      <c r="M95" s="2">
        <v>90378.6</v>
      </c>
      <c r="N95" s="2">
        <v>84148.82</v>
      </c>
      <c r="O95" s="2">
        <v>98686.720000000001</v>
      </c>
      <c r="P95" s="2">
        <v>98882.4</v>
      </c>
      <c r="Q95" s="2">
        <v>117329.31</v>
      </c>
      <c r="R95" s="2">
        <v>86469.42</v>
      </c>
      <c r="S95" s="2">
        <v>107691.74</v>
      </c>
      <c r="T95" s="2">
        <v>122263.22</v>
      </c>
      <c r="U95" s="2">
        <v>83436.259999999995</v>
      </c>
      <c r="V95" s="2">
        <v>115368.5</v>
      </c>
      <c r="W95" s="2">
        <v>169075.55</v>
      </c>
      <c r="X95" s="2">
        <v>94301.94</v>
      </c>
      <c r="Y95" s="2">
        <v>105481.17</v>
      </c>
      <c r="Z95" s="2">
        <v>106371.57</v>
      </c>
      <c r="AA95" s="2">
        <v>128533.35</v>
      </c>
      <c r="AB95" s="2">
        <v>91441.01</v>
      </c>
      <c r="AC95" s="2">
        <v>122360.3</v>
      </c>
      <c r="AD95" s="2">
        <v>106962.92</v>
      </c>
      <c r="AE95" s="2">
        <v>112771.98</v>
      </c>
      <c r="AF95" s="2">
        <v>102511.55</v>
      </c>
      <c r="AG95" s="2">
        <v>101430.99</v>
      </c>
      <c r="AH95" s="2">
        <v>60670.1</v>
      </c>
      <c r="AI95" s="24">
        <f>SUM(E95:AH95)</f>
        <v>3089741.7499999995</v>
      </c>
      <c r="AJ95" s="26">
        <v>2541112.9636881202</v>
      </c>
      <c r="AK95" s="33">
        <f>$AJ95/$AI95*E95</f>
        <v>72594.694179312719</v>
      </c>
      <c r="AL95" s="33">
        <f>$AJ95/$AI95*F95</f>
        <v>93275.235074774289</v>
      </c>
      <c r="AM95" s="33">
        <f>$AJ95/$AI95*G95</f>
        <v>68648.040571978476</v>
      </c>
      <c r="AN95" s="33">
        <f>$AJ95/$AI95*H95</f>
        <v>75719.652587680641</v>
      </c>
      <c r="AO95" s="33">
        <f>$AJ95/$AI95*I95</f>
        <v>85561.292794489302</v>
      </c>
      <c r="AP95" s="33">
        <f>$AJ95/$AI95*J95</f>
        <v>81027.963125468901</v>
      </c>
      <c r="AQ95" s="33">
        <f>$AJ95/$AI95*K95</f>
        <v>69498.759515886763</v>
      </c>
      <c r="AR95" s="33">
        <f>$AJ95/$AI95*L95</f>
        <v>97784.648322629699</v>
      </c>
      <c r="AS95" s="33">
        <f>$AJ95/$AI95*M95</f>
        <v>74330.559212588953</v>
      </c>
      <c r="AT95" s="33">
        <f>$AJ95/$AI95*N95</f>
        <v>69206.967663578427</v>
      </c>
      <c r="AU95" s="33">
        <f>$AJ95/$AI95*O95</f>
        <v>81163.45113175227</v>
      </c>
      <c r="AV95" s="33">
        <f>$AJ95/$AI95*P95</f>
        <v>81324.385289027545</v>
      </c>
      <c r="AW95" s="33">
        <f>$AJ95/$AI95*Q95</f>
        <v>96495.776924263089</v>
      </c>
      <c r="AX95" s="33">
        <f>$AJ95/$AI95*R95</f>
        <v>71115.511231510798</v>
      </c>
      <c r="AY95" s="33">
        <f>$AJ95/$AI95*S95</f>
        <v>88569.498274776706</v>
      </c>
      <c r="AZ95" s="33">
        <f>$AJ95/$AI95*T95</f>
        <v>100553.59912337421</v>
      </c>
      <c r="BA95" s="33">
        <f>$AJ95/$AI95*U95</f>
        <v>68620.933101497096</v>
      </c>
      <c r="BB95" s="33">
        <f>$AJ95/$AI95*V95</f>
        <v>94883.137385593131</v>
      </c>
      <c r="BC95" s="33">
        <f>$AJ95/$AI95*W95</f>
        <v>139053.7160420281</v>
      </c>
      <c r="BD95" s="33">
        <f>$AJ95/$AI95*X95</f>
        <v>77557.252878801068</v>
      </c>
      <c r="BE95" s="33">
        <f>$AJ95/$AI95*Y95</f>
        <v>86751.447272896025</v>
      </c>
      <c r="BF95" s="33">
        <f>$AJ95/$AI95*Z95</f>
        <v>87483.743744880427</v>
      </c>
      <c r="BG95" s="33">
        <f>$AJ95/$AI95*AA95</f>
        <v>105710.37594040425</v>
      </c>
      <c r="BH95" s="33">
        <f>$AJ95/$AI95*AB95</f>
        <v>75204.322796147957</v>
      </c>
      <c r="BI95" s="33">
        <f>$AJ95/$AI95*AC95</f>
        <v>100633.44115111484</v>
      </c>
      <c r="BJ95" s="33">
        <f>$AJ95/$AI95*AD95</f>
        <v>87970.090913240681</v>
      </c>
      <c r="BK95" s="33">
        <f>$AJ95/$AI95*AE95</f>
        <v>92747.667444626219</v>
      </c>
      <c r="BL95" s="33">
        <f>$AJ95/$AI95*AF95</f>
        <v>84309.126687614902</v>
      </c>
      <c r="BM95" s="33">
        <f>$AJ95/$AI95*AG95</f>
        <v>83420.435901712539</v>
      </c>
      <c r="BN95" s="33">
        <f>$AJ95/$AI95*AH95</f>
        <v>49897.237404470659</v>
      </c>
    </row>
    <row r="96" spans="1:66" x14ac:dyDescent="0.25">
      <c r="A96" s="1" t="s">
        <v>14</v>
      </c>
      <c r="B96" s="4">
        <v>22</v>
      </c>
      <c r="C96" s="4" t="s">
        <v>3</v>
      </c>
      <c r="D96" s="4" t="str">
        <f>A96&amp;C96</f>
        <v>EBP 2BUTCHERY</v>
      </c>
      <c r="E96" s="2">
        <v>71139.199999999997</v>
      </c>
      <c r="F96" s="2">
        <v>43285.48</v>
      </c>
      <c r="G96" s="2">
        <v>36534.230000000003</v>
      </c>
      <c r="H96" s="2">
        <v>55748.78</v>
      </c>
      <c r="I96" s="2">
        <v>53562.21</v>
      </c>
      <c r="J96" s="2">
        <v>69998.710000000006</v>
      </c>
      <c r="K96" s="2">
        <v>49492</v>
      </c>
      <c r="L96" s="2">
        <v>36840.82</v>
      </c>
      <c r="M96" s="2">
        <v>65547.47</v>
      </c>
      <c r="N96" s="2">
        <v>30552.76</v>
      </c>
      <c r="O96" s="2">
        <v>60633.71</v>
      </c>
      <c r="P96" s="2">
        <v>54827.09</v>
      </c>
      <c r="Q96" s="2">
        <v>59145.22</v>
      </c>
      <c r="R96" s="2">
        <v>40757.74</v>
      </c>
      <c r="S96" s="2">
        <v>37173.25</v>
      </c>
      <c r="T96" s="2">
        <v>32786.9</v>
      </c>
      <c r="U96" s="2">
        <v>38521.86</v>
      </c>
      <c r="V96" s="2">
        <v>45856.99</v>
      </c>
      <c r="W96" s="2">
        <v>61542.26</v>
      </c>
      <c r="X96" s="2">
        <v>65423.85</v>
      </c>
      <c r="Y96" s="2">
        <v>47687.32</v>
      </c>
      <c r="Z96" s="2">
        <v>41013.089999999997</v>
      </c>
      <c r="AA96" s="2">
        <v>48807.44</v>
      </c>
      <c r="AB96" s="2">
        <v>42528.91</v>
      </c>
      <c r="AC96" s="2">
        <v>57123.75</v>
      </c>
      <c r="AD96" s="2">
        <v>80143.100000000006</v>
      </c>
      <c r="AE96" s="2">
        <v>52027.14</v>
      </c>
      <c r="AF96" s="2">
        <v>63143.71</v>
      </c>
      <c r="AG96" s="2">
        <v>64787.63</v>
      </c>
      <c r="AH96" s="2">
        <v>48734.7</v>
      </c>
      <c r="AI96" s="24">
        <f>SUM(E96:AH96)</f>
        <v>1555367.3199999996</v>
      </c>
      <c r="AJ96" s="26">
        <v>1460103.5625627132</v>
      </c>
      <c r="AK96" s="33">
        <f>$AJ96/$AI96*E96</f>
        <v>66782.037929060636</v>
      </c>
      <c r="AL96" s="33">
        <f>$AJ96/$AI96*F96</f>
        <v>40634.313671472206</v>
      </c>
      <c r="AM96" s="33">
        <f>$AJ96/$AI96*G96</f>
        <v>34296.566921880272</v>
      </c>
      <c r="AN96" s="33">
        <f>$AJ96/$AI96*H96</f>
        <v>52334.256506382655</v>
      </c>
      <c r="AO96" s="33">
        <f>$AJ96/$AI96*I96</f>
        <v>50281.610417102114</v>
      </c>
      <c r="AP96" s="33">
        <f>$AJ96/$AI96*J96</f>
        <v>65711.401115071814</v>
      </c>
      <c r="AQ96" s="33">
        <f>$AJ96/$AI96*K96</f>
        <v>46460.694261181867</v>
      </c>
      <c r="AR96" s="33">
        <f>$AJ96/$AI96*L96</f>
        <v>34584.378775382567</v>
      </c>
      <c r="AS96" s="33">
        <f>$AJ96/$AI96*M96</f>
        <v>61532.792436433978</v>
      </c>
      <c r="AT96" s="33">
        <f>$AJ96/$AI96*N96</f>
        <v>28681.452380087019</v>
      </c>
      <c r="AU96" s="33">
        <f>$AJ96/$AI96*O96</f>
        <v>56919.992367072766</v>
      </c>
      <c r="AV96" s="33">
        <f>$AJ96/$AI96*P96</f>
        <v>51469.018542800884</v>
      </c>
      <c r="AW96" s="33">
        <f>$AJ96/$AI96*Q96</f>
        <v>55522.669995763739</v>
      </c>
      <c r="AX96" s="33">
        <f>$AJ96/$AI96*R96</f>
        <v>38261.393698309679</v>
      </c>
      <c r="AY96" s="33">
        <f>$AJ96/$AI96*S96</f>
        <v>34896.447970267494</v>
      </c>
      <c r="AZ96" s="33">
        <f>$AJ96/$AI96*T96</f>
        <v>30778.754883050671</v>
      </c>
      <c r="BA96" s="33">
        <f>$AJ96/$AI96*U96</f>
        <v>36162.457767559426</v>
      </c>
      <c r="BB96" s="33">
        <f>$AJ96/$AI96*V96</f>
        <v>43048.322802232164</v>
      </c>
      <c r="BC96" s="33">
        <f>$AJ96/$AI96*W96</f>
        <v>57772.895134610895</v>
      </c>
      <c r="BD96" s="33">
        <f>$AJ96/$AI96*X96</f>
        <v>61416.743963457186</v>
      </c>
      <c r="BE96" s="33">
        <f>$AJ96/$AI96*Y96</f>
        <v>44766.548020996182</v>
      </c>
      <c r="BF96" s="33">
        <f>$AJ96/$AI96*Z96</f>
        <v>38501.103919751375</v>
      </c>
      <c r="BG96" s="33">
        <f>$AJ96/$AI96*AA96</f>
        <v>45818.062464862567</v>
      </c>
      <c r="BH96" s="33">
        <f>$AJ96/$AI96*AB96</f>
        <v>39924.082372329271</v>
      </c>
      <c r="BI96" s="33">
        <f>$AJ96/$AI96*AC96</f>
        <v>53625.011795889994</v>
      </c>
      <c r="BJ96" s="33">
        <f>$AJ96/$AI96*AD96</f>
        <v>75234.463473759897</v>
      </c>
      <c r="BK96" s="33">
        <f>$AJ96/$AI96*AE96</f>
        <v>48840.560996195454</v>
      </c>
      <c r="BL96" s="33">
        <f>$AJ96/$AI96*AF96</f>
        <v>59276.258886824777</v>
      </c>
      <c r="BM96" s="33">
        <f>$AJ96/$AI96*AG96</f>
        <v>60819.49141955415</v>
      </c>
      <c r="BN96" s="33">
        <f>$AJ96/$AI96*AH96</f>
        <v>45749.777673369834</v>
      </c>
    </row>
    <row r="97" spans="1:66" ht="24.75" x14ac:dyDescent="0.25">
      <c r="A97" s="1" t="s">
        <v>15</v>
      </c>
      <c r="B97" s="4">
        <v>23</v>
      </c>
      <c r="C97" s="4" t="s">
        <v>3</v>
      </c>
      <c r="D97" s="4" t="str">
        <f>A97&amp;C97</f>
        <v>UTAWALA EXPRESSBUTCHERY</v>
      </c>
      <c r="E97" s="2">
        <v>25074.37</v>
      </c>
      <c r="F97" s="2">
        <v>19914.490000000002</v>
      </c>
      <c r="G97" s="2">
        <v>22037.919999999998</v>
      </c>
      <c r="H97" s="2">
        <v>29972.01</v>
      </c>
      <c r="I97" s="2">
        <v>29759.38</v>
      </c>
      <c r="J97" s="2">
        <v>39993.03</v>
      </c>
      <c r="K97" s="2">
        <v>35745.910000000003</v>
      </c>
      <c r="L97" s="2">
        <v>22720.76</v>
      </c>
      <c r="M97" s="2">
        <v>24060.6</v>
      </c>
      <c r="N97" s="2">
        <v>25572.57</v>
      </c>
      <c r="O97" s="2">
        <v>27976.09</v>
      </c>
      <c r="P97" s="2">
        <v>26777.93</v>
      </c>
      <c r="Q97" s="2">
        <v>42883.95</v>
      </c>
      <c r="R97" s="2">
        <v>28966.22</v>
      </c>
      <c r="S97" s="2">
        <v>18175.18</v>
      </c>
      <c r="T97" s="2">
        <v>19798.61</v>
      </c>
      <c r="U97" s="2">
        <v>26100.04</v>
      </c>
      <c r="V97" s="2">
        <v>34767.33</v>
      </c>
      <c r="W97" s="2">
        <v>33656.49</v>
      </c>
      <c r="X97" s="2">
        <v>44860.13</v>
      </c>
      <c r="Y97" s="2">
        <v>24012.240000000002</v>
      </c>
      <c r="Z97" s="2">
        <v>19883.830000000002</v>
      </c>
      <c r="AA97" s="2">
        <v>27744.080000000002</v>
      </c>
      <c r="AB97" s="2">
        <v>28632.69</v>
      </c>
      <c r="AC97" s="2">
        <v>37649.65</v>
      </c>
      <c r="AD97" s="2">
        <v>36303.620000000003</v>
      </c>
      <c r="AE97" s="2">
        <v>32485.34</v>
      </c>
      <c r="AF97" s="2">
        <v>36663.79</v>
      </c>
      <c r="AG97" s="2">
        <v>36855.31</v>
      </c>
      <c r="AH97" s="2">
        <v>26185.74</v>
      </c>
      <c r="AI97" s="24">
        <f>SUM(E97:AH97)</f>
        <v>885229.3</v>
      </c>
      <c r="AJ97" s="26">
        <v>554024.41020704026</v>
      </c>
      <c r="AK97" s="33">
        <f>$AJ97/$AI97*E97</f>
        <v>15692.897931149708</v>
      </c>
      <c r="AL97" s="33">
        <f>$AJ97/$AI97*F97</f>
        <v>12463.565741468343</v>
      </c>
      <c r="AM97" s="33">
        <f>$AJ97/$AI97*G97</f>
        <v>13792.523169070359</v>
      </c>
      <c r="AN97" s="33">
        <f>$AJ97/$AI97*H97</f>
        <v>18758.106134726349</v>
      </c>
      <c r="AO97" s="33">
        <f>$AJ97/$AI97*I97</f>
        <v>18625.030771831876</v>
      </c>
      <c r="AP97" s="33">
        <f>$AJ97/$AI97*J97</f>
        <v>25029.802852371093</v>
      </c>
      <c r="AQ97" s="33">
        <f>$AJ97/$AI97*K97</f>
        <v>22371.725275094199</v>
      </c>
      <c r="AR97" s="33">
        <f>$AJ97/$AI97*L97</f>
        <v>14219.881400735054</v>
      </c>
      <c r="AS97" s="33">
        <f>$AJ97/$AI97*M97</f>
        <v>15058.425793438504</v>
      </c>
      <c r="AT97" s="33">
        <f>$AJ97/$AI97*N97</f>
        <v>16004.698456917604</v>
      </c>
      <c r="AU97" s="33">
        <f>$AJ97/$AI97*O97</f>
        <v>17508.951366780424</v>
      </c>
      <c r="AV97" s="33">
        <f>$AJ97/$AI97*P97</f>
        <v>16759.077986704022</v>
      </c>
      <c r="AW97" s="33">
        <f>$AJ97/$AI97*Q97</f>
        <v>26839.097063436788</v>
      </c>
      <c r="AX97" s="33">
        <f>$AJ97/$AI97*R97</f>
        <v>18128.628312943747</v>
      </c>
      <c r="AY97" s="33">
        <f>$AJ97/$AI97*S97</f>
        <v>11375.011400895559</v>
      </c>
      <c r="AZ97" s="33">
        <f>$AJ97/$AI97*T97</f>
        <v>12391.041765302176</v>
      </c>
      <c r="BA97" s="33">
        <f>$AJ97/$AI97*U97</f>
        <v>16334.817732964961</v>
      </c>
      <c r="BB97" s="33">
        <f>$AJ97/$AI97*V97</f>
        <v>21759.276944090689</v>
      </c>
      <c r="BC97" s="33">
        <f>$AJ97/$AI97*W97</f>
        <v>21064.053146330727</v>
      </c>
      <c r="BD97" s="33">
        <f>$AJ97/$AI97*X97</f>
        <v>28075.897470927761</v>
      </c>
      <c r="BE97" s="33">
        <f>$AJ97/$AI97*Y97</f>
        <v>15028.159487886247</v>
      </c>
      <c r="BF97" s="33">
        <f>$AJ97/$AI97*Z97</f>
        <v>12444.377053953202</v>
      </c>
      <c r="BG97" s="33">
        <f>$AJ97/$AI97*AA97</f>
        <v>17363.746950916495</v>
      </c>
      <c r="BH97" s="33">
        <f>$AJ97/$AI97*AB97</f>
        <v>17919.88718616862</v>
      </c>
      <c r="BI97" s="33">
        <f>$AJ97/$AI97*AC97</f>
        <v>23563.18880966942</v>
      </c>
      <c r="BJ97" s="33">
        <f>$AJ97/$AI97*AD97</f>
        <v>22720.770379923611</v>
      </c>
      <c r="BK97" s="33">
        <f>$AJ97/$AI97*AE97</f>
        <v>20331.084086208142</v>
      </c>
      <c r="BL97" s="33">
        <f>$AJ97/$AI97*AF97</f>
        <v>22946.184260625785</v>
      </c>
      <c r="BM97" s="33">
        <f>$AJ97/$AI97*AG97</f>
        <v>23066.04784291215</v>
      </c>
      <c r="BN97" s="33">
        <f>$AJ97/$AI97*AH97</f>
        <v>16388.453431596652</v>
      </c>
    </row>
    <row r="98" spans="1:66" ht="24.75" x14ac:dyDescent="0.25">
      <c r="A98" s="1" t="s">
        <v>18</v>
      </c>
      <c r="B98" s="4">
        <v>24</v>
      </c>
      <c r="C98" s="4" t="s">
        <v>3</v>
      </c>
      <c r="D98" s="4" t="str">
        <f>A98&amp;C98</f>
        <v>KAHAWA WESTBUTCHERY</v>
      </c>
      <c r="E98" s="2">
        <v>45951.99</v>
      </c>
      <c r="F98" s="2">
        <v>46899.1</v>
      </c>
      <c r="G98" s="2">
        <v>32067.88</v>
      </c>
      <c r="H98" s="2">
        <v>64143.88</v>
      </c>
      <c r="I98" s="2">
        <v>71280.45</v>
      </c>
      <c r="J98" s="2">
        <v>58981.64</v>
      </c>
      <c r="K98" s="2">
        <v>38337.46</v>
      </c>
      <c r="L98" s="2">
        <v>39076.43</v>
      </c>
      <c r="M98" s="2">
        <v>31658.85</v>
      </c>
      <c r="N98" s="2">
        <v>37712.89</v>
      </c>
      <c r="O98" s="2">
        <v>51748.71</v>
      </c>
      <c r="P98" s="2">
        <v>64683.63</v>
      </c>
      <c r="Q98" s="2">
        <v>51049.68</v>
      </c>
      <c r="R98" s="2">
        <v>34075.56</v>
      </c>
      <c r="S98" s="2">
        <v>36568.089999999997</v>
      </c>
      <c r="T98" s="2">
        <v>36560.800000000003</v>
      </c>
      <c r="U98" s="2">
        <v>38172.51</v>
      </c>
      <c r="V98" s="2">
        <v>44202.57</v>
      </c>
      <c r="W98" s="2">
        <v>49251.34</v>
      </c>
      <c r="X98" s="2">
        <v>56559.17</v>
      </c>
      <c r="Y98" s="2">
        <v>44617.59</v>
      </c>
      <c r="Z98" s="2">
        <v>36760.18</v>
      </c>
      <c r="AA98" s="2">
        <v>38269.39</v>
      </c>
      <c r="AB98" s="2">
        <v>31174.79</v>
      </c>
      <c r="AC98" s="2">
        <v>68010.880000000005</v>
      </c>
      <c r="AD98" s="2">
        <v>51404.46</v>
      </c>
      <c r="AE98" s="2">
        <v>49134.49</v>
      </c>
      <c r="AF98" s="2">
        <v>75128.28</v>
      </c>
      <c r="AG98" s="2">
        <v>80948.3</v>
      </c>
      <c r="AH98" s="2">
        <v>45452.91</v>
      </c>
      <c r="AI98" s="24">
        <f>SUM(E98:AH98)</f>
        <v>1449883.9</v>
      </c>
      <c r="AJ98" s="26">
        <v>1316751.2239801413</v>
      </c>
      <c r="AK98" s="33">
        <f>$AJ98/$AI98*E98</f>
        <v>41732.540844700197</v>
      </c>
      <c r="AL98" s="33">
        <f>$AJ98/$AI98*F98</f>
        <v>42592.684371877673</v>
      </c>
      <c r="AM98" s="33">
        <f>$AJ98/$AI98*G98</f>
        <v>29123.31134958344</v>
      </c>
      <c r="AN98" s="33">
        <f>$AJ98/$AI98*H98</f>
        <v>58253.997096481529</v>
      </c>
      <c r="AO98" s="33">
        <f>$AJ98/$AI98*I98</f>
        <v>64735.265894983226</v>
      </c>
      <c r="AP98" s="33">
        <f>$AJ98/$AI98*J98</f>
        <v>53565.769412541289</v>
      </c>
      <c r="AQ98" s="33">
        <f>$AJ98/$AI98*K98</f>
        <v>34817.199762884266</v>
      </c>
      <c r="AR98" s="33">
        <f>$AJ98/$AI98*L98</f>
        <v>35488.315327368153</v>
      </c>
      <c r="AS98" s="33">
        <f>$AJ98/$AI98*M98</f>
        <v>28751.839707512925</v>
      </c>
      <c r="AT98" s="33">
        <f>$AJ98/$AI98*N98</f>
        <v>34249.979648252134</v>
      </c>
      <c r="AU98" s="33">
        <f>$AJ98/$AI98*O98</f>
        <v>46996.988677433677</v>
      </c>
      <c r="AV98" s="33">
        <f>$AJ98/$AI98*P98</f>
        <v>58744.185637193841</v>
      </c>
      <c r="AW98" s="33">
        <f>$AJ98/$AI98*Q98</f>
        <v>46362.145702696987</v>
      </c>
      <c r="AX98" s="33">
        <f>$AJ98/$AI98*R98</f>
        <v>30946.640167401503</v>
      </c>
      <c r="AY98" s="33">
        <f>$AJ98/$AI98*S98</f>
        <v>33210.298608127152</v>
      </c>
      <c r="AZ98" s="33">
        <f>$AJ98/$AI98*T98</f>
        <v>33203.677997730134</v>
      </c>
      <c r="BA98" s="33">
        <f>$AJ98/$AI98*U98</f>
        <v>34667.395965217758</v>
      </c>
      <c r="BB98" s="33">
        <f>$AJ98/$AI98*V98</f>
        <v>40143.757821276507</v>
      </c>
      <c r="BC98" s="33">
        <f>$AJ98/$AI98*W98</f>
        <v>44728.934659983533</v>
      </c>
      <c r="BD98" s="33">
        <f>$AJ98/$AI98*X98</f>
        <v>51365.73785307975</v>
      </c>
      <c r="BE98" s="33">
        <f>$AJ98/$AI98*Y98</f>
        <v>40520.669443632083</v>
      </c>
      <c r="BF98" s="33">
        <f>$AJ98/$AI98*Z98</f>
        <v>33384.750329823175</v>
      </c>
      <c r="BG98" s="33">
        <f>$AJ98/$AI98*AA98</f>
        <v>34755.380153868449</v>
      </c>
      <c r="BH98" s="33">
        <f>$AJ98/$AI98*AB98</f>
        <v>28312.227544442609</v>
      </c>
      <c r="BI98" s="33">
        <f>$AJ98/$AI98*AC98</f>
        <v>61765.917591033685</v>
      </c>
      <c r="BJ98" s="33">
        <f>$AJ98/$AI98*AD98</f>
        <v>46684.348742018738</v>
      </c>
      <c r="BK98" s="33">
        <f>$AJ98/$AI98*AE98</f>
        <v>44622.814176459244</v>
      </c>
      <c r="BL98" s="33">
        <f>$AJ98/$AI98*AF98</f>
        <v>68229.776636269133</v>
      </c>
      <c r="BM98" s="33">
        <f>$AJ98/$AI98*AG98</f>
        <v>73515.384993316839</v>
      </c>
      <c r="BN98" s="33">
        <f>$AJ98/$AI98*AH98</f>
        <v>41279.287862951795</v>
      </c>
    </row>
    <row r="99" spans="1:66" x14ac:dyDescent="0.25">
      <c r="A99" s="1" t="s">
        <v>26</v>
      </c>
      <c r="B99" s="4">
        <v>25</v>
      </c>
      <c r="C99" s="4" t="s">
        <v>3</v>
      </c>
      <c r="D99" s="4" t="str">
        <f>A99&amp;C99</f>
        <v>ROYSAMBUBUTCHERY</v>
      </c>
      <c r="E99" s="2">
        <v>17115.89</v>
      </c>
      <c r="F99" s="2">
        <v>26972.65</v>
      </c>
      <c r="G99" s="2">
        <v>22759.81</v>
      </c>
      <c r="H99" s="2">
        <v>25768.65</v>
      </c>
      <c r="I99" s="2">
        <v>35743.08</v>
      </c>
      <c r="J99" s="2">
        <v>20350.97</v>
      </c>
      <c r="K99" s="2">
        <v>15412.25</v>
      </c>
      <c r="L99" s="2">
        <v>23092.42</v>
      </c>
      <c r="M99" s="2">
        <v>16303.97</v>
      </c>
      <c r="N99" s="2">
        <v>13880.62</v>
      </c>
      <c r="O99" s="2">
        <v>16106.77</v>
      </c>
      <c r="P99" s="2">
        <v>35686.93</v>
      </c>
      <c r="Q99" s="2">
        <v>21571.74</v>
      </c>
      <c r="R99" s="2">
        <v>17215.599999999999</v>
      </c>
      <c r="S99" s="2">
        <v>20887.14</v>
      </c>
      <c r="T99" s="2">
        <v>20292.8</v>
      </c>
      <c r="U99" s="2">
        <v>24619.32</v>
      </c>
      <c r="V99" s="2">
        <v>32849.370000000003</v>
      </c>
      <c r="W99" s="2">
        <v>31693.52</v>
      </c>
      <c r="X99" s="2">
        <v>30880.77</v>
      </c>
      <c r="Y99" s="2">
        <v>22739.39</v>
      </c>
      <c r="Z99" s="2">
        <v>19611.86</v>
      </c>
      <c r="AA99" s="2">
        <v>25447.57</v>
      </c>
      <c r="AB99" s="2">
        <v>26671.55</v>
      </c>
      <c r="AC99" s="2">
        <v>26892.880000000001</v>
      </c>
      <c r="AD99" s="2">
        <v>29163.119999999999</v>
      </c>
      <c r="AE99" s="2">
        <v>24649.49</v>
      </c>
      <c r="AF99" s="2">
        <v>28136.3</v>
      </c>
      <c r="AG99" s="2">
        <v>28930.17</v>
      </c>
      <c r="AH99" s="2">
        <v>16864.93</v>
      </c>
      <c r="AI99" s="24">
        <f>SUM(E99:AH99)</f>
        <v>718311.53000000014</v>
      </c>
      <c r="AJ99" s="26">
        <v>662182.40996575239</v>
      </c>
      <c r="AK99" s="33">
        <f>$AJ99/$AI99*E99</f>
        <v>15778.448229709913</v>
      </c>
      <c r="AL99" s="33">
        <f>$AJ99/$AI99*F99</f>
        <v>24864.99747562558</v>
      </c>
      <c r="AM99" s="33">
        <f>$AJ99/$AI99*G99</f>
        <v>20981.350300979615</v>
      </c>
      <c r="AN99" s="33">
        <f>$AJ99/$AI99*H99</f>
        <v>23755.078466531064</v>
      </c>
      <c r="AO99" s="33">
        <f>$AJ99/$AI99*I99</f>
        <v>32950.102936533236</v>
      </c>
      <c r="AP99" s="33">
        <f>$AJ99/$AI99*J99</f>
        <v>18760.737920691216</v>
      </c>
      <c r="AQ99" s="33">
        <f>$AJ99/$AI99*K99</f>
        <v>14207.931269034016</v>
      </c>
      <c r="AR99" s="33">
        <f>$AJ99/$AI99*L99</f>
        <v>21287.970036540184</v>
      </c>
      <c r="AS99" s="33">
        <f>$AJ99/$AI99*M99</f>
        <v>15029.971949091956</v>
      </c>
      <c r="AT99" s="33">
        <f>$AJ99/$AI99*N99</f>
        <v>12795.983385396614</v>
      </c>
      <c r="AU99" s="33">
        <f>$AJ99/$AI99*O99</f>
        <v>14848.181227668836</v>
      </c>
      <c r="AV99" s="33">
        <f>$AJ99/$AI99*P99</f>
        <v>32898.340517629033</v>
      </c>
      <c r="AW99" s="33">
        <f>$AJ99/$AI99*Q99</f>
        <v>19886.116515983835</v>
      </c>
      <c r="AX99" s="33">
        <f>$AJ99/$AI99*R99</f>
        <v>15870.36685462421</v>
      </c>
      <c r="AY99" s="33">
        <f>$AJ99/$AI99*S99</f>
        <v>19255.011404998695</v>
      </c>
      <c r="AZ99" s="33">
        <f>$AJ99/$AI99*T99</f>
        <v>18707.113345309961</v>
      </c>
      <c r="BA99" s="33">
        <f>$AJ99/$AI99*U99</f>
        <v>22695.557524070431</v>
      </c>
      <c r="BB99" s="33">
        <f>$AJ99/$AI99*V99</f>
        <v>30282.508471577345</v>
      </c>
      <c r="BC99" s="33">
        <f>$AJ99/$AI99*W99</f>
        <v>29216.977004250188</v>
      </c>
      <c r="BD99" s="33">
        <f>$AJ99/$AI99*X99</f>
        <v>28467.735580129283</v>
      </c>
      <c r="BE99" s="33">
        <f>$AJ99/$AI99*Y99</f>
        <v>20962.52592708783</v>
      </c>
      <c r="BF99" s="33">
        <f>$AJ99/$AI99*Z99</f>
        <v>18079.38224061493</v>
      </c>
      <c r="BG99" s="33">
        <f>$AJ99/$AI99*AA99</f>
        <v>23459.087772643965</v>
      </c>
      <c r="BH99" s="33">
        <f>$AJ99/$AI99*AB99</f>
        <v>24587.425537387739</v>
      </c>
      <c r="BI99" s="33">
        <f>$AJ99/$AI99*AC99</f>
        <v>24791.460731974857</v>
      </c>
      <c r="BJ99" s="33">
        <f>$AJ99/$AI99*AD99</f>
        <v>26884.303365867494</v>
      </c>
      <c r="BK99" s="33">
        <f>$AJ99/$AI99*AE99</f>
        <v>22723.370029472742</v>
      </c>
      <c r="BL99" s="33">
        <f>$AJ99/$AI99*AF99</f>
        <v>25937.719448161155</v>
      </c>
      <c r="BM99" s="33">
        <f>$AJ99/$AI99*AG99</f>
        <v>26669.556162239114</v>
      </c>
      <c r="BN99" s="33">
        <f>$AJ99/$AI99*AH99</f>
        <v>15547.098333927222</v>
      </c>
    </row>
    <row r="100" spans="1:66" x14ac:dyDescent="0.25">
      <c r="A100" s="1" t="s">
        <v>27</v>
      </c>
      <c r="B100" s="4">
        <v>26</v>
      </c>
      <c r="C100" s="4" t="s">
        <v>3</v>
      </c>
      <c r="D100" s="4" t="str">
        <f>A100&amp;C100</f>
        <v>BURUBURUBUTCHERY</v>
      </c>
      <c r="E100" s="2">
        <v>60719.7</v>
      </c>
      <c r="F100" s="2">
        <v>62388.46</v>
      </c>
      <c r="G100" s="2">
        <v>55018.62</v>
      </c>
      <c r="H100" s="2">
        <v>60836.27</v>
      </c>
      <c r="I100" s="2">
        <v>81330.38</v>
      </c>
      <c r="J100" s="2">
        <v>74026.289999999994</v>
      </c>
      <c r="K100" s="2">
        <v>46939.4</v>
      </c>
      <c r="L100" s="2">
        <v>31713.89</v>
      </c>
      <c r="M100" s="2">
        <v>38495.03</v>
      </c>
      <c r="N100" s="2">
        <v>60500.83</v>
      </c>
      <c r="O100" s="2">
        <v>63060.32</v>
      </c>
      <c r="P100" s="2">
        <v>77821.460000000006</v>
      </c>
      <c r="Q100" s="2">
        <v>60969.71</v>
      </c>
      <c r="R100" s="2">
        <v>48382.55</v>
      </c>
      <c r="S100" s="2">
        <v>38880.46</v>
      </c>
      <c r="T100" s="2">
        <v>48436.7</v>
      </c>
      <c r="U100" s="2">
        <v>51218.87</v>
      </c>
      <c r="V100" s="2">
        <v>44329.67</v>
      </c>
      <c r="W100" s="2">
        <v>67434.63</v>
      </c>
      <c r="X100" s="2">
        <v>85884.21</v>
      </c>
      <c r="Y100" s="2">
        <v>49282.37</v>
      </c>
      <c r="Z100" s="2">
        <v>44795.78</v>
      </c>
      <c r="AA100" s="2">
        <v>55216.37</v>
      </c>
      <c r="AB100" s="2">
        <v>41816.730000000003</v>
      </c>
      <c r="AC100" s="2">
        <v>59176.91</v>
      </c>
      <c r="AD100" s="2">
        <v>81045.77</v>
      </c>
      <c r="AE100" s="2">
        <v>76176.98</v>
      </c>
      <c r="AF100" s="2">
        <v>78884.34</v>
      </c>
      <c r="AG100" s="2">
        <v>88633.05</v>
      </c>
      <c r="AH100" s="2">
        <v>76985.27</v>
      </c>
      <c r="AI100" s="24">
        <f>SUM(E100:AH100)</f>
        <v>1810401.02</v>
      </c>
      <c r="AJ100" s="26">
        <v>1505965.5209531398</v>
      </c>
      <c r="AK100" s="33">
        <f>$AJ100/$AI100*E100</f>
        <v>50509.126780440252</v>
      </c>
      <c r="AL100" s="33">
        <f>$AJ100/$AI100*F100</f>
        <v>51897.269515106724</v>
      </c>
      <c r="AM100" s="33">
        <f>$AJ100/$AI100*G100</f>
        <v>45766.735554768326</v>
      </c>
      <c r="AN100" s="33">
        <f>$AJ100/$AI100*H100</f>
        <v>50606.094468172509</v>
      </c>
      <c r="AO100" s="33">
        <f>$AJ100/$AI100*I100</f>
        <v>67653.932323799076</v>
      </c>
      <c r="AP100" s="33">
        <f>$AJ100/$AI100*J100</f>
        <v>61578.09189926229</v>
      </c>
      <c r="AQ100" s="33">
        <f>$AJ100/$AI100*K100</f>
        <v>39046.110333183424</v>
      </c>
      <c r="AR100" s="33">
        <f>$AJ100/$AI100*L100</f>
        <v>26380.909172985645</v>
      </c>
      <c r="AS100" s="33">
        <f>$AJ100/$AI100*M100</f>
        <v>32021.738425697939</v>
      </c>
      <c r="AT100" s="33">
        <f>$AJ100/$AI100*N100</f>
        <v>50327.06177388662</v>
      </c>
      <c r="AU100" s="33">
        <f>$AJ100/$AI100*O100</f>
        <v>52456.150107710222</v>
      </c>
      <c r="AV100" s="33">
        <f>$AJ100/$AI100*P100</f>
        <v>64735.069333000007</v>
      </c>
      <c r="AW100" s="33">
        <f>$AJ100/$AI100*Q100</f>
        <v>50717.095311022225</v>
      </c>
      <c r="AX100" s="33">
        <f>$AJ100/$AI100*R100</f>
        <v>40246.581453976054</v>
      </c>
      <c r="AY100" s="33">
        <f>$AJ100/$AI100*S100</f>
        <v>32342.354844010035</v>
      </c>
      <c r="AZ100" s="33">
        <f>$AJ100/$AI100*T100</f>
        <v>40291.625635932825</v>
      </c>
      <c r="BA100" s="33">
        <f>$AJ100/$AI100*U100</f>
        <v>42605.948289943597</v>
      </c>
      <c r="BB100" s="33">
        <f>$AJ100/$AI100*V100</f>
        <v>36875.230315121436</v>
      </c>
      <c r="BC100" s="33">
        <f>$AJ100/$AI100*W100</f>
        <v>56094.87985056053</v>
      </c>
      <c r="BD100" s="33">
        <f>$AJ100/$AI100*X100</f>
        <v>71441.994135806919</v>
      </c>
      <c r="BE100" s="33">
        <f>$AJ100/$AI100*Y100</f>
        <v>40995.088486447821</v>
      </c>
      <c r="BF100" s="33">
        <f>$AJ100/$AI100*Z100</f>
        <v>37262.959653106162</v>
      </c>
      <c r="BG100" s="33">
        <f>$AJ100/$AI100*AA100</f>
        <v>45931.232082597548</v>
      </c>
      <c r="BH100" s="33">
        <f>$AJ100/$AI100*AB100</f>
        <v>34784.86417280454</v>
      </c>
      <c r="BI100" s="33">
        <f>$AJ100/$AI100*AC100</f>
        <v>49225.77103748377</v>
      </c>
      <c r="BJ100" s="33">
        <f>$AJ100/$AI100*AD100</f>
        <v>67417.182099852304</v>
      </c>
      <c r="BK100" s="33">
        <f>$AJ100/$AI100*AE100</f>
        <v>63367.123694139824</v>
      </c>
      <c r="BL100" s="33">
        <f>$AJ100/$AI100*AF100</f>
        <v>65619.216334259792</v>
      </c>
      <c r="BM100" s="33">
        <f>$AJ100/$AI100*AG100</f>
        <v>73728.591534330713</v>
      </c>
      <c r="BN100" s="33">
        <f>$AJ100/$AI100*AH100</f>
        <v>64039.492333730639</v>
      </c>
    </row>
    <row r="101" spans="1:66" x14ac:dyDescent="0.25">
      <c r="A101" s="1" t="s">
        <v>30</v>
      </c>
      <c r="B101" s="4">
        <v>27</v>
      </c>
      <c r="C101" s="4" t="s">
        <v>3</v>
      </c>
      <c r="D101" s="4" t="str">
        <f>A101&amp;C101</f>
        <v>TOM MBOYABUTCHERY</v>
      </c>
      <c r="E101" s="2">
        <v>5253.43</v>
      </c>
      <c r="F101" s="42">
        <v>2845.06</v>
      </c>
      <c r="G101" s="2">
        <v>3561.32</v>
      </c>
      <c r="H101" s="2">
        <v>6028</v>
      </c>
      <c r="I101" s="2">
        <v>3251.68</v>
      </c>
      <c r="J101" s="2">
        <v>3648.84</v>
      </c>
      <c r="K101" s="42">
        <v>2122.5100000000002</v>
      </c>
      <c r="L101" s="2">
        <v>1286.03</v>
      </c>
      <c r="M101" s="2">
        <v>2845.06</v>
      </c>
      <c r="N101" s="2">
        <v>3550.35</v>
      </c>
      <c r="O101" s="2">
        <v>7432.24</v>
      </c>
      <c r="P101" s="2">
        <v>5393.75</v>
      </c>
      <c r="Q101" s="2">
        <v>2404.31</v>
      </c>
      <c r="R101" s="2">
        <v>3591.11</v>
      </c>
      <c r="S101" s="2">
        <v>2713.87</v>
      </c>
      <c r="T101" s="2">
        <v>3566.55</v>
      </c>
      <c r="U101" s="2">
        <v>5654.3</v>
      </c>
      <c r="V101" s="2">
        <v>5723.61</v>
      </c>
      <c r="W101" s="2">
        <v>9291.77</v>
      </c>
      <c r="X101" s="42">
        <v>2404.31</v>
      </c>
      <c r="Y101" s="42">
        <v>3591.11</v>
      </c>
      <c r="Z101" s="3">
        <v>843.7</v>
      </c>
      <c r="AA101" s="2">
        <v>1593</v>
      </c>
      <c r="AB101" s="2">
        <v>2761.7</v>
      </c>
      <c r="AC101" s="2">
        <v>6973.53</v>
      </c>
      <c r="AD101" s="2">
        <v>9180.25</v>
      </c>
      <c r="AE101" s="2">
        <v>2729.76</v>
      </c>
      <c r="AF101" s="2">
        <v>10710.88</v>
      </c>
      <c r="AG101" s="2">
        <v>3305.87</v>
      </c>
      <c r="AH101" s="2">
        <v>2122.5100000000002</v>
      </c>
      <c r="AI101" s="24">
        <f>SUM(E101:AH101)</f>
        <v>126380.40999999999</v>
      </c>
      <c r="AJ101" s="26">
        <v>37249.406943518552</v>
      </c>
      <c r="AK101" s="33">
        <f>$AJ101/$AI101*E101</f>
        <v>1548.3978246255783</v>
      </c>
      <c r="AL101" s="33">
        <f>$AJ101/$AI101*F101</f>
        <v>838.55399518585898</v>
      </c>
      <c r="AM101" s="33">
        <f>$AJ101/$AI101*G101</f>
        <v>1049.664722056935</v>
      </c>
      <c r="AN101" s="33">
        <f>$AJ101/$AI101*H101</f>
        <v>1776.6948616128864</v>
      </c>
      <c r="AO101" s="33">
        <f>$AJ101/$AI101*I101</f>
        <v>958.40131844880386</v>
      </c>
      <c r="AP101" s="33">
        <f>$AJ101/$AI101*J101</f>
        <v>1075.4603979508236</v>
      </c>
      <c r="AQ101" s="33">
        <f>$AJ101/$AI101*K101</f>
        <v>625.58935148008754</v>
      </c>
      <c r="AR101" s="33">
        <f>$AJ101/$AI101*L101</f>
        <v>379.04493909754814</v>
      </c>
      <c r="AS101" s="33">
        <f>$AJ101/$AI101*M101</f>
        <v>838.55399518585898</v>
      </c>
      <c r="AT101" s="33">
        <f>$AJ101/$AI101*N101</f>
        <v>1046.4314203595407</v>
      </c>
      <c r="AU101" s="33">
        <f>$AJ101/$AI101*O101</f>
        <v>2190.5810581077899</v>
      </c>
      <c r="AV101" s="33">
        <f>$AJ101/$AI101*P101</f>
        <v>1589.7557912781197</v>
      </c>
      <c r="AW101" s="33">
        <f>$AJ101/$AI101*Q101</f>
        <v>708.64718359729238</v>
      </c>
      <c r="AX101" s="33">
        <f>$AJ101/$AI101*R101</f>
        <v>1058.4450372406523</v>
      </c>
      <c r="AY101" s="33">
        <f>$AJ101/$AI101*S101</f>
        <v>799.8870079770013</v>
      </c>
      <c r="AZ101" s="33">
        <f>$AJ101/$AI101*T101</f>
        <v>1051.2062141150366</v>
      </c>
      <c r="BA101" s="33">
        <f>$AJ101/$AI101*U101</f>
        <v>1666.5503908456774</v>
      </c>
      <c r="BB101" s="33">
        <f>$AJ101/$AI101*V101</f>
        <v>1686.9788448699621</v>
      </c>
      <c r="BC101" s="33">
        <f>$AJ101/$AI101*W101</f>
        <v>2738.6595909569955</v>
      </c>
      <c r="BD101" s="33">
        <f>$AJ101/$AI101*X101</f>
        <v>708.64718359729238</v>
      </c>
      <c r="BE101" s="33">
        <f>$AJ101/$AI101*Y101</f>
        <v>1058.4450372406523</v>
      </c>
      <c r="BF101" s="33">
        <f>$AJ101/$AI101*Z101</f>
        <v>248.67243774764304</v>
      </c>
      <c r="BG101" s="33">
        <f>$AJ101/$AI101*AA101</f>
        <v>469.52138595708823</v>
      </c>
      <c r="BH101" s="33">
        <f>$AJ101/$AI101*AB101</f>
        <v>813.98443916992494</v>
      </c>
      <c r="BI101" s="33">
        <f>$AJ101/$AI101*AC101</f>
        <v>2055.3807097384392</v>
      </c>
      <c r="BJ101" s="33">
        <f>$AJ101/$AI101*AD101</f>
        <v>2705.7901465364466</v>
      </c>
      <c r="BK101" s="33">
        <f>$AJ101/$AI101*AE101</f>
        <v>804.57043222236109</v>
      </c>
      <c r="BL101" s="33">
        <f>$AJ101/$AI101*AF101</f>
        <v>3156.9285765348754</v>
      </c>
      <c r="BM101" s="33">
        <f>$AJ101/$AI101*AG101</f>
        <v>974.37329830129272</v>
      </c>
      <c r="BN101" s="33">
        <f>$AJ101/$AI101*AH101</f>
        <v>625.58935148008754</v>
      </c>
    </row>
    <row r="102" spans="1:66" x14ac:dyDescent="0.25">
      <c r="A102" s="1" t="s">
        <v>28</v>
      </c>
      <c r="B102" s="4">
        <v>28</v>
      </c>
      <c r="C102" s="4" t="s">
        <v>3</v>
      </c>
      <c r="D102" s="4" t="str">
        <f>A102&amp;C102</f>
        <v>KERICHOBUTCHERY</v>
      </c>
      <c r="E102" s="2">
        <v>1357</v>
      </c>
      <c r="F102" s="2">
        <v>1926.35</v>
      </c>
      <c r="G102" s="3">
        <v>758.15</v>
      </c>
      <c r="H102" s="2">
        <v>2504.5500000000002</v>
      </c>
      <c r="I102" s="2">
        <v>3708.15</v>
      </c>
      <c r="J102" s="2">
        <v>2144.65</v>
      </c>
      <c r="K102" s="2">
        <v>1348.15</v>
      </c>
      <c r="L102" s="2">
        <v>2253.8000000000002</v>
      </c>
      <c r="M102" s="2">
        <v>1180</v>
      </c>
      <c r="N102" s="32">
        <v>590</v>
      </c>
      <c r="O102" s="2">
        <v>4460.3999999999996</v>
      </c>
      <c r="P102" s="2">
        <v>6003.25</v>
      </c>
      <c r="Q102" s="42">
        <v>2144.65</v>
      </c>
      <c r="R102" s="32">
        <v>590</v>
      </c>
      <c r="S102" s="43">
        <v>719.8</v>
      </c>
      <c r="T102" s="2">
        <v>1272.4000000000001</v>
      </c>
      <c r="U102" s="2">
        <v>2088.6</v>
      </c>
      <c r="V102" s="2">
        <v>1694.6</v>
      </c>
      <c r="W102" s="2">
        <v>2815.8</v>
      </c>
      <c r="X102" s="2">
        <v>3947.7</v>
      </c>
      <c r="Y102" s="2">
        <v>3251.85</v>
      </c>
      <c r="Z102" s="3">
        <v>719.8</v>
      </c>
      <c r="AA102" s="2">
        <v>2489.8000000000002</v>
      </c>
      <c r="AB102" s="2">
        <v>1770</v>
      </c>
      <c r="AC102" s="2">
        <v>4454.5</v>
      </c>
      <c r="AD102" s="3">
        <v>590</v>
      </c>
      <c r="AE102" s="2">
        <v>1941.1</v>
      </c>
      <c r="AF102" s="2">
        <v>2330.1999999999998</v>
      </c>
      <c r="AG102" s="2">
        <v>2338.86</v>
      </c>
      <c r="AH102" s="3">
        <v>761.1</v>
      </c>
      <c r="AI102" s="24">
        <f>SUM(E102:AH102)</f>
        <v>64155.209999999992</v>
      </c>
      <c r="AJ102" s="26">
        <v>31056.55837044588</v>
      </c>
      <c r="AK102" s="33">
        <f>$AJ102/$AI102*E102</f>
        <v>656.90299679005125</v>
      </c>
      <c r="AL102" s="33">
        <f>$AJ102/$AI102*F102</f>
        <v>932.51664544326843</v>
      </c>
      <c r="AM102" s="33">
        <f>$AJ102/$AI102*G102</f>
        <v>367.0088482066156</v>
      </c>
      <c r="AN102" s="33">
        <f>$AJ102/$AI102*H102</f>
        <v>1212.4144440755513</v>
      </c>
      <c r="AO102" s="33">
        <f>$AJ102/$AI102*I102</f>
        <v>1795.0588412284662</v>
      </c>
      <c r="AP102" s="33">
        <f>$AJ102/$AI102*J102</f>
        <v>1038.1923449268854</v>
      </c>
      <c r="AQ102" s="33">
        <f>$AJ102/$AI102*K102</f>
        <v>652.61884681098581</v>
      </c>
      <c r="AR102" s="33">
        <f>$AJ102/$AI102*L102</f>
        <v>1091.0301946686939</v>
      </c>
      <c r="AS102" s="33">
        <f>$AJ102/$AI102*M102</f>
        <v>571.21999720874021</v>
      </c>
      <c r="AT102" s="33">
        <f>$AJ102/$AI102*N102</f>
        <v>285.60999860437011</v>
      </c>
      <c r="AU102" s="33">
        <f>$AJ102/$AI102*O102</f>
        <v>2159.211589449038</v>
      </c>
      <c r="AV102" s="33">
        <f>$AJ102/$AI102*P102</f>
        <v>2906.0817357994661</v>
      </c>
      <c r="AW102" s="33">
        <f>$AJ102/$AI102*Q102</f>
        <v>1038.1923449268854</v>
      </c>
      <c r="AX102" s="33">
        <f>$AJ102/$AI102*R102</f>
        <v>285.60999860437011</v>
      </c>
      <c r="AY102" s="33">
        <f>$AJ102/$AI102*S102</f>
        <v>348.44419829733152</v>
      </c>
      <c r="AZ102" s="33">
        <f>$AJ102/$AI102*T102</f>
        <v>615.94942749864504</v>
      </c>
      <c r="BA102" s="33">
        <f>$AJ102/$AI102*U102</f>
        <v>1011.0593950594703</v>
      </c>
      <c r="BB102" s="33">
        <f>$AJ102/$AI102*V102</f>
        <v>820.33000616095865</v>
      </c>
      <c r="BC102" s="33">
        <f>$AJ102/$AI102*W102</f>
        <v>1363.0858204579415</v>
      </c>
      <c r="BD102" s="33">
        <f>$AJ102/$AI102*X102</f>
        <v>1911.0213415092744</v>
      </c>
      <c r="BE102" s="33">
        <f>$AJ102/$AI102*Y102</f>
        <v>1574.1709728163066</v>
      </c>
      <c r="BF102" s="33">
        <f>$AJ102/$AI102*Z102</f>
        <v>348.44419829733152</v>
      </c>
      <c r="BG102" s="33">
        <f>$AJ102/$AI102*AA102</f>
        <v>1205.2741941104421</v>
      </c>
      <c r="BH102" s="33">
        <f>$AJ102/$AI102*AB102</f>
        <v>856.82999581311037</v>
      </c>
      <c r="BI102" s="33">
        <f>$AJ102/$AI102*AC102</f>
        <v>2156.3554894629947</v>
      </c>
      <c r="BJ102" s="33">
        <f>$AJ102/$AI102*AD102</f>
        <v>285.60999860437011</v>
      </c>
      <c r="BK102" s="33">
        <f>$AJ102/$AI102*AE102</f>
        <v>939.65689540837764</v>
      </c>
      <c r="BL102" s="33">
        <f>$AJ102/$AI102*AF102</f>
        <v>1128.0142690642429</v>
      </c>
      <c r="BM102" s="33">
        <f>$AJ102/$AI102*AG102</f>
        <v>1132.2064429420629</v>
      </c>
      <c r="BN102" s="33">
        <f>$AJ102/$AI102*AH102</f>
        <v>368.43689819963748</v>
      </c>
    </row>
    <row r="103" spans="1:66" x14ac:dyDescent="0.25">
      <c r="A103" s="1" t="s">
        <v>29</v>
      </c>
      <c r="B103" s="4">
        <v>29</v>
      </c>
      <c r="C103" s="4" t="s">
        <v>3</v>
      </c>
      <c r="D103" s="4" t="str">
        <f>A103&amp;C103</f>
        <v>MFANGANOBUTCHERY</v>
      </c>
      <c r="E103" s="2">
        <v>51002.77</v>
      </c>
      <c r="F103" s="2">
        <v>55599.34</v>
      </c>
      <c r="G103" s="2">
        <v>56993.49</v>
      </c>
      <c r="H103" s="2">
        <v>45102.13</v>
      </c>
      <c r="I103" s="2">
        <v>52610.14</v>
      </c>
      <c r="J103" s="2">
        <v>29474.51</v>
      </c>
      <c r="K103" s="2">
        <v>42732.75</v>
      </c>
      <c r="L103" s="2">
        <v>45585.09</v>
      </c>
      <c r="M103" s="2">
        <v>48297.23</v>
      </c>
      <c r="N103" s="2">
        <v>47223.63</v>
      </c>
      <c r="O103" s="2">
        <v>55482.41</v>
      </c>
      <c r="P103" s="2">
        <v>53756.65</v>
      </c>
      <c r="Q103" s="2">
        <v>25577.49</v>
      </c>
      <c r="R103" s="2">
        <v>50824.38</v>
      </c>
      <c r="S103" s="2">
        <v>43309.4</v>
      </c>
      <c r="T103" s="2">
        <v>51478.04</v>
      </c>
      <c r="U103" s="2">
        <v>60193.19</v>
      </c>
      <c r="V103" s="2">
        <v>56712.74</v>
      </c>
      <c r="W103" s="2">
        <v>58960.09</v>
      </c>
      <c r="X103" s="2">
        <v>25638.49</v>
      </c>
      <c r="Y103" s="2">
        <v>54698.71</v>
      </c>
      <c r="Z103" s="2">
        <v>45686.25</v>
      </c>
      <c r="AA103" s="2">
        <v>52896</v>
      </c>
      <c r="AB103" s="2">
        <v>58530.41</v>
      </c>
      <c r="AC103" s="2">
        <v>56004.72</v>
      </c>
      <c r="AD103" s="2">
        <v>53336.98</v>
      </c>
      <c r="AE103" s="2">
        <v>36352.33</v>
      </c>
      <c r="AF103" s="2">
        <v>59487.76</v>
      </c>
      <c r="AG103" s="2">
        <v>33046.69</v>
      </c>
      <c r="AH103" s="2">
        <v>57756.29</v>
      </c>
      <c r="AI103" s="24">
        <f>SUM(E103:AH103)</f>
        <v>1464350.0999999999</v>
      </c>
      <c r="AJ103" s="26">
        <v>1397207.2319175063</v>
      </c>
      <c r="AK103" s="33">
        <f>$AJ103/$AI103*E103</f>
        <v>48664.208847204805</v>
      </c>
      <c r="AL103" s="33">
        <f>$AJ103/$AI103*F103</f>
        <v>53050.018528929861</v>
      </c>
      <c r="AM103" s="33">
        <f>$AJ103/$AI103*G103</f>
        <v>54380.244451253893</v>
      </c>
      <c r="AN103" s="33">
        <f>$AJ103/$AI103*H103</f>
        <v>43034.122926534801</v>
      </c>
      <c r="AO103" s="33">
        <f>$AJ103/$AI103*I103</f>
        <v>50197.878280742072</v>
      </c>
      <c r="AP103" s="33">
        <f>$AJ103/$AI103*J103</f>
        <v>28123.055087184999</v>
      </c>
      <c r="AQ103" s="33">
        <f>$AJ103/$AI103*K103</f>
        <v>40773.382908720276</v>
      </c>
      <c r="AR103" s="33">
        <f>$AJ103/$AI103*L103</f>
        <v>43494.938413710217</v>
      </c>
      <c r="AS103" s="33">
        <f>$AJ103/$AI103*M103</f>
        <v>46082.722320012923</v>
      </c>
      <c r="AT103" s="33">
        <f>$AJ103/$AI103*N103</f>
        <v>45058.348651320826</v>
      </c>
      <c r="AU103" s="33">
        <f>$AJ103/$AI103*O103</f>
        <v>52938.44996234998</v>
      </c>
      <c r="AV103" s="33">
        <f>$AJ103/$AI103*P103</f>
        <v>51291.818905641645</v>
      </c>
      <c r="AW103" s="33">
        <f>$AJ103/$AI103*Q103</f>
        <v>24404.719883788519</v>
      </c>
      <c r="AX103" s="33">
        <f>$AJ103/$AI103*R103</f>
        <v>48493.998323026353</v>
      </c>
      <c r="AY103" s="33">
        <f>$AJ103/$AI103*S103</f>
        <v>41323.59255481873</v>
      </c>
      <c r="AZ103" s="33">
        <f>$AJ103/$AI103*T103</f>
        <v>49117.686933567784</v>
      </c>
      <c r="BA103" s="33">
        <f>$AJ103/$AI103*U103</f>
        <v>57433.232927142584</v>
      </c>
      <c r="BB103" s="33">
        <f>$AJ103/$AI103*V103</f>
        <v>54112.367301956852</v>
      </c>
      <c r="BC103" s="33">
        <f>$AJ103/$AI103*W103</f>
        <v>56256.672596605858</v>
      </c>
      <c r="BD103" s="33">
        <f>$AJ103/$AI103*X103</f>
        <v>24462.922933146023</v>
      </c>
      <c r="BE103" s="33">
        <f>$AJ103/$AI103*Y103</f>
        <v>52190.683900358548</v>
      </c>
      <c r="BF103" s="33">
        <f>$AJ103/$AI103*Z103</f>
        <v>43591.460060808669</v>
      </c>
      <c r="BG103" s="33">
        <f>$AJ103/$AI103*AA103</f>
        <v>50470.631128108245</v>
      </c>
      <c r="BH103" s="33">
        <f>$AJ103/$AI103*AB103</f>
        <v>55846.694133525001</v>
      </c>
      <c r="BI103" s="33">
        <f>$AJ103/$AI103*AC103</f>
        <v>53436.811187102743</v>
      </c>
      <c r="BJ103" s="33">
        <f>$AJ103/$AI103*AD103</f>
        <v>50891.391467545509</v>
      </c>
      <c r="BK103" s="33">
        <f>$AJ103/$AI103*AE103</f>
        <v>34685.515692628243</v>
      </c>
      <c r="BL103" s="33">
        <f>$AJ103/$AI103*AF103</f>
        <v>56760.148056515289</v>
      </c>
      <c r="BM103" s="33">
        <f>$AJ103/$AI103*AG103</f>
        <v>31531.44474052752</v>
      </c>
      <c r="BN103" s="33">
        <f>$AJ103/$AI103*AH103</f>
        <v>55108.068812727754</v>
      </c>
    </row>
    <row r="104" spans="1:66" x14ac:dyDescent="0.25">
      <c r="A104" s="1" t="s">
        <v>31</v>
      </c>
      <c r="B104" s="4">
        <v>30</v>
      </c>
      <c r="C104" s="4" t="s">
        <v>3</v>
      </c>
      <c r="D104" s="4" t="str">
        <f>A104&amp;C104</f>
        <v>KILIMANIBUTCHERY</v>
      </c>
      <c r="E104" s="2">
        <v>239646.94</v>
      </c>
      <c r="F104" s="2">
        <v>207643.18</v>
      </c>
      <c r="G104" s="2">
        <v>244392.05</v>
      </c>
      <c r="H104" s="2">
        <v>225447.77</v>
      </c>
      <c r="I104" s="2">
        <v>284849.84000000003</v>
      </c>
      <c r="J104" s="2">
        <v>272595.81</v>
      </c>
      <c r="K104" s="2">
        <v>212055.43</v>
      </c>
      <c r="L104" s="2">
        <v>189183.97</v>
      </c>
      <c r="M104" s="2">
        <v>208275.96</v>
      </c>
      <c r="N104" s="2">
        <v>200347.35</v>
      </c>
      <c r="O104" s="2">
        <v>249702.17</v>
      </c>
      <c r="P104" s="2">
        <v>271633.64</v>
      </c>
      <c r="Q104" s="2">
        <v>226058.92</v>
      </c>
      <c r="R104" s="2">
        <v>217754.97</v>
      </c>
      <c r="S104" s="2">
        <v>171488.62</v>
      </c>
      <c r="T104" s="2">
        <v>221339.48</v>
      </c>
      <c r="U104" s="2">
        <v>212910.1</v>
      </c>
      <c r="V104" s="2">
        <v>210926.56</v>
      </c>
      <c r="W104" s="2">
        <v>265503.53000000003</v>
      </c>
      <c r="X104" s="2">
        <v>252799.83</v>
      </c>
      <c r="Y104" s="2">
        <v>190727.11</v>
      </c>
      <c r="Z104" s="2">
        <v>225922.23</v>
      </c>
      <c r="AA104" s="2">
        <v>220234.75</v>
      </c>
      <c r="AB104" s="2">
        <v>221543.15</v>
      </c>
      <c r="AC104" s="2">
        <v>248721.2</v>
      </c>
      <c r="AD104" s="2">
        <v>352799.69</v>
      </c>
      <c r="AE104" s="2">
        <v>228453.26</v>
      </c>
      <c r="AF104" s="2">
        <v>317289.43</v>
      </c>
      <c r="AG104" s="2">
        <v>240202.57</v>
      </c>
      <c r="AH104" s="2">
        <v>202740.88</v>
      </c>
      <c r="AI104" s="24">
        <f>SUM(E104:AH104)</f>
        <v>7033190.3900000015</v>
      </c>
      <c r="AJ104" s="26">
        <v>5741114.6815683395</v>
      </c>
      <c r="AK104" s="33">
        <f>$AJ104/$AI104*E104</f>
        <v>195621.11777652684</v>
      </c>
      <c r="AL104" s="33">
        <f>$AJ104/$AI104*F104</f>
        <v>169496.80630294114</v>
      </c>
      <c r="AM104" s="33">
        <f>$AJ104/$AI104*G104</f>
        <v>199494.49801736182</v>
      </c>
      <c r="AN104" s="33">
        <f>$AJ104/$AI104*H104</f>
        <v>184030.49405773898</v>
      </c>
      <c r="AO104" s="33">
        <f>$AJ104/$AI104*I104</f>
        <v>232519.73966062252</v>
      </c>
      <c r="AP104" s="33">
        <f>$AJ104/$AI104*J104</f>
        <v>222516.91197641718</v>
      </c>
      <c r="AQ104" s="33">
        <f>$AJ104/$AI104*K104</f>
        <v>173098.47664727969</v>
      </c>
      <c r="AR104" s="33">
        <f>$AJ104/$AI104*L104</f>
        <v>154428.75956104809</v>
      </c>
      <c r="AS104" s="33">
        <f>$AJ104/$AI104*M104</f>
        <v>170013.337542216</v>
      </c>
      <c r="AT104" s="33">
        <f>$AJ104/$AI104*N104</f>
        <v>163541.30184414223</v>
      </c>
      <c r="AU104" s="33">
        <f>$AJ104/$AI104*O104</f>
        <v>203829.08960416657</v>
      </c>
      <c r="AV104" s="33">
        <f>$AJ104/$AI104*P104</f>
        <v>221731.50336284991</v>
      </c>
      <c r="AW104" s="33">
        <f>$AJ104/$AI104*Q104</f>
        <v>184529.36896984564</v>
      </c>
      <c r="AX104" s="33">
        <f>$AJ104/$AI104*R104</f>
        <v>177750.94742621819</v>
      </c>
      <c r="AY104" s="33">
        <f>$AJ104/$AI104*S104</f>
        <v>139984.2431969048</v>
      </c>
      <c r="AZ104" s="33">
        <f>$AJ104/$AI104*T104</f>
        <v>180676.94286301007</v>
      </c>
      <c r="BA104" s="33">
        <f>$AJ104/$AI104*U104</f>
        <v>173796.13421273857</v>
      </c>
      <c r="BB104" s="33">
        <f>$AJ104/$AI104*V104</f>
        <v>172176.99268748288</v>
      </c>
      <c r="BC104" s="33">
        <f>$AJ104/$AI104*W104</f>
        <v>216727.56310685055</v>
      </c>
      <c r="BD104" s="33">
        <f>$AJ104/$AI104*X104</f>
        <v>206357.67482912971</v>
      </c>
      <c r="BE104" s="33">
        <f>$AJ104/$AI104*Y104</f>
        <v>155688.40749014606</v>
      </c>
      <c r="BF104" s="33">
        <f>$AJ104/$AI104*Z104</f>
        <v>184417.7904510927</v>
      </c>
      <c r="BG104" s="33">
        <f>$AJ104/$AI104*AA104</f>
        <v>179775.16411531874</v>
      </c>
      <c r="BH104" s="33">
        <f>$AJ104/$AI104*AB104</f>
        <v>180843.19640690071</v>
      </c>
      <c r="BI104" s="33">
        <f>$AJ104/$AI104*AC104</f>
        <v>203028.33476079055</v>
      </c>
      <c r="BJ104" s="33">
        <f>$AJ104/$AI104*AD104</f>
        <v>287986.44251001975</v>
      </c>
      <c r="BK104" s="33">
        <f>$AJ104/$AI104*AE104</f>
        <v>186483.84194219843</v>
      </c>
      <c r="BL104" s="33">
        <f>$AJ104/$AI104*AF104</f>
        <v>258999.81429046023</v>
      </c>
      <c r="BM104" s="33">
        <f>$AJ104/$AI104*AG104</f>
        <v>196074.67233336854</v>
      </c>
      <c r="BN104" s="33">
        <f>$AJ104/$AI104*AH104</f>
        <v>165495.11362255114</v>
      </c>
    </row>
    <row r="105" spans="1:66" x14ac:dyDescent="0.25">
      <c r="A105" s="1" t="s">
        <v>33</v>
      </c>
      <c r="B105" s="4">
        <v>31</v>
      </c>
      <c r="C105" s="4" t="s">
        <v>3</v>
      </c>
      <c r="D105" s="4" t="str">
        <f>A105&amp;C105</f>
        <v>EMBAKASIBUTCHERY</v>
      </c>
      <c r="E105" s="2">
        <v>89571.94</v>
      </c>
      <c r="F105" s="2">
        <v>103215.67999999999</v>
      </c>
      <c r="G105" s="2">
        <v>119223.21</v>
      </c>
      <c r="H105" s="2">
        <v>125738.7</v>
      </c>
      <c r="I105" s="2">
        <v>125997.75999999999</v>
      </c>
      <c r="J105" s="2">
        <v>111529.71</v>
      </c>
      <c r="K105" s="2">
        <v>79682.960000000006</v>
      </c>
      <c r="L105" s="2">
        <v>75903.95</v>
      </c>
      <c r="M105" s="2">
        <v>79168.22</v>
      </c>
      <c r="N105" s="2">
        <v>89413.77</v>
      </c>
      <c r="O105" s="2">
        <v>89421.15</v>
      </c>
      <c r="P105" s="2">
        <v>91869.27</v>
      </c>
      <c r="Q105" s="2">
        <v>93547.55</v>
      </c>
      <c r="R105" s="2">
        <v>67891.55</v>
      </c>
      <c r="S105" s="2">
        <v>68627.399999999994</v>
      </c>
      <c r="T105" s="2">
        <v>61184.59</v>
      </c>
      <c r="U105" s="2">
        <v>97742.14</v>
      </c>
      <c r="V105" s="2">
        <v>82923.53</v>
      </c>
      <c r="W105" s="2">
        <v>75385.399999999994</v>
      </c>
      <c r="X105" s="2">
        <v>108866.71</v>
      </c>
      <c r="Y105" s="2">
        <v>65497.08</v>
      </c>
      <c r="Z105" s="2">
        <v>92945.14</v>
      </c>
      <c r="AA105" s="2">
        <v>83040.240000000005</v>
      </c>
      <c r="AB105" s="2">
        <v>76190.94</v>
      </c>
      <c r="AC105" s="2">
        <v>94169.29</v>
      </c>
      <c r="AD105" s="2">
        <v>110515.72</v>
      </c>
      <c r="AE105" s="2">
        <v>150243.65</v>
      </c>
      <c r="AF105" s="2">
        <v>110166.73</v>
      </c>
      <c r="AG105" s="2">
        <v>110068.98</v>
      </c>
      <c r="AH105" s="2">
        <v>77207.83</v>
      </c>
      <c r="AI105" s="24">
        <f>SUM(E105:AH105)</f>
        <v>2806950.79</v>
      </c>
      <c r="AJ105" s="26">
        <v>2394513.4516168288</v>
      </c>
      <c r="AK105" s="33">
        <f>$AJ105/$AI105*E105</f>
        <v>76410.75005002688</v>
      </c>
      <c r="AL105" s="33">
        <f>$AJ105/$AI105*F105</f>
        <v>88049.756717601049</v>
      </c>
      <c r="AM105" s="33">
        <f>$AJ105/$AI105*G105</f>
        <v>101705.23156550886</v>
      </c>
      <c r="AN105" s="33">
        <f>$AJ105/$AI105*H105</f>
        <v>107263.37262892055</v>
      </c>
      <c r="AO105" s="33">
        <f>$AJ105/$AI105*I105</f>
        <v>107484.36783018515</v>
      </c>
      <c r="AP105" s="33">
        <f>$AJ105/$AI105*J105</f>
        <v>95142.170572190167</v>
      </c>
      <c r="AQ105" s="33">
        <f>$AJ105/$AI105*K105</f>
        <v>67974.80036500594</v>
      </c>
      <c r="AR105" s="33">
        <f>$AJ105/$AI105*L105</f>
        <v>64751.056539131983</v>
      </c>
      <c r="AS105" s="33">
        <f>$AJ105/$AI105*M105</f>
        <v>67535.693324556094</v>
      </c>
      <c r="AT105" s="33">
        <f>$AJ105/$AI105*N105</f>
        <v>76275.820647633533</v>
      </c>
      <c r="AU105" s="33">
        <f>$AJ105/$AI105*O105</f>
        <v>76282.116272528656</v>
      </c>
      <c r="AV105" s="33">
        <f>$AJ105/$AI105*P105</f>
        <v>78370.523483676167</v>
      </c>
      <c r="AW105" s="33">
        <f>$AJ105/$AI105*Q105</f>
        <v>79802.206593296869</v>
      </c>
      <c r="AX105" s="33">
        <f>$AJ105/$AI105*R105</f>
        <v>57915.952892824498</v>
      </c>
      <c r="AY105" s="33">
        <f>$AJ105/$AI105*S105</f>
        <v>58543.681291074128</v>
      </c>
      <c r="AZ105" s="33">
        <f>$AJ105/$AI105*T105</f>
        <v>52194.475339077995</v>
      </c>
      <c r="BA105" s="33">
        <f>$AJ105/$AI105*U105</f>
        <v>83380.467464417248</v>
      </c>
      <c r="BB105" s="33">
        <f>$AJ105/$AI105*V105</f>
        <v>70739.219493246492</v>
      </c>
      <c r="BC105" s="33">
        <f>$AJ105/$AI105*W105</f>
        <v>64308.699318350096</v>
      </c>
      <c r="BD105" s="33">
        <f>$AJ105/$AI105*X105</f>
        <v>92870.456602578459</v>
      </c>
      <c r="BE105" s="33">
        <f>$AJ105/$AI105*Y105</f>
        <v>55873.312656693764</v>
      </c>
      <c r="BF105" s="33">
        <f>$AJ105/$AI105*Z105</f>
        <v>79288.31128258197</v>
      </c>
      <c r="BG105" s="33">
        <f>$AJ105/$AI105*AA105</f>
        <v>70838.780791554193</v>
      </c>
      <c r="BH105" s="33">
        <f>$AJ105/$AI105*AB105</f>
        <v>64995.877865507828</v>
      </c>
      <c r="BI105" s="33">
        <f>$AJ105/$AI105*AC105</f>
        <v>80332.59166406907</v>
      </c>
      <c r="BJ105" s="33">
        <f>$AJ105/$AI105*AD105</f>
        <v>94277.170479044624</v>
      </c>
      <c r="BK105" s="33">
        <f>$AJ105/$AI105*AE105</f>
        <v>128167.70505086437</v>
      </c>
      <c r="BL105" s="33">
        <f>$AJ105/$AI105*AF105</f>
        <v>93979.459079024047</v>
      </c>
      <c r="BM105" s="33">
        <f>$AJ105/$AI105*AG105</f>
        <v>93896.071906463199</v>
      </c>
      <c r="BN105" s="33">
        <f>$AJ105/$AI105*AH105</f>
        <v>65863.351849194805</v>
      </c>
    </row>
    <row r="106" spans="1:66" ht="24.75" x14ac:dyDescent="0.25">
      <c r="A106" s="1" t="s">
        <v>32</v>
      </c>
      <c r="B106" s="4">
        <v>32</v>
      </c>
      <c r="C106" s="4" t="s">
        <v>3</v>
      </c>
      <c r="D106" s="4" t="str">
        <f>A106&amp;C106</f>
        <v>OGINGA ODINGABUTCHERY</v>
      </c>
      <c r="E106" s="2">
        <v>34087.5</v>
      </c>
      <c r="F106" s="2">
        <v>34510.239999999998</v>
      </c>
      <c r="G106" s="2">
        <v>40231.85</v>
      </c>
      <c r="H106" s="2">
        <v>42523.06</v>
      </c>
      <c r="I106" s="2">
        <v>50475.05</v>
      </c>
      <c r="J106" s="2">
        <v>21527.25</v>
      </c>
      <c r="K106" s="2">
        <v>49417.35</v>
      </c>
      <c r="L106" s="2">
        <v>26990.19</v>
      </c>
      <c r="M106" s="2">
        <v>33542.71</v>
      </c>
      <c r="N106" s="2">
        <v>32620.880000000001</v>
      </c>
      <c r="O106" s="2">
        <v>40805.019999999997</v>
      </c>
      <c r="P106" s="2">
        <v>40902.61</v>
      </c>
      <c r="Q106" s="2">
        <v>18904.88</v>
      </c>
      <c r="R106" s="2">
        <v>37217.1</v>
      </c>
      <c r="S106" s="2">
        <v>28919.21</v>
      </c>
      <c r="T106" s="2">
        <v>34715.410000000003</v>
      </c>
      <c r="U106" s="2">
        <v>35036.160000000003</v>
      </c>
      <c r="V106" s="2">
        <v>42454.45</v>
      </c>
      <c r="W106" s="2">
        <v>46137.55</v>
      </c>
      <c r="X106" s="2">
        <v>31514.92</v>
      </c>
      <c r="Y106" s="2">
        <v>44911.81</v>
      </c>
      <c r="Z106" s="2">
        <v>39752.15</v>
      </c>
      <c r="AA106" s="2">
        <v>33304.35</v>
      </c>
      <c r="AB106" s="2">
        <v>33870.959999999999</v>
      </c>
      <c r="AC106" s="2">
        <v>44679.37</v>
      </c>
      <c r="AD106" s="2">
        <v>57180.08</v>
      </c>
      <c r="AE106" s="2">
        <v>23326.04</v>
      </c>
      <c r="AF106" s="2">
        <v>69018.87</v>
      </c>
      <c r="AG106" s="2">
        <v>24277.41</v>
      </c>
      <c r="AH106" s="2">
        <v>37876.339999999997</v>
      </c>
      <c r="AI106" s="24">
        <f>SUM(E106:AH106)</f>
        <v>1130730.77</v>
      </c>
      <c r="AJ106" s="26">
        <v>1011650.9654219599</v>
      </c>
      <c r="AK106" s="33">
        <f>$AJ106/$AI106*E106</f>
        <v>30497.668586325864</v>
      </c>
      <c r="AL106" s="33">
        <f>$AJ106/$AI106*F106</f>
        <v>30875.888884622407</v>
      </c>
      <c r="AM106" s="33">
        <f>$AJ106/$AI106*G106</f>
        <v>35994.943246491363</v>
      </c>
      <c r="AN106" s="33">
        <f>$AJ106/$AI106*H106</f>
        <v>38044.860759998533</v>
      </c>
      <c r="AO106" s="33">
        <f>$AJ106/$AI106*I106</f>
        <v>45159.408779705976</v>
      </c>
      <c r="AP106" s="33">
        <f>$AJ106/$AI106*J106</f>
        <v>19260.166808213671</v>
      </c>
      <c r="AQ106" s="33">
        <f>$AJ106/$AI106*K106</f>
        <v>44213.097549379403</v>
      </c>
      <c r="AR106" s="33">
        <f>$AJ106/$AI106*L106</f>
        <v>24147.792290486734</v>
      </c>
      <c r="AS106" s="33">
        <f>$AJ106/$AI106*M106</f>
        <v>30010.251648470508</v>
      </c>
      <c r="AT106" s="33">
        <f>$AJ106/$AI106*N106</f>
        <v>29185.501642370538</v>
      </c>
      <c r="AU106" s="33">
        <f>$AJ106/$AI106*O106</f>
        <v>36507.751422615285</v>
      </c>
      <c r="AV106" s="33">
        <f>$AJ106/$AI106*P106</f>
        <v>36595.063999874976</v>
      </c>
      <c r="AW106" s="33">
        <f>$AJ106/$AI106*Q106</f>
        <v>16913.964500308328</v>
      </c>
      <c r="AX106" s="33">
        <f>$AJ106/$AI106*R106</f>
        <v>33297.683360297713</v>
      </c>
      <c r="AY106" s="33">
        <f>$AJ106/$AI106*S106</f>
        <v>25873.662848796797</v>
      </c>
      <c r="AZ106" s="33">
        <f>$AJ106/$AI106*T106</f>
        <v>31059.45196973738</v>
      </c>
      <c r="BA106" s="33">
        <f>$AJ106/$AI106*U106</f>
        <v>31346.423064686085</v>
      </c>
      <c r="BB106" s="33">
        <f>$AJ106/$AI106*V106</f>
        <v>37983.476233655798</v>
      </c>
      <c r="BC106" s="33">
        <f>$AJ106/$AI106*W106</f>
        <v>41278.700675762055</v>
      </c>
      <c r="BD106" s="33">
        <f>$AJ106/$AI106*X106</f>
        <v>28196.012781358935</v>
      </c>
      <c r="BE106" s="33">
        <f>$AJ106/$AI106*Y106</f>
        <v>40182.04611637802</v>
      </c>
      <c r="BF106" s="33">
        <f>$AJ106/$AI106*Z106</f>
        <v>35565.761534108213</v>
      </c>
      <c r="BG106" s="33">
        <f>$AJ106/$AI106*AA106</f>
        <v>29796.993877022422</v>
      </c>
      <c r="BH106" s="33">
        <f>$AJ106/$AI106*AB106</f>
        <v>30303.932901524018</v>
      </c>
      <c r="BI106" s="33">
        <f>$AJ106/$AI106*AC106</f>
        <v>39974.084896394001</v>
      </c>
      <c r="BJ106" s="33">
        <f>$AJ106/$AI106*AD106</f>
        <v>51158.31696603154</v>
      </c>
      <c r="BK106" s="33">
        <f>$AJ106/$AI106*AE106</f>
        <v>20869.522181191951</v>
      </c>
      <c r="BL106" s="33">
        <f>$AJ106/$AI106*AF106</f>
        <v>61750.337321971652</v>
      </c>
      <c r="BM106" s="33">
        <f>$AJ106/$AI106*AG106</f>
        <v>21720.701263347368</v>
      </c>
      <c r="BN106" s="33">
        <f>$AJ106/$AI106*AH106</f>
        <v>33887.497310832354</v>
      </c>
    </row>
    <row r="107" spans="1:66" x14ac:dyDescent="0.25">
      <c r="A107" s="1" t="s">
        <v>34</v>
      </c>
      <c r="B107" s="4">
        <v>33</v>
      </c>
      <c r="C107" s="4" t="s">
        <v>3</v>
      </c>
      <c r="D107" s="4" t="str">
        <f>A107&amp;C107</f>
        <v>KISERIANBUTCHERY</v>
      </c>
      <c r="E107" s="2">
        <v>22605.86</v>
      </c>
      <c r="F107" s="2">
        <v>37994.480000000003</v>
      </c>
      <c r="G107" s="2">
        <v>35948.300000000003</v>
      </c>
      <c r="H107" s="2">
        <v>73088.84</v>
      </c>
      <c r="I107" s="2">
        <v>72056.28</v>
      </c>
      <c r="J107" s="2">
        <v>42840.09</v>
      </c>
      <c r="K107" s="2">
        <v>38911.85</v>
      </c>
      <c r="L107" s="2">
        <v>27968.69</v>
      </c>
      <c r="M107" s="2">
        <v>70381.13</v>
      </c>
      <c r="N107" s="2">
        <v>53495.29</v>
      </c>
      <c r="O107" s="2">
        <v>58059.61</v>
      </c>
      <c r="P107" s="2">
        <v>60000.77</v>
      </c>
      <c r="Q107" s="2">
        <v>61626.5</v>
      </c>
      <c r="R107" s="2">
        <v>45496.2</v>
      </c>
      <c r="S107" s="2">
        <v>29176.07</v>
      </c>
      <c r="T107" s="2">
        <v>35254.44</v>
      </c>
      <c r="U107" s="2">
        <v>39087.22</v>
      </c>
      <c r="V107" s="2">
        <v>47959.59</v>
      </c>
      <c r="W107" s="2">
        <v>58449.53</v>
      </c>
      <c r="X107" s="2">
        <v>56412.84</v>
      </c>
      <c r="Y107" s="2">
        <v>40577.019999999997</v>
      </c>
      <c r="Z107" s="2">
        <v>29208</v>
      </c>
      <c r="AA107" s="2">
        <v>52210.46</v>
      </c>
      <c r="AB107" s="2">
        <v>50324.02</v>
      </c>
      <c r="AC107" s="2">
        <v>44238.51</v>
      </c>
      <c r="AD107" s="2">
        <v>47107.24</v>
      </c>
      <c r="AE107" s="2">
        <v>51591.78</v>
      </c>
      <c r="AF107" s="2">
        <v>66795.63</v>
      </c>
      <c r="AG107" s="2">
        <v>68637.94</v>
      </c>
      <c r="AH107" s="2">
        <v>36146.050000000003</v>
      </c>
      <c r="AI107" s="24">
        <f>SUM(E107:AH107)</f>
        <v>1453650.2299999997</v>
      </c>
      <c r="AJ107" s="26">
        <v>1111144.5559443901</v>
      </c>
      <c r="AK107" s="33">
        <f>$AJ107/$AI107*E107</f>
        <v>17279.520033812438</v>
      </c>
      <c r="AL107" s="33">
        <f>$AJ107/$AI107*F107</f>
        <v>29042.309309811084</v>
      </c>
      <c r="AM107" s="33">
        <f>$AJ107/$AI107*G107</f>
        <v>27478.245465180251</v>
      </c>
      <c r="AN107" s="33">
        <f>$AJ107/$AI107*H107</f>
        <v>55867.818124508944</v>
      </c>
      <c r="AO107" s="33">
        <f>$AJ107/$AI107*I107</f>
        <v>55078.54750148848</v>
      </c>
      <c r="AP107" s="33">
        <f>$AJ107/$AI107*J107</f>
        <v>32746.207992322688</v>
      </c>
      <c r="AQ107" s="33">
        <f>$AJ107/$AI107*K107</f>
        <v>29743.530731752937</v>
      </c>
      <c r="AR107" s="33">
        <f>$AJ107/$AI107*L107</f>
        <v>21378.77254722844</v>
      </c>
      <c r="AS107" s="33">
        <f>$AJ107/$AI107*M107</f>
        <v>53798.092434322672</v>
      </c>
      <c r="AT107" s="33">
        <f>$AJ107/$AI107*N107</f>
        <v>40890.854639885678</v>
      </c>
      <c r="AU107" s="33">
        <f>$AJ107/$AI107*O107</f>
        <v>44379.740215605023</v>
      </c>
      <c r="AV107" s="33">
        <f>$AJ107/$AI107*P107</f>
        <v>45863.528627496242</v>
      </c>
      <c r="AW107" s="33">
        <f>$AJ107/$AI107*Q107</f>
        <v>47106.207919704982</v>
      </c>
      <c r="AX107" s="33">
        <f>$AJ107/$AI107*R107</f>
        <v>34776.491554063294</v>
      </c>
      <c r="AY107" s="33">
        <f>$AJ107/$AI107*S107</f>
        <v>22301.672489916949</v>
      </c>
      <c r="AZ107" s="33">
        <f>$AJ107/$AI107*T107</f>
        <v>26947.871138759532</v>
      </c>
      <c r="BA107" s="33">
        <f>$AJ107/$AI107*U107</f>
        <v>29877.580461704805</v>
      </c>
      <c r="BB107" s="33">
        <f>$AJ107/$AI107*V107</f>
        <v>36659.463352353348</v>
      </c>
      <c r="BC107" s="33">
        <f>$AJ107/$AI107*W107</f>
        <v>44677.788175363421</v>
      </c>
      <c r="BD107" s="33">
        <f>$AJ107/$AI107*X107</f>
        <v>43120.978319084323</v>
      </c>
      <c r="BE107" s="33">
        <f>$AJ107/$AI107*Y107</f>
        <v>31016.357263223246</v>
      </c>
      <c r="BF107" s="33">
        <f>$AJ107/$AI107*Z107</f>
        <v>22326.079217848543</v>
      </c>
      <c r="BG107" s="33">
        <f>$AJ107/$AI107*AA107</f>
        <v>39908.753285411964</v>
      </c>
      <c r="BH107" s="33">
        <f>$AJ107/$AI107*AB107</f>
        <v>38466.791874849165</v>
      </c>
      <c r="BI107" s="33">
        <f>$AJ107/$AI107*AC107</f>
        <v>33815.135536140268</v>
      </c>
      <c r="BJ107" s="33">
        <f>$AJ107/$AI107*AD107</f>
        <v>36007.942069782373</v>
      </c>
      <c r="BK107" s="33">
        <f>$AJ107/$AI107*AE107</f>
        <v>39435.845222877775</v>
      </c>
      <c r="BL107" s="33">
        <f>$AJ107/$AI107*AF107</f>
        <v>51057.399574982905</v>
      </c>
      <c r="BM107" s="33">
        <f>$AJ107/$AI107*AG107</f>
        <v>52465.628793136646</v>
      </c>
      <c r="BN107" s="33">
        <f>$AJ107/$AI107*AH107</f>
        <v>27629.402071771925</v>
      </c>
    </row>
    <row r="108" spans="1:66" x14ac:dyDescent="0.25">
      <c r="A108" s="1" t="s">
        <v>35</v>
      </c>
      <c r="B108" s="4">
        <v>34</v>
      </c>
      <c r="C108" s="4" t="s">
        <v>3</v>
      </c>
      <c r="D108" s="4" t="str">
        <f>A108&amp;C108</f>
        <v>NANYUKIBUTCHERY</v>
      </c>
      <c r="E108" s="2">
        <v>94159.24</v>
      </c>
      <c r="F108" s="2">
        <v>69794.429999999993</v>
      </c>
      <c r="G108" s="2">
        <v>69900.460000000006</v>
      </c>
      <c r="H108" s="2">
        <v>98684.61</v>
      </c>
      <c r="I108" s="2">
        <v>86217.91</v>
      </c>
      <c r="J108" s="2">
        <v>94325.02</v>
      </c>
      <c r="K108" s="2">
        <v>101120.07</v>
      </c>
      <c r="L108" s="2">
        <v>67001.23</v>
      </c>
      <c r="M108" s="2">
        <v>81383.350000000006</v>
      </c>
      <c r="N108" s="2">
        <v>75852.009999999995</v>
      </c>
      <c r="O108" s="2">
        <v>83390.240000000005</v>
      </c>
      <c r="P108" s="2">
        <v>97665.32</v>
      </c>
      <c r="Q108" s="2">
        <v>71180.509999999995</v>
      </c>
      <c r="R108" s="2">
        <v>90944.51</v>
      </c>
      <c r="S108" s="2">
        <v>64797.03</v>
      </c>
      <c r="T108" s="2">
        <v>76071.86</v>
      </c>
      <c r="U108" s="2">
        <v>92428.93</v>
      </c>
      <c r="V108" s="2">
        <v>107377.60000000001</v>
      </c>
      <c r="W108" s="2">
        <v>106799.9</v>
      </c>
      <c r="X108" s="2">
        <v>106464.58</v>
      </c>
      <c r="Y108" s="2">
        <v>67997.259999999995</v>
      </c>
      <c r="Z108" s="2">
        <v>72000.81</v>
      </c>
      <c r="AA108" s="2">
        <v>60660.17</v>
      </c>
      <c r="AB108" s="2">
        <v>52328.92</v>
      </c>
      <c r="AC108" s="2">
        <v>78370.45</v>
      </c>
      <c r="AD108" s="2">
        <v>126248.55</v>
      </c>
      <c r="AE108" s="2">
        <v>81536.97</v>
      </c>
      <c r="AF108" s="2">
        <v>96498.05</v>
      </c>
      <c r="AG108" s="2">
        <v>100227.52</v>
      </c>
      <c r="AH108" s="2">
        <v>80875.429999999993</v>
      </c>
      <c r="AI108" s="24">
        <f>SUM(E108:AH108)</f>
        <v>2552302.94</v>
      </c>
      <c r="AJ108" s="26">
        <v>2064383.5959271556</v>
      </c>
      <c r="AK108" s="33">
        <f>$AJ108/$AI108*E108</f>
        <v>76158.980744256041</v>
      </c>
      <c r="AL108" s="33">
        <f>$AJ108/$AI108*F108</f>
        <v>56451.949383048595</v>
      </c>
      <c r="AM108" s="33">
        <f>$AJ108/$AI108*G108</f>
        <v>56537.709811109766</v>
      </c>
      <c r="AN108" s="33">
        <f>$AJ108/$AI108*H108</f>
        <v>79819.243578690905</v>
      </c>
      <c r="AO108" s="33">
        <f>$AJ108/$AI108*I108</f>
        <v>69735.781082132773</v>
      </c>
      <c r="AP108" s="33">
        <f>$AJ108/$AI108*J108</f>
        <v>76293.068868032133</v>
      </c>
      <c r="AQ108" s="33">
        <f>$AJ108/$AI108*K108</f>
        <v>81789.120897617933</v>
      </c>
      <c r="AR108" s="33">
        <f>$AJ108/$AI108*L108</f>
        <v>54192.720601944842</v>
      </c>
      <c r="AS108" s="33">
        <f>$AJ108/$AI108*M108</f>
        <v>65825.435565888693</v>
      </c>
      <c r="AT108" s="33">
        <f>$AJ108/$AI108*N108</f>
        <v>61351.512278594382</v>
      </c>
      <c r="AU108" s="33">
        <f>$AJ108/$AI108*O108</f>
        <v>67448.671871383936</v>
      </c>
      <c r="AV108" s="33">
        <f>$AJ108/$AI108*P108</f>
        <v>78994.809487221908</v>
      </c>
      <c r="AW108" s="33">
        <f>$AJ108/$AI108*Q108</f>
        <v>57573.05486382774</v>
      </c>
      <c r="AX108" s="33">
        <f>$AJ108/$AI108*R108</f>
        <v>73558.805125081723</v>
      </c>
      <c r="AY108" s="33">
        <f>$AJ108/$AI108*S108</f>
        <v>52409.893708307121</v>
      </c>
      <c r="AZ108" s="33">
        <f>$AJ108/$AI108*T108</f>
        <v>61529.333933873517</v>
      </c>
      <c r="BA108" s="33">
        <f>$AJ108/$AI108*U108</f>
        <v>74759.451117937948</v>
      </c>
      <c r="BB108" s="33">
        <f>$AJ108/$AI108*V108</f>
        <v>86850.409697066658</v>
      </c>
      <c r="BC108" s="33">
        <f>$AJ108/$AI108*W108</f>
        <v>86383.147608120766</v>
      </c>
      <c r="BD108" s="33">
        <f>$AJ108/$AI108*X108</f>
        <v>86111.930153273395</v>
      </c>
      <c r="BE108" s="33">
        <f>$AJ108/$AI108*Y108</f>
        <v>54998.341267433454</v>
      </c>
      <c r="BF108" s="33">
        <f>$AJ108/$AI108*Z108</f>
        <v>58236.539529852162</v>
      </c>
      <c r="BG108" s="33">
        <f>$AJ108/$AI108*AA108</f>
        <v>49063.870088302509</v>
      </c>
      <c r="BH108" s="33">
        <f>$AJ108/$AI108*AB108</f>
        <v>42325.290759013289</v>
      </c>
      <c r="BI108" s="33">
        <f>$AJ108/$AI108*AC108</f>
        <v>63388.50645426492</v>
      </c>
      <c r="BJ108" s="33">
        <f>$AJ108/$AI108*AD108</f>
        <v>102113.83278412448</v>
      </c>
      <c r="BK108" s="33">
        <f>$AJ108/$AI108*AE108</f>
        <v>65949.688295859029</v>
      </c>
      <c r="BL108" s="33">
        <f>$AJ108/$AI108*AF108</f>
        <v>78050.684476725335</v>
      </c>
      <c r="BM108" s="33">
        <f>$AJ108/$AI108*AG108</f>
        <v>81067.198139285494</v>
      </c>
      <c r="BN108" s="33">
        <f>$AJ108/$AI108*AH108</f>
        <v>65414.613754884027</v>
      </c>
    </row>
    <row r="109" spans="1:66" ht="24.75" x14ac:dyDescent="0.25">
      <c r="A109" s="1" t="s">
        <v>69</v>
      </c>
      <c r="B109" s="4">
        <v>35</v>
      </c>
      <c r="C109" s="4" t="s">
        <v>3</v>
      </c>
      <c r="D109" s="4" t="str">
        <f>A109&amp;C109</f>
        <v>MOMBASA ROADBUTCHERY</v>
      </c>
      <c r="E109" s="2">
        <v>58809.14</v>
      </c>
      <c r="F109" s="2">
        <v>38943.96</v>
      </c>
      <c r="G109" s="2">
        <v>47024.05</v>
      </c>
      <c r="H109" s="2">
        <v>50100.55</v>
      </c>
      <c r="I109" s="2">
        <v>77492.44</v>
      </c>
      <c r="J109" s="2">
        <v>58157.38</v>
      </c>
      <c r="K109" s="2">
        <v>41061.78</v>
      </c>
      <c r="L109" s="2">
        <v>57093.86</v>
      </c>
      <c r="M109" s="2">
        <v>41521.160000000003</v>
      </c>
      <c r="N109" s="2">
        <v>39459.57</v>
      </c>
      <c r="O109" s="2">
        <v>57894.95</v>
      </c>
      <c r="P109" s="2">
        <v>69683.23</v>
      </c>
      <c r="Q109" s="2">
        <v>63904.82</v>
      </c>
      <c r="R109" s="2">
        <v>60245.49</v>
      </c>
      <c r="S109" s="2">
        <v>48817.08</v>
      </c>
      <c r="T109" s="2">
        <v>37787.199999999997</v>
      </c>
      <c r="U109" s="2">
        <v>47094.86</v>
      </c>
      <c r="V109" s="2">
        <v>57651.69</v>
      </c>
      <c r="W109" s="2">
        <v>70748.350000000006</v>
      </c>
      <c r="X109" s="2">
        <v>53139.33</v>
      </c>
      <c r="Y109" s="2">
        <v>36389.08</v>
      </c>
      <c r="Z109" s="2">
        <v>55402.13</v>
      </c>
      <c r="AA109" s="2">
        <v>37149.339999999997</v>
      </c>
      <c r="AB109" s="2">
        <v>48127.76</v>
      </c>
      <c r="AC109" s="2">
        <v>47412.71</v>
      </c>
      <c r="AD109" s="2">
        <v>63595.17</v>
      </c>
      <c r="AE109" s="2">
        <v>49210.31</v>
      </c>
      <c r="AF109" s="2">
        <v>67498.179999999993</v>
      </c>
      <c r="AG109" s="2">
        <v>54666.63</v>
      </c>
      <c r="AH109" s="2">
        <v>56448.11</v>
      </c>
      <c r="AI109" s="24">
        <f>SUM(E109:AH109)</f>
        <v>1592530.3099999998</v>
      </c>
      <c r="AJ109" s="26">
        <v>1136072.0141462807</v>
      </c>
      <c r="AK109" s="33">
        <f>$AJ109/$AI109*E109</f>
        <v>41952.99625412505</v>
      </c>
      <c r="AL109" s="33">
        <f>$AJ109/$AI109*F109</f>
        <v>27781.664686829223</v>
      </c>
      <c r="AM109" s="33">
        <f>$AJ109/$AI109*G109</f>
        <v>33545.802463763102</v>
      </c>
      <c r="AN109" s="33">
        <f>$AJ109/$AI109*H109</f>
        <v>35740.502011755401</v>
      </c>
      <c r="AO109" s="33">
        <f>$AJ109/$AI109*I109</f>
        <v>55281.203653768964</v>
      </c>
      <c r="AP109" s="33">
        <f>$AJ109/$AI109*J109</f>
        <v>41488.046675903221</v>
      </c>
      <c r="AQ109" s="33">
        <f>$AJ109/$AI109*K109</f>
        <v>29292.46546587328</v>
      </c>
      <c r="AR109" s="33">
        <f>$AJ109/$AI109*L109</f>
        <v>40729.357625592558</v>
      </c>
      <c r="AS109" s="33">
        <f>$AJ109/$AI109*M109</f>
        <v>29620.175876520676</v>
      </c>
      <c r="AT109" s="33">
        <f>$AJ109/$AI109*N109</f>
        <v>28149.488198592691</v>
      </c>
      <c r="AU109" s="33">
        <f>$AJ109/$AI109*O109</f>
        <v>41300.835558601219</v>
      </c>
      <c r="AV109" s="33">
        <f>$AJ109/$AI109*P109</f>
        <v>49710.305016623854</v>
      </c>
      <c r="AW109" s="33">
        <f>$AJ109/$AI109*Q109</f>
        <v>45588.129227540747</v>
      </c>
      <c r="AX109" s="33">
        <f>$AJ109/$AI109*R109</f>
        <v>42977.653070558903</v>
      </c>
      <c r="AY109" s="33">
        <f>$AJ109/$AI109*S109</f>
        <v>34824.906032928266</v>
      </c>
      <c r="AZ109" s="33">
        <f>$AJ109/$AI109*T109</f>
        <v>26956.460510285884</v>
      </c>
      <c r="BA109" s="33">
        <f>$AJ109/$AI109*U109</f>
        <v>33596.316578826758</v>
      </c>
      <c r="BB109" s="33">
        <f>$AJ109/$AI109*V109</f>
        <v>41127.299848526585</v>
      </c>
      <c r="BC109" s="33">
        <f>$AJ109/$AI109*W109</f>
        <v>50470.135467642081</v>
      </c>
      <c r="BD109" s="33">
        <f>$AJ109/$AI109*X109</f>
        <v>37908.293038067131</v>
      </c>
      <c r="BE109" s="33">
        <f>$AJ109/$AI109*Y109</f>
        <v>25959.076037008141</v>
      </c>
      <c r="BF109" s="33">
        <f>$AJ109/$AI109*Z109</f>
        <v>39522.518988724354</v>
      </c>
      <c r="BG109" s="33">
        <f>$AJ109/$AI109*AA109</f>
        <v>26501.426850710923</v>
      </c>
      <c r="BH109" s="33">
        <f>$AJ109/$AI109*AB109</f>
        <v>34333.162073096624</v>
      </c>
      <c r="BI109" s="33">
        <f>$AJ109/$AI109*AC109</f>
        <v>33823.062963136639</v>
      </c>
      <c r="BJ109" s="33">
        <f>$AJ109/$AI109*AD109</f>
        <v>45367.232521857077</v>
      </c>
      <c r="BK109" s="33">
        <f>$AJ109/$AI109*AE109</f>
        <v>35105.426658072749</v>
      </c>
      <c r="BL109" s="33">
        <f>$AJ109/$AI109*AF109</f>
        <v>48151.544006599288</v>
      </c>
      <c r="BM109" s="33">
        <f>$AJ109/$AI109*AG109</f>
        <v>38997.831350970955</v>
      </c>
      <c r="BN109" s="33">
        <f>$AJ109/$AI109*AH109</f>
        <v>40268.69543377847</v>
      </c>
    </row>
    <row r="110" spans="1:66" x14ac:dyDescent="0.25">
      <c r="A110" s="1" t="s">
        <v>37</v>
      </c>
      <c r="B110" s="4">
        <v>36</v>
      </c>
      <c r="C110" s="4" t="s">
        <v>3</v>
      </c>
      <c r="D110" s="4" t="str">
        <f>A110&amp;C110</f>
        <v>PIONEERBUTCHERY</v>
      </c>
      <c r="E110" s="2">
        <v>22528.639999999999</v>
      </c>
      <c r="F110" s="2">
        <v>16592.73</v>
      </c>
      <c r="G110" s="2">
        <v>18519.46</v>
      </c>
      <c r="H110" s="2">
        <v>23576.42</v>
      </c>
      <c r="I110" s="2">
        <v>18640.900000000001</v>
      </c>
      <c r="J110" s="2">
        <v>10700.75</v>
      </c>
      <c r="K110" s="2">
        <v>14594.73</v>
      </c>
      <c r="L110" s="2">
        <v>12401.54</v>
      </c>
      <c r="M110" s="2">
        <v>16709.91</v>
      </c>
      <c r="N110" s="2">
        <v>18028.810000000001</v>
      </c>
      <c r="O110" s="2">
        <v>29853.27</v>
      </c>
      <c r="P110" s="2">
        <v>21609.16</v>
      </c>
      <c r="Q110" s="2">
        <v>4087.35</v>
      </c>
      <c r="R110" s="2">
        <v>9318.94</v>
      </c>
      <c r="S110" s="2">
        <v>17729.57</v>
      </c>
      <c r="T110" s="2">
        <v>21925.32</v>
      </c>
      <c r="U110" s="2">
        <v>21895.439999999999</v>
      </c>
      <c r="V110" s="2">
        <v>27490.76</v>
      </c>
      <c r="W110" s="2">
        <v>21965.83</v>
      </c>
      <c r="X110" s="2">
        <v>9810.84</v>
      </c>
      <c r="Y110" s="2">
        <v>25227.82</v>
      </c>
      <c r="Z110" s="2">
        <v>16705.689999999999</v>
      </c>
      <c r="AA110" s="2">
        <v>19686.189999999999</v>
      </c>
      <c r="AB110" s="2">
        <v>14163.76</v>
      </c>
      <c r="AC110" s="2">
        <v>20959.099999999999</v>
      </c>
      <c r="AD110" s="2">
        <v>33019.339999999997</v>
      </c>
      <c r="AE110" s="2">
        <v>7509.43</v>
      </c>
      <c r="AF110" s="2">
        <v>20935.11</v>
      </c>
      <c r="AG110" s="2">
        <v>14281.29</v>
      </c>
      <c r="AH110" s="2">
        <v>14063.49</v>
      </c>
      <c r="AI110" s="24">
        <f>SUM(E110:AH110)</f>
        <v>544531.59</v>
      </c>
      <c r="AJ110" s="26">
        <v>650686.51629168913</v>
      </c>
      <c r="AK110" s="33">
        <f>$AJ110/$AI110*E110</f>
        <v>26920.536012225846</v>
      </c>
      <c r="AL110" s="33">
        <f>$AJ110/$AI110*F110</f>
        <v>19827.436787402174</v>
      </c>
      <c r="AM110" s="33">
        <f>$AJ110/$AI110*G110</f>
        <v>22129.777468012984</v>
      </c>
      <c r="AN110" s="33">
        <f>$AJ110/$AI110*H110</f>
        <v>28172.577823133648</v>
      </c>
      <c r="AO110" s="33">
        <f>$AJ110/$AI110*I110</f>
        <v>22274.891859885942</v>
      </c>
      <c r="AP110" s="33">
        <f>$AJ110/$AI110*J110</f>
        <v>12786.831594487094</v>
      </c>
      <c r="AQ110" s="33">
        <f>$AJ110/$AI110*K110</f>
        <v>17439.932217555648</v>
      </c>
      <c r="AR110" s="33">
        <f>$AJ110/$AI110*L110</f>
        <v>14819.185897464709</v>
      </c>
      <c r="AS110" s="33">
        <f>$AJ110/$AI110*M110</f>
        <v>19967.460704066147</v>
      </c>
      <c r="AT110" s="33">
        <f>$AJ110/$AI110*N110</f>
        <v>21543.476608555931</v>
      </c>
      <c r="AU110" s="33">
        <f>$AJ110/$AI110*O110</f>
        <v>35673.082357288389</v>
      </c>
      <c r="AV110" s="33">
        <f>$AJ110/$AI110*P110</f>
        <v>25821.80593120358</v>
      </c>
      <c r="AW110" s="33">
        <f>$AJ110/$AI110*Q110</f>
        <v>4884.1675693504494</v>
      </c>
      <c r="AX110" s="33">
        <f>$AJ110/$AI110*R110</f>
        <v>11135.641559622416</v>
      </c>
      <c r="AY110" s="33">
        <f>$AJ110/$AI110*S110</f>
        <v>21185.90059880574</v>
      </c>
      <c r="AZ110" s="33">
        <f>$AJ110/$AI110*T110</f>
        <v>26199.600448121837</v>
      </c>
      <c r="BA110" s="33">
        <f>$AJ110/$AI110*U110</f>
        <v>26163.895424825034</v>
      </c>
      <c r="BB110" s="33">
        <f>$AJ110/$AI110*V110</f>
        <v>32850.007571848888</v>
      </c>
      <c r="BC110" s="33">
        <f>$AJ110/$AI110*W110</f>
        <v>26248.007760496457</v>
      </c>
      <c r="BD110" s="33">
        <f>$AJ110/$AI110*X110</f>
        <v>11723.436103119666</v>
      </c>
      <c r="BE110" s="33">
        <f>$AJ110/$AI110*Y110</f>
        <v>30145.913682315109</v>
      </c>
      <c r="BF110" s="33">
        <f>$AJ110/$AI110*Z110</f>
        <v>19962.418026746451</v>
      </c>
      <c r="BG110" s="33">
        <f>$AJ110/$AI110*AA110</f>
        <v>23523.958252185676</v>
      </c>
      <c r="BH110" s="33">
        <f>$AJ110/$AI110*AB110</f>
        <v>16924.945808913628</v>
      </c>
      <c r="BI110" s="33">
        <f>$AJ110/$AI110*AC110</f>
        <v>25045.018533468628</v>
      </c>
      <c r="BJ110" s="33">
        <f>$AJ110/$AI110*AD110</f>
        <v>39456.368940598688</v>
      </c>
      <c r="BK110" s="33">
        <f>$AJ110/$AI110*AE110</f>
        <v>8973.3725935648636</v>
      </c>
      <c r="BL110" s="33">
        <f>$AJ110/$AI110*AF110</f>
        <v>25016.351749369223</v>
      </c>
      <c r="BM110" s="33">
        <f>$AJ110/$AI110*AG110</f>
        <v>17065.387957108858</v>
      </c>
      <c r="BN110" s="33">
        <f>$AJ110/$AI110*AH110</f>
        <v>16805.128449945405</v>
      </c>
    </row>
    <row r="111" spans="1:66" ht="24.75" x14ac:dyDescent="0.25">
      <c r="A111" s="1" t="s">
        <v>81</v>
      </c>
      <c r="B111" s="4">
        <v>37</v>
      </c>
      <c r="C111" s="4" t="s">
        <v>3</v>
      </c>
      <c r="D111" s="4" t="str">
        <f>A111&amp;C111</f>
        <v>MTWAPA EXPRESSBUTCHERY</v>
      </c>
      <c r="E111" s="2">
        <v>21115.35</v>
      </c>
      <c r="F111" s="2">
        <v>14561.9</v>
      </c>
      <c r="G111" s="2">
        <v>16493.75</v>
      </c>
      <c r="H111" s="2">
        <v>23531.200000000001</v>
      </c>
      <c r="I111" s="2">
        <v>11356.8</v>
      </c>
      <c r="J111" s="2">
        <v>27753.200000000001</v>
      </c>
      <c r="K111" s="2">
        <v>17590.5</v>
      </c>
      <c r="L111" s="2">
        <v>17749.25</v>
      </c>
      <c r="M111" s="2">
        <v>19181.3</v>
      </c>
      <c r="N111" s="2">
        <v>20023.8</v>
      </c>
      <c r="O111" s="2">
        <v>25939.55</v>
      </c>
      <c r="P111" s="2">
        <v>15621.5</v>
      </c>
      <c r="Q111" s="2">
        <v>22265</v>
      </c>
      <c r="R111" s="2">
        <v>14757.4</v>
      </c>
      <c r="S111" s="2">
        <v>22306.7</v>
      </c>
      <c r="T111" s="2">
        <v>15559.7</v>
      </c>
      <c r="U111" s="2">
        <v>16426.5</v>
      </c>
      <c r="V111" s="2">
        <v>10842</v>
      </c>
      <c r="W111" s="2">
        <v>14455.2</v>
      </c>
      <c r="X111" s="2">
        <v>27055.95</v>
      </c>
      <c r="Y111" s="2">
        <v>18930.650000000001</v>
      </c>
      <c r="Z111" s="2">
        <v>7504.25</v>
      </c>
      <c r="AA111" s="2">
        <v>13359.6</v>
      </c>
      <c r="AB111" s="2">
        <v>13872.5</v>
      </c>
      <c r="AC111" s="2">
        <v>13752.4</v>
      </c>
      <c r="AD111" s="2">
        <v>10083</v>
      </c>
      <c r="AE111" s="2">
        <v>17758</v>
      </c>
      <c r="AF111" s="2">
        <v>30422.799999999999</v>
      </c>
      <c r="AG111" s="2">
        <v>20170.150000000001</v>
      </c>
      <c r="AH111" s="2">
        <v>12909.8</v>
      </c>
      <c r="AI111" s="24">
        <f>SUM(E111:AH111)</f>
        <v>533349.70000000007</v>
      </c>
      <c r="AJ111" s="26">
        <v>316861.1731443124</v>
      </c>
      <c r="AK111" s="33">
        <f>$AJ111/$AI111*E111</f>
        <v>12544.554862134086</v>
      </c>
      <c r="AL111" s="33">
        <f>$AJ111/$AI111*F111</f>
        <v>8651.173361886511</v>
      </c>
      <c r="AM111" s="33">
        <f>$AJ111/$AI111*G111</f>
        <v>9798.8786241916005</v>
      </c>
      <c r="AN111" s="33">
        <f>$AJ111/$AI111*H111</f>
        <v>13979.802815101319</v>
      </c>
      <c r="AO111" s="33">
        <f>$AJ111/$AI111*I111</f>
        <v>6747.0347713054434</v>
      </c>
      <c r="AP111" s="33">
        <f>$AJ111/$AI111*J111</f>
        <v>16488.078104307046</v>
      </c>
      <c r="AQ111" s="33">
        <f>$AJ111/$AI111*K111</f>
        <v>10450.453925810827</v>
      </c>
      <c r="AR111" s="33">
        <f>$AJ111/$AI111*L111</f>
        <v>10544.766740155073</v>
      </c>
      <c r="AS111" s="33">
        <f>$AJ111/$AI111*M111</f>
        <v>11395.542587598717</v>
      </c>
      <c r="AT111" s="33">
        <f>$AJ111/$AI111*N111</f>
        <v>11896.068862150072</v>
      </c>
      <c r="AU111" s="33">
        <f>$AJ111/$AI111*O111</f>
        <v>15410.595044556223</v>
      </c>
      <c r="AV111" s="33">
        <f>$AJ111/$AI111*P111</f>
        <v>9280.6779797080144</v>
      </c>
      <c r="AW111" s="33">
        <f>$AJ111/$AI111*Q111</f>
        <v>13227.557866926925</v>
      </c>
      <c r="AX111" s="33">
        <f>$AJ111/$AI111*R111</f>
        <v>8767.3192214411592</v>
      </c>
      <c r="AY111" s="33">
        <f>$AJ111/$AI111*S111</f>
        <v>13252.331689655461</v>
      </c>
      <c r="AZ111" s="33">
        <f>$AJ111/$AI111*T111</f>
        <v>9243.9628179664451</v>
      </c>
      <c r="BA111" s="33">
        <f>$AJ111/$AI111*U111</f>
        <v>9758.925636697737</v>
      </c>
      <c r="BB111" s="33">
        <f>$AJ111/$AI111*V111</f>
        <v>6441.1939094193449</v>
      </c>
      <c r="BC111" s="33">
        <f>$AJ111/$AI111*W111</f>
        <v>8587.7832687178125</v>
      </c>
      <c r="BD111" s="33">
        <f>$AJ111/$AI111*X111</f>
        <v>16073.844341777747</v>
      </c>
      <c r="BE111" s="33">
        <f>$AJ111/$AI111*Y111</f>
        <v>11246.632307816762</v>
      </c>
      <c r="BF111" s="33">
        <f>$AJ111/$AI111*Z111</f>
        <v>4458.2484223169267</v>
      </c>
      <c r="BG111" s="33">
        <f>$AJ111/$AI111*AA111</f>
        <v>7936.8911780371409</v>
      </c>
      <c r="BH111" s="33">
        <f>$AJ111/$AI111*AB111</f>
        <v>8241.6032566334507</v>
      </c>
      <c r="BI111" s="33">
        <f>$AJ111/$AI111*AC111</f>
        <v>8170.2522707893932</v>
      </c>
      <c r="BJ111" s="33">
        <f>$AJ111/$AI111*AD111</f>
        <v>5990.2746899718923</v>
      </c>
      <c r="BK111" s="33">
        <f>$AJ111/$AI111*AE111</f>
        <v>10549.965084252788</v>
      </c>
      <c r="BL111" s="33">
        <f>$AJ111/$AI111*AF111</f>
        <v>18074.078036107992</v>
      </c>
      <c r="BM111" s="33">
        <f>$AJ111/$AI111*AG111</f>
        <v>11983.014880287274</v>
      </c>
      <c r="BN111" s="33">
        <f>$AJ111/$AI111*AH111</f>
        <v>7669.6665865912064</v>
      </c>
    </row>
    <row r="112" spans="1:66" x14ac:dyDescent="0.25">
      <c r="A112" s="1" t="s">
        <v>38</v>
      </c>
      <c r="B112" s="4">
        <v>38</v>
      </c>
      <c r="C112" s="4" t="s">
        <v>3</v>
      </c>
      <c r="D112" s="4" t="str">
        <f>A112&amp;C112</f>
        <v>ELDORETBUTCHERY</v>
      </c>
      <c r="E112" s="2">
        <v>15761.69</v>
      </c>
      <c r="F112" s="2">
        <v>9464.9699999999993</v>
      </c>
      <c r="G112" s="2">
        <v>27304.39</v>
      </c>
      <c r="H112" s="2">
        <v>19441.419999999998</v>
      </c>
      <c r="I112" s="2">
        <v>16748.07</v>
      </c>
      <c r="J112" s="2">
        <v>26730.68</v>
      </c>
      <c r="K112" s="2">
        <v>15331.68</v>
      </c>
      <c r="L112" s="2">
        <v>18857.080000000002</v>
      </c>
      <c r="M112" s="2">
        <v>26671.53</v>
      </c>
      <c r="N112" s="2">
        <v>17680.3</v>
      </c>
      <c r="O112" s="2">
        <v>17681.63</v>
      </c>
      <c r="P112" s="2">
        <v>21942.83</v>
      </c>
      <c r="Q112" s="2">
        <v>19636.71</v>
      </c>
      <c r="R112" s="2">
        <v>14676.5</v>
      </c>
      <c r="S112" s="2">
        <v>14857.91</v>
      </c>
      <c r="T112" s="2">
        <v>10395.64</v>
      </c>
      <c r="U112" s="2">
        <v>15881.02</v>
      </c>
      <c r="V112" s="2">
        <v>29949.93</v>
      </c>
      <c r="W112" s="2">
        <v>33585.61</v>
      </c>
      <c r="X112" s="2">
        <v>21595.59</v>
      </c>
      <c r="Y112" s="2">
        <v>20743.97</v>
      </c>
      <c r="Z112" s="2">
        <v>9467.76</v>
      </c>
      <c r="AA112" s="2">
        <v>6126.22</v>
      </c>
      <c r="AB112" s="2">
        <v>17473.36</v>
      </c>
      <c r="AC112" s="2">
        <v>12805</v>
      </c>
      <c r="AD112" s="2">
        <v>18399.82</v>
      </c>
      <c r="AE112" s="2">
        <v>13808.9</v>
      </c>
      <c r="AF112" s="2">
        <v>21023.51</v>
      </c>
      <c r="AG112" s="2">
        <v>14525.88</v>
      </c>
      <c r="AH112" s="2">
        <v>21360.14</v>
      </c>
      <c r="AI112" s="24">
        <f>SUM(E112:AH112)</f>
        <v>549929.74</v>
      </c>
      <c r="AJ112" s="26">
        <v>564938.57812607638</v>
      </c>
      <c r="AK112" s="33">
        <f>$AJ112/$AI112*E112</f>
        <v>16191.862504951991</v>
      </c>
      <c r="AL112" s="33">
        <f>$AJ112/$AI112*F112</f>
        <v>9723.2906403752022</v>
      </c>
      <c r="AM112" s="33">
        <f>$AJ112/$AI112*G112</f>
        <v>28049.589140605229</v>
      </c>
      <c r="AN112" s="33">
        <f>$AJ112/$AI112*H112</f>
        <v>19972.020737688894</v>
      </c>
      <c r="AO112" s="33">
        <f>$AJ112/$AI112*I112</f>
        <v>17205.16306711471</v>
      </c>
      <c r="AP112" s="33">
        <f>$AJ112/$AI112*J112</f>
        <v>27460.221284892043</v>
      </c>
      <c r="AQ112" s="33">
        <f>$AJ112/$AI112*K112</f>
        <v>15750.116550314233</v>
      </c>
      <c r="AR112" s="33">
        <f>$AJ112/$AI112*L112</f>
        <v>19371.732765006804</v>
      </c>
      <c r="AS112" s="33">
        <f>$AJ112/$AI112*M112</f>
        <v>27399.456946349161</v>
      </c>
      <c r="AT112" s="33">
        <f>$AJ112/$AI112*N112</f>
        <v>18162.835752149844</v>
      </c>
      <c r="AU112" s="33">
        <f>$AJ112/$AI112*O112</f>
        <v>18164.202050886313</v>
      </c>
      <c r="AV112" s="33">
        <f>$AJ112/$AI112*P112</f>
        <v>22541.699927452937</v>
      </c>
      <c r="AW112" s="33">
        <f>$AJ112/$AI112*Q112</f>
        <v>20172.640647647288</v>
      </c>
      <c r="AX112" s="33">
        <f>$AJ112/$AI112*R112</f>
        <v>15077.055192300311</v>
      </c>
      <c r="AY112" s="33">
        <f>$AJ112/$AI112*S112</f>
        <v>15263.416285369856</v>
      </c>
      <c r="AZ112" s="33">
        <f>$AJ112/$AI112*T112</f>
        <v>10679.360749448764</v>
      </c>
      <c r="BA112" s="33">
        <f>$AJ112/$AI112*U112</f>
        <v>16314.449293089297</v>
      </c>
      <c r="BB112" s="33">
        <f>$AJ112/$AI112*V112</f>
        <v>30767.331967126414</v>
      </c>
      <c r="BC112" s="33">
        <f>$AJ112/$AI112*W112</f>
        <v>34502.237974794618</v>
      </c>
      <c r="BD112" s="33">
        <f>$AJ112/$AI112*X112</f>
        <v>22184.982955083888</v>
      </c>
      <c r="BE112" s="33">
        <f>$AJ112/$AI112*Y112</f>
        <v>21310.120300986058</v>
      </c>
      <c r="BF112" s="33">
        <f>$AJ112/$AI112*Z112</f>
        <v>9726.1567858449343</v>
      </c>
      <c r="BG112" s="33">
        <f>$AJ112/$AI112*AA112</f>
        <v>6293.4185303154027</v>
      </c>
      <c r="BH112" s="33">
        <f>$AJ112/$AI112*AB112</f>
        <v>17950.247887093828</v>
      </c>
      <c r="BI112" s="33">
        <f>$AJ112/$AI112*AC112</f>
        <v>13154.477684557318</v>
      </c>
      <c r="BJ112" s="33">
        <f>$AJ112/$AI112*AD112</f>
        <v>18901.993095655715</v>
      </c>
      <c r="BK112" s="33">
        <f>$AJ112/$AI112*AE112</f>
        <v>14185.776407519215</v>
      </c>
      <c r="BL112" s="33">
        <f>$AJ112/$AI112*AF112</f>
        <v>21597.289585792081</v>
      </c>
      <c r="BM112" s="33">
        <f>$AJ112/$AI112*AG112</f>
        <v>14922.324428626118</v>
      </c>
      <c r="BN112" s="33">
        <f>$AJ112/$AI112*AH112</f>
        <v>21943.106987037885</v>
      </c>
    </row>
    <row r="113" spans="1:66" x14ac:dyDescent="0.25">
      <c r="A113" s="1" t="s">
        <v>36</v>
      </c>
      <c r="B113" s="4">
        <v>39</v>
      </c>
      <c r="C113" s="4" t="s">
        <v>3</v>
      </c>
      <c r="D113" s="4" t="str">
        <f>A113&amp;C113</f>
        <v>KAKAMEGABUTCHERY</v>
      </c>
      <c r="E113" s="2">
        <v>17492.52</v>
      </c>
      <c r="F113" s="2">
        <v>20387.080000000002</v>
      </c>
      <c r="G113" s="2">
        <v>26013.919999999998</v>
      </c>
      <c r="H113" s="2">
        <v>24737.46</v>
      </c>
      <c r="I113" s="2">
        <v>23504.2</v>
      </c>
      <c r="J113" s="2">
        <v>30400.63</v>
      </c>
      <c r="K113" s="2">
        <v>17767.05</v>
      </c>
      <c r="L113" s="2">
        <v>26993.09</v>
      </c>
      <c r="M113" s="2">
        <v>31636.720000000001</v>
      </c>
      <c r="N113" s="2">
        <v>22762.95</v>
      </c>
      <c r="O113" s="2">
        <v>33740.46</v>
      </c>
      <c r="P113" s="2">
        <v>26554.62</v>
      </c>
      <c r="Q113" s="2">
        <v>25659.599999999999</v>
      </c>
      <c r="R113" s="2">
        <v>21246.41</v>
      </c>
      <c r="S113" s="2">
        <v>26424.53</v>
      </c>
      <c r="T113" s="2">
        <v>26641.65</v>
      </c>
      <c r="U113" s="2">
        <v>23418.47</v>
      </c>
      <c r="V113" s="2">
        <v>35197.26</v>
      </c>
      <c r="W113" s="2">
        <v>31717.05</v>
      </c>
      <c r="X113" s="2">
        <v>29695.73</v>
      </c>
      <c r="Y113" s="2">
        <v>28289.439999999999</v>
      </c>
      <c r="Z113" s="2">
        <v>24149.79</v>
      </c>
      <c r="AA113" s="2">
        <v>22492.36</v>
      </c>
      <c r="AB113" s="2">
        <v>24209.95</v>
      </c>
      <c r="AC113" s="2">
        <v>23532.97</v>
      </c>
      <c r="AD113" s="2">
        <v>29802.31</v>
      </c>
      <c r="AE113" s="2">
        <v>15924</v>
      </c>
      <c r="AF113" s="2">
        <v>33453.800000000003</v>
      </c>
      <c r="AG113" s="2">
        <v>21810.36</v>
      </c>
      <c r="AH113" s="2">
        <v>16256.82</v>
      </c>
      <c r="AI113" s="24">
        <f>SUM(E113:AH113)</f>
        <v>761913.2</v>
      </c>
      <c r="AJ113" s="26">
        <v>586581.69438502309</v>
      </c>
      <c r="AK113" s="33">
        <f>$AJ113/$AI113*E113</f>
        <v>13467.140378541682</v>
      </c>
      <c r="AL113" s="33">
        <f>$AJ113/$AI113*F113</f>
        <v>15695.604079261284</v>
      </c>
      <c r="AM113" s="33">
        <f>$AJ113/$AI113*G113</f>
        <v>20027.595362826683</v>
      </c>
      <c r="AN113" s="33">
        <f>$AJ113/$AI113*H113</f>
        <v>19044.874405091989</v>
      </c>
      <c r="AO113" s="33">
        <f>$AJ113/$AI113*I113</f>
        <v>18095.412261087564</v>
      </c>
      <c r="AP113" s="33">
        <f>$AJ113/$AI113*J113</f>
        <v>23404.835427148613</v>
      </c>
      <c r="AQ113" s="33">
        <f>$AJ113/$AI113*K113</f>
        <v>13678.495520517856</v>
      </c>
      <c r="AR113" s="33">
        <f>$AJ113/$AI113*L113</f>
        <v>20781.43871098102</v>
      </c>
      <c r="AS113" s="33">
        <f>$AJ113/$AI113*M113</f>
        <v>24356.476331404352</v>
      </c>
      <c r="AT113" s="33">
        <f>$AJ113/$AI113*N113</f>
        <v>17524.738750032895</v>
      </c>
      <c r="AU113" s="33">
        <f>$AJ113/$AI113*O113</f>
        <v>25976.103572073691</v>
      </c>
      <c r="AV113" s="33">
        <f>$AJ113/$AI113*P113</f>
        <v>20443.869450418264</v>
      </c>
      <c r="AW113" s="33">
        <f>$AJ113/$AI113*Q113</f>
        <v>19754.811499842683</v>
      </c>
      <c r="AX113" s="33">
        <f>$AJ113/$AI113*R113</f>
        <v>16357.185014512019</v>
      </c>
      <c r="AY113" s="33">
        <f>$AJ113/$AI113*S113</f>
        <v>20343.715768053204</v>
      </c>
      <c r="AZ113" s="33">
        <f>$AJ113/$AI113*T113</f>
        <v>20510.872102245703</v>
      </c>
      <c r="BA113" s="33">
        <f>$AJ113/$AI113*U113</f>
        <v>18029.410453191824</v>
      </c>
      <c r="BB113" s="33">
        <f>$AJ113/$AI113*V113</f>
        <v>27097.664679533311</v>
      </c>
      <c r="BC113" s="33">
        <f>$AJ113/$AI113*W113</f>
        <v>24418.320787583805</v>
      </c>
      <c r="BD113" s="33">
        <f>$AJ113/$AI113*X113</f>
        <v>22862.147052184111</v>
      </c>
      <c r="BE113" s="33">
        <f>$AJ113/$AI113*Y113</f>
        <v>21779.472580870693</v>
      </c>
      <c r="BF113" s="33">
        <f>$AJ113/$AI113*Z113</f>
        <v>18592.439056368217</v>
      </c>
      <c r="BG113" s="33">
        <f>$AJ113/$AI113*AA113</f>
        <v>17316.416935049714</v>
      </c>
      <c r="BH113" s="33">
        <f>$AJ113/$AI113*AB113</f>
        <v>18638.755034007405</v>
      </c>
      <c r="BI113" s="33">
        <f>$AJ113/$AI113*AC113</f>
        <v>18117.561707175984</v>
      </c>
      <c r="BJ113" s="33">
        <f>$AJ113/$AI113*AD113</f>
        <v>22944.200856984389</v>
      </c>
      <c r="BK113" s="33">
        <f>$AJ113/$AI113*AE113</f>
        <v>12259.56828335184</v>
      </c>
      <c r="BL113" s="33">
        <f>$AJ113/$AI113*AF113</f>
        <v>25755.409786334832</v>
      </c>
      <c r="BM113" s="33">
        <f>$AJ113/$AI113*AG113</f>
        <v>16791.358810882044</v>
      </c>
      <c r="BN113" s="33">
        <f>$AJ113/$AI113*AH113</f>
        <v>12515.799727465454</v>
      </c>
    </row>
    <row r="114" spans="1:66" x14ac:dyDescent="0.25">
      <c r="A114" s="1" t="s">
        <v>39</v>
      </c>
      <c r="B114" s="4">
        <v>40</v>
      </c>
      <c r="C114" s="4" t="s">
        <v>3</v>
      </c>
      <c r="D114" s="4" t="str">
        <f>A114&amp;C114</f>
        <v>CHANIABUTCHERY</v>
      </c>
      <c r="E114" s="2">
        <v>72456.179999999993</v>
      </c>
      <c r="F114" s="2">
        <v>85365.24</v>
      </c>
      <c r="G114" s="2">
        <v>89656.73</v>
      </c>
      <c r="H114" s="2">
        <v>123862.18</v>
      </c>
      <c r="I114" s="2">
        <v>94825.15</v>
      </c>
      <c r="J114" s="2">
        <v>61599.07</v>
      </c>
      <c r="K114" s="2">
        <v>124349.39</v>
      </c>
      <c r="L114" s="2">
        <v>55018.44</v>
      </c>
      <c r="M114" s="2">
        <v>95783.98</v>
      </c>
      <c r="N114" s="2">
        <v>61868.23</v>
      </c>
      <c r="O114" s="2">
        <v>105606.24</v>
      </c>
      <c r="P114" s="2">
        <v>75413.8</v>
      </c>
      <c r="Q114" s="2">
        <v>73293.11</v>
      </c>
      <c r="R114" s="2">
        <v>152633.16</v>
      </c>
      <c r="S114" s="2">
        <v>45045.14</v>
      </c>
      <c r="T114" s="2">
        <v>216425.59</v>
      </c>
      <c r="U114" s="2">
        <v>104092.95</v>
      </c>
      <c r="V114" s="2">
        <v>85662.02</v>
      </c>
      <c r="W114" s="2">
        <v>93080.27</v>
      </c>
      <c r="X114" s="2">
        <v>60822.3</v>
      </c>
      <c r="Y114" s="2">
        <v>67739.73</v>
      </c>
      <c r="Z114" s="2">
        <v>93539.07</v>
      </c>
      <c r="AA114" s="2">
        <v>52318.43</v>
      </c>
      <c r="AB114" s="2">
        <v>80484.37</v>
      </c>
      <c r="AC114" s="2">
        <v>75434.42</v>
      </c>
      <c r="AD114" s="2">
        <v>86332.39</v>
      </c>
      <c r="AE114" s="2">
        <v>75445.789999999994</v>
      </c>
      <c r="AF114" s="2">
        <v>120933.08</v>
      </c>
      <c r="AG114" s="2">
        <v>87254.17</v>
      </c>
      <c r="AH114" s="2">
        <v>202197.48</v>
      </c>
      <c r="AI114" s="24">
        <f>SUM(E114:AH114)</f>
        <v>2818538.1</v>
      </c>
      <c r="AJ114" s="26">
        <v>2615904.8227359676</v>
      </c>
      <c r="AK114" s="33">
        <f>$AJ114/$AI114*E114</f>
        <v>67247.0848270688</v>
      </c>
      <c r="AL114" s="33">
        <f>$AJ114/$AI114*F114</f>
        <v>79228.073237687771</v>
      </c>
      <c r="AM114" s="33">
        <f>$AJ114/$AI114*G114</f>
        <v>83211.034967998654</v>
      </c>
      <c r="AN114" s="33">
        <f>$AJ114/$AI114*H114</f>
        <v>114957.35112347442</v>
      </c>
      <c r="AO114" s="33">
        <f>$AJ114/$AI114*I114</f>
        <v>88007.881533218053</v>
      </c>
      <c r="AP114" s="33">
        <f>$AJ114/$AI114*J114</f>
        <v>57170.525489455133</v>
      </c>
      <c r="AQ114" s="33">
        <f>$AJ114/$AI114*K114</f>
        <v>115409.53411460915</v>
      </c>
      <c r="AR114" s="33">
        <f>$AJ114/$AI114*L114</f>
        <v>51062.996996708847</v>
      </c>
      <c r="AS114" s="33">
        <f>$AJ114/$AI114*M114</f>
        <v>88897.778328008208</v>
      </c>
      <c r="AT114" s="33">
        <f>$AJ114/$AI114*N114</f>
        <v>57420.334758340883</v>
      </c>
      <c r="AU114" s="33">
        <f>$AJ114/$AI114*O114</f>
        <v>98013.886179864683</v>
      </c>
      <c r="AV114" s="33">
        <f>$AJ114/$AI114*P114</f>
        <v>69992.07252896305</v>
      </c>
      <c r="AW114" s="33">
        <f>$AJ114/$AI114*Q114</f>
        <v>68023.845383646854</v>
      </c>
      <c r="AX114" s="33">
        <f>$AJ114/$AI114*R114</f>
        <v>141659.89785748525</v>
      </c>
      <c r="AY114" s="33">
        <f>$AJ114/$AI114*S114</f>
        <v>41806.707869876525</v>
      </c>
      <c r="AZ114" s="33">
        <f>$AJ114/$AI114*T114</f>
        <v>200866.09602491348</v>
      </c>
      <c r="BA114" s="33">
        <f>$AJ114/$AI114*U114</f>
        <v>96609.391200996688</v>
      </c>
      <c r="BB114" s="33">
        <f>$AJ114/$AI114*V114</f>
        <v>79503.516820760706</v>
      </c>
      <c r="BC114" s="33">
        <f>$AJ114/$AI114*W114</f>
        <v>86388.446263886231</v>
      </c>
      <c r="BD114" s="33">
        <f>$AJ114/$AI114*X114</f>
        <v>56449.599847486126</v>
      </c>
      <c r="BE114" s="33">
        <f>$AJ114/$AI114*Y114</f>
        <v>62869.71476377498</v>
      </c>
      <c r="BF114" s="33">
        <f>$AJ114/$AI114*Z114</f>
        <v>86814.261736336746</v>
      </c>
      <c r="BG114" s="33">
        <f>$AJ114/$AI114*AA114</f>
        <v>48557.098928332431</v>
      </c>
      <c r="BH114" s="33">
        <f>$AJ114/$AI114*AB114</f>
        <v>74698.103828316525</v>
      </c>
      <c r="BI114" s="33">
        <f>$AJ114/$AI114*AC114</f>
        <v>70011.210094442402</v>
      </c>
      <c r="BJ114" s="33">
        <f>$AJ114/$AI114*AD114</f>
        <v>80125.691882370651</v>
      </c>
      <c r="BK114" s="33">
        <f>$AJ114/$AI114*AE114</f>
        <v>70021.76267055783</v>
      </c>
      <c r="BL114" s="33">
        <f>$AJ114/$AI114*AF114</f>
        <v>112238.83303202983</v>
      </c>
      <c r="BM114" s="33">
        <f>$AJ114/$AI114*AG114</f>
        <v>80981.202314357201</v>
      </c>
      <c r="BN114" s="33">
        <f>$AJ114/$AI114*AH114</f>
        <v>187660.88813099932</v>
      </c>
    </row>
    <row r="115" spans="1:66" x14ac:dyDescent="0.25">
      <c r="A115" s="1" t="s">
        <v>40</v>
      </c>
      <c r="B115" s="4">
        <v>41</v>
      </c>
      <c r="C115" s="4" t="s">
        <v>3</v>
      </c>
      <c r="D115" s="4" t="str">
        <f>A115&amp;C115</f>
        <v>OTCBUTCHERY</v>
      </c>
      <c r="E115" s="2">
        <v>10518.3</v>
      </c>
      <c r="F115" s="2">
        <v>16374.86</v>
      </c>
      <c r="G115" s="2">
        <v>16382.41</v>
      </c>
      <c r="H115" s="2">
        <v>16911.919999999998</v>
      </c>
      <c r="I115" s="2">
        <v>25571.79</v>
      </c>
      <c r="J115" s="2">
        <v>17694.45</v>
      </c>
      <c r="K115" s="2">
        <v>22288.560000000001</v>
      </c>
      <c r="L115" s="2">
        <v>18443.22</v>
      </c>
      <c r="M115" s="2">
        <v>12774.72</v>
      </c>
      <c r="N115" s="2">
        <v>15258.63</v>
      </c>
      <c r="O115" s="2">
        <v>15543.56</v>
      </c>
      <c r="P115" s="2">
        <v>27590.61</v>
      </c>
      <c r="Q115" s="2">
        <v>16165.29</v>
      </c>
      <c r="R115" s="2">
        <v>13914.29</v>
      </c>
      <c r="S115" s="2">
        <v>12101.86</v>
      </c>
      <c r="T115" s="2">
        <v>15802.43</v>
      </c>
      <c r="U115" s="2">
        <v>18872.48</v>
      </c>
      <c r="V115" s="2">
        <v>14893.77</v>
      </c>
      <c r="W115" s="2">
        <v>24837.439999999999</v>
      </c>
      <c r="X115" s="2">
        <v>30758.77</v>
      </c>
      <c r="Y115" s="2">
        <v>15417.06</v>
      </c>
      <c r="Z115" s="2">
        <v>19558.82</v>
      </c>
      <c r="AA115" s="2">
        <v>11850.88</v>
      </c>
      <c r="AB115" s="2">
        <v>18786.68</v>
      </c>
      <c r="AC115" s="2">
        <v>16815.45</v>
      </c>
      <c r="AD115" s="2">
        <v>25176.38</v>
      </c>
      <c r="AE115" s="2">
        <v>20381.79</v>
      </c>
      <c r="AF115" s="2">
        <v>29369.24</v>
      </c>
      <c r="AG115" s="2">
        <v>15932.77</v>
      </c>
      <c r="AH115" s="2">
        <v>12533.71</v>
      </c>
      <c r="AI115" s="24">
        <f>SUM(E115:AH115)</f>
        <v>548522.14</v>
      </c>
      <c r="AJ115" s="26">
        <v>516854.3208446966</v>
      </c>
      <c r="AK115" s="33">
        <f>$AJ115/$AI115*E115</f>
        <v>9911.0471692916017</v>
      </c>
      <c r="AL115" s="33">
        <f>$AJ115/$AI115*F115</f>
        <v>15429.490492812174</v>
      </c>
      <c r="AM115" s="33">
        <f>$AJ115/$AI115*G115</f>
        <v>15436.604608793668</v>
      </c>
      <c r="AN115" s="33">
        <f>$AJ115/$AI115*H115</f>
        <v>15935.54441718586</v>
      </c>
      <c r="AO115" s="33">
        <f>$AJ115/$AI115*I115</f>
        <v>24095.454293300183</v>
      </c>
      <c r="AP115" s="33">
        <f>$AJ115/$AI115*J115</f>
        <v>16672.896626324768</v>
      </c>
      <c r="AQ115" s="33">
        <f>$AJ115/$AI115*K115</f>
        <v>21001.774953707925</v>
      </c>
      <c r="AR115" s="33">
        <f>$AJ115/$AI115*L115</f>
        <v>17378.437900955694</v>
      </c>
      <c r="AS115" s="33">
        <f>$AJ115/$AI115*M115</f>
        <v>12037.197312730463</v>
      </c>
      <c r="AT115" s="33">
        <f>$AJ115/$AI115*N115</f>
        <v>14377.703779961394</v>
      </c>
      <c r="AU115" s="33">
        <f>$AJ115/$AI115*O115</f>
        <v>14646.183921233867</v>
      </c>
      <c r="AV115" s="33">
        <f>$AJ115/$AI115*P115</f>
        <v>25997.721793400891</v>
      </c>
      <c r="AW115" s="33">
        <f>$AJ115/$AI115*Q115</f>
        <v>15232.019593972207</v>
      </c>
      <c r="AX115" s="33">
        <f>$AJ115/$AI115*R115</f>
        <v>13110.976537767745</v>
      </c>
      <c r="AY115" s="33">
        <f>$AJ115/$AI115*S115</f>
        <v>11403.18352739162</v>
      </c>
      <c r="AZ115" s="33">
        <f>$AJ115/$AI115*T115</f>
        <v>14890.108584032469</v>
      </c>
      <c r="BA115" s="33">
        <f>$AJ115/$AI115*U115</f>
        <v>17782.915440851884</v>
      </c>
      <c r="BB115" s="33">
        <f>$AJ115/$AI115*V115</f>
        <v>14033.908235986823</v>
      </c>
      <c r="BC115" s="33">
        <f>$AJ115/$AI115*W115</f>
        <v>23403.500509060399</v>
      </c>
      <c r="BD115" s="33">
        <f>$AJ115/$AI115*X115</f>
        <v>28982.974467299038</v>
      </c>
      <c r="BE115" s="33">
        <f>$AJ115/$AI115*Y115</f>
        <v>14526.987143530683</v>
      </c>
      <c r="BF115" s="33">
        <f>$AJ115/$AI115*Z115</f>
        <v>18429.630985585503</v>
      </c>
      <c r="BG115" s="33">
        <f>$AJ115/$AI115*AA115</f>
        <v>11166.693351360434</v>
      </c>
      <c r="BH115" s="33">
        <f>$AJ115/$AI115*AB115</f>
        <v>17702.068930757552</v>
      </c>
      <c r="BI115" s="33">
        <f>$AJ115/$AI115*AC115</f>
        <v>15844.643918015696</v>
      </c>
      <c r="BJ115" s="33">
        <f>$AJ115/$AI115*AD115</f>
        <v>23722.872491943541</v>
      </c>
      <c r="BK115" s="33">
        <f>$AJ115/$AI115*AE115</f>
        <v>19205.08847290873</v>
      </c>
      <c r="BL115" s="33">
        <f>$AJ115/$AI115*AF115</f>
        <v>27673.666178588341</v>
      </c>
      <c r="BM115" s="33">
        <f>$AJ115/$AI115*AG115</f>
        <v>15012.92366708253</v>
      </c>
      <c r="BN115" s="33">
        <f>$AJ115/$AI115*AH115</f>
        <v>11810.10153886292</v>
      </c>
    </row>
    <row r="116" spans="1:66" ht="24.75" x14ac:dyDescent="0.25">
      <c r="A116" s="1" t="s">
        <v>41</v>
      </c>
      <c r="B116" s="4">
        <v>42</v>
      </c>
      <c r="C116" s="4" t="s">
        <v>3</v>
      </c>
      <c r="D116" s="4" t="str">
        <f>A116&amp;C116</f>
        <v>MTWAPA MALLBUTCHERY</v>
      </c>
      <c r="E116" s="2">
        <v>60320.2</v>
      </c>
      <c r="F116" s="2">
        <v>74615.899999999994</v>
      </c>
      <c r="G116" s="2">
        <v>48144.800000000003</v>
      </c>
      <c r="H116" s="2">
        <v>69314.649999999994</v>
      </c>
      <c r="I116" s="2">
        <v>77486</v>
      </c>
      <c r="J116" s="2">
        <v>91168.3</v>
      </c>
      <c r="K116" s="2">
        <v>64280.4</v>
      </c>
      <c r="L116" s="2">
        <v>59188.65</v>
      </c>
      <c r="M116" s="2">
        <v>52993.3</v>
      </c>
      <c r="N116" s="2">
        <v>72861.5</v>
      </c>
      <c r="O116" s="2">
        <v>42633.15</v>
      </c>
      <c r="P116" s="2">
        <v>79143.05</v>
      </c>
      <c r="Q116" s="2">
        <v>67938.75</v>
      </c>
      <c r="R116" s="2">
        <v>62539.5</v>
      </c>
      <c r="S116" s="2">
        <v>63210.45</v>
      </c>
      <c r="T116" s="2">
        <v>64908</v>
      </c>
      <c r="U116" s="2">
        <v>68207.399999999994</v>
      </c>
      <c r="V116" s="2">
        <v>95601.3</v>
      </c>
      <c r="W116" s="2">
        <v>96721.55</v>
      </c>
      <c r="X116" s="2">
        <v>61048.4</v>
      </c>
      <c r="Y116" s="2">
        <v>54225.25</v>
      </c>
      <c r="Z116" s="2">
        <v>52246.3</v>
      </c>
      <c r="AA116" s="2">
        <v>51937.8</v>
      </c>
      <c r="AB116" s="2">
        <v>46494.7</v>
      </c>
      <c r="AC116" s="2">
        <v>54733.15</v>
      </c>
      <c r="AD116" s="2">
        <v>81708.800000000003</v>
      </c>
      <c r="AE116" s="2">
        <v>98921</v>
      </c>
      <c r="AF116" s="2">
        <v>94189.5</v>
      </c>
      <c r="AG116" s="2">
        <v>65398</v>
      </c>
      <c r="AH116" s="2">
        <v>74277.600000000006</v>
      </c>
      <c r="AI116" s="24">
        <f>SUM(E116:AH116)</f>
        <v>2046457.35</v>
      </c>
      <c r="AJ116" s="26">
        <v>1223870.0378598364</v>
      </c>
      <c r="AK116" s="33">
        <f>$AJ116/$AI116*E116</f>
        <v>36074.089429575892</v>
      </c>
      <c r="AL116" s="33">
        <f>$AJ116/$AI116*F116</f>
        <v>44623.536551077283</v>
      </c>
      <c r="AM116" s="33">
        <f>$AJ116/$AI116*G116</f>
        <v>28792.673445529781</v>
      </c>
      <c r="AN116" s="33">
        <f>$AJ116/$AI116*H116</f>
        <v>41453.159685805957</v>
      </c>
      <c r="AO116" s="33">
        <f>$AJ116/$AI116*I116</f>
        <v>46339.980529575791</v>
      </c>
      <c r="AP116" s="33">
        <f>$AJ116/$AI116*J116</f>
        <v>54522.587911552087</v>
      </c>
      <c r="AQ116" s="33">
        <f>$AJ116/$AI116*K116</f>
        <v>38442.460372626585</v>
      </c>
      <c r="AR116" s="33">
        <f>$AJ116/$AI116*L116</f>
        <v>35397.373571637152</v>
      </c>
      <c r="AS116" s="33">
        <f>$AJ116/$AI116*M116</f>
        <v>31692.286222000992</v>
      </c>
      <c r="AT116" s="33">
        <f>$AJ116/$AI116*N116</f>
        <v>43574.329444747265</v>
      </c>
      <c r="AU116" s="33">
        <f>$AJ116/$AI116*O116</f>
        <v>25496.46827703694</v>
      </c>
      <c r="AV116" s="33">
        <f>$AJ116/$AI116*P116</f>
        <v>47330.968123935207</v>
      </c>
      <c r="AW116" s="33">
        <f>$AJ116/$AI116*Q116</f>
        <v>40630.3119557561</v>
      </c>
      <c r="AX116" s="33">
        <f>$AJ116/$AI116*R116</f>
        <v>37401.326850391109</v>
      </c>
      <c r="AY116" s="33">
        <f>$AJ116/$AI116*S116</f>
        <v>37802.583979889583</v>
      </c>
      <c r="AZ116" s="33">
        <f>$AJ116/$AI116*T116</f>
        <v>38817.792326532603</v>
      </c>
      <c r="BA116" s="33">
        <f>$AJ116/$AI116*U116</f>
        <v>40790.97627923738</v>
      </c>
      <c r="BB116" s="33">
        <f>$AJ116/$AI116*V116</f>
        <v>57173.713710891439</v>
      </c>
      <c r="BC116" s="33">
        <f>$AJ116/$AI116*W116</f>
        <v>57843.671679921426</v>
      </c>
      <c r="BD116" s="33">
        <f>$AJ116/$AI116*X116</f>
        <v>36509.584536067865</v>
      </c>
      <c r="BE116" s="33">
        <f>$AJ116/$AI116*Y116</f>
        <v>32429.045623872436</v>
      </c>
      <c r="BF116" s="33">
        <f>$AJ116/$AI116*Z116</f>
        <v>31245.547902103295</v>
      </c>
      <c r="BG116" s="33">
        <f>$AJ116/$AI116*AA116</f>
        <v>31061.051554461472</v>
      </c>
      <c r="BH116" s="33">
        <f>$AJ116/$AI116*AB116</f>
        <v>27805.842251870887</v>
      </c>
      <c r="BI116" s="33">
        <f>$AJ116/$AI116*AC116</f>
        <v>32732.791798806898</v>
      </c>
      <c r="BJ116" s="33">
        <f>$AJ116/$AI116*AD116</f>
        <v>48865.397634346882</v>
      </c>
      <c r="BK116" s="33">
        <f>$AJ116/$AI116*AE116</f>
        <v>59159.037941901333</v>
      </c>
      <c r="BL116" s="33">
        <f>$AJ116/$AI116*AF116</f>
        <v>56329.39622758278</v>
      </c>
      <c r="BM116" s="33">
        <f>$AJ116/$AI116*AG116</f>
        <v>39110.833527000977</v>
      </c>
      <c r="BN116" s="33">
        <f>$AJ116/$AI116*AH116</f>
        <v>44421.218514100859</v>
      </c>
    </row>
    <row r="117" spans="1:66" x14ac:dyDescent="0.25">
      <c r="A117" s="1" t="s">
        <v>42</v>
      </c>
      <c r="B117" s="4">
        <v>43</v>
      </c>
      <c r="C117" s="4" t="s">
        <v>3</v>
      </c>
      <c r="D117" s="4" t="str">
        <f>A117&amp;C117</f>
        <v>KITALEBUTCHERY</v>
      </c>
      <c r="E117" s="2">
        <v>35837.620000000003</v>
      </c>
      <c r="F117" s="2">
        <v>35475.54</v>
      </c>
      <c r="G117" s="2">
        <v>25496.560000000001</v>
      </c>
      <c r="H117" s="2">
        <v>36364.879999999997</v>
      </c>
      <c r="I117" s="2">
        <v>35547.14</v>
      </c>
      <c r="J117" s="2">
        <v>27995.32</v>
      </c>
      <c r="K117" s="2">
        <v>30520.57</v>
      </c>
      <c r="L117" s="2">
        <v>38048.75</v>
      </c>
      <c r="M117" s="2">
        <v>33139.24</v>
      </c>
      <c r="N117" s="2">
        <v>63652.04</v>
      </c>
      <c r="O117" s="2">
        <v>78080.759999999995</v>
      </c>
      <c r="P117" s="2">
        <v>35193.47</v>
      </c>
      <c r="Q117" s="2">
        <v>19310.23</v>
      </c>
      <c r="R117" s="2">
        <v>28703.45</v>
      </c>
      <c r="S117" s="2">
        <v>26192.91</v>
      </c>
      <c r="T117" s="2">
        <v>32344.05</v>
      </c>
      <c r="U117" s="2">
        <v>25528.21</v>
      </c>
      <c r="V117" s="2">
        <v>40039.360000000001</v>
      </c>
      <c r="W117" s="2">
        <v>36268.29</v>
      </c>
      <c r="X117" s="2">
        <v>30594.29</v>
      </c>
      <c r="Y117" s="2">
        <v>31323.87</v>
      </c>
      <c r="Z117" s="2">
        <v>101495.26</v>
      </c>
      <c r="AA117" s="2">
        <v>28982.04</v>
      </c>
      <c r="AB117" s="2">
        <v>18523.740000000002</v>
      </c>
      <c r="AC117" s="2">
        <v>31675.05</v>
      </c>
      <c r="AD117" s="2">
        <v>42291.66</v>
      </c>
      <c r="AE117" s="2">
        <v>32840.79</v>
      </c>
      <c r="AF117" s="2">
        <v>50849.98</v>
      </c>
      <c r="AG117" s="2">
        <v>33242.47</v>
      </c>
      <c r="AH117" s="2">
        <v>28251.85</v>
      </c>
      <c r="AI117" s="24">
        <f>SUM(E117:AH117)</f>
        <v>1113809.3900000004</v>
      </c>
      <c r="AJ117" s="26">
        <v>1131814.0721519662</v>
      </c>
      <c r="AK117" s="33">
        <f>$AJ117/$AI117*E117</f>
        <v>36416.933626708553</v>
      </c>
      <c r="AL117" s="33">
        <f>$AJ117/$AI117*F117</f>
        <v>36049.000618669546</v>
      </c>
      <c r="AM117" s="33">
        <f>$AJ117/$AI117*G117</f>
        <v>25908.710824809019</v>
      </c>
      <c r="AN117" s="33">
        <f>$AJ117/$AI117*H117</f>
        <v>36952.716762531134</v>
      </c>
      <c r="AO117" s="33">
        <f>$AJ117/$AI117*I117</f>
        <v>36121.758029671517</v>
      </c>
      <c r="AP117" s="33">
        <f>$AJ117/$AI117*J117</f>
        <v>28447.863175581035</v>
      </c>
      <c r="AQ117" s="33">
        <f>$AJ117/$AI117*K117</f>
        <v>31013.933736093863</v>
      </c>
      <c r="AR117" s="33">
        <f>$AJ117/$AI117*L117</f>
        <v>38663.8064505742</v>
      </c>
      <c r="AS117" s="33">
        <f>$AJ117/$AI117*M117</f>
        <v>33674.934426995009</v>
      </c>
      <c r="AT117" s="33">
        <f>$AJ117/$AI117*N117</f>
        <v>64680.972561364222</v>
      </c>
      <c r="AU117" s="33">
        <f>$AJ117/$AI117*O117</f>
        <v>79342.9322160054</v>
      </c>
      <c r="AV117" s="33">
        <f>$AJ117/$AI117*P117</f>
        <v>35762.370968930372</v>
      </c>
      <c r="AW117" s="33">
        <f>$AJ117/$AI117*Q117</f>
        <v>19622.379059392788</v>
      </c>
      <c r="AX117" s="33">
        <f>$AJ117/$AI117*R117</f>
        <v>29167.440067380241</v>
      </c>
      <c r="AY117" s="33">
        <f>$AJ117/$AI117*S117</f>
        <v>26616.317293401476</v>
      </c>
      <c r="AZ117" s="33">
        <f>$AJ117/$AI117*T117</f>
        <v>32866.89021394118</v>
      </c>
      <c r="BA117" s="33">
        <f>$AJ117/$AI117*U117</f>
        <v>25940.872445733767</v>
      </c>
      <c r="BB117" s="33">
        <f>$AJ117/$AI117*V117</f>
        <v>40686.594577873453</v>
      </c>
      <c r="BC117" s="33">
        <f>$AJ117/$AI117*W117</f>
        <v>36854.56538922555</v>
      </c>
      <c r="BD117" s="33">
        <f>$AJ117/$AI117*X117</f>
        <v>31088.84541680706</v>
      </c>
      <c r="BE117" s="33">
        <f>$AJ117/$AI117*Y117</f>
        <v>31830.219046958115</v>
      </c>
      <c r="BF117" s="33">
        <f>$AJ117/$AI117*Z117</f>
        <v>103135.92662809436</v>
      </c>
      <c r="BG117" s="33">
        <f>$AJ117/$AI117*AA117</f>
        <v>29450.53346306513</v>
      </c>
      <c r="BH117" s="33">
        <f>$AJ117/$AI117*AB117</f>
        <v>18823.175481474671</v>
      </c>
      <c r="BI117" s="33">
        <f>$AJ117/$AI117*AC117</f>
        <v>32187.075856953517</v>
      </c>
      <c r="BJ117" s="33">
        <f>$AJ117/$AI117*AD117</f>
        <v>42975.302913065236</v>
      </c>
      <c r="BK117" s="33">
        <f>$AJ117/$AI117*AE117</f>
        <v>33371.659995241702</v>
      </c>
      <c r="BL117" s="33">
        <f>$AJ117/$AI117*AF117</f>
        <v>51671.967797511592</v>
      </c>
      <c r="BM117" s="33">
        <f>$AJ117/$AI117*AG117</f>
        <v>33779.833135622568</v>
      </c>
      <c r="BN117" s="33">
        <f>$AJ117/$AI117*AH117</f>
        <v>28708.539972289618</v>
      </c>
    </row>
    <row r="118" spans="1:66" x14ac:dyDescent="0.25">
      <c r="A118" s="1" t="s">
        <v>43</v>
      </c>
      <c r="B118" s="4">
        <v>44</v>
      </c>
      <c r="C118" s="4" t="s">
        <v>3</v>
      </c>
      <c r="D118" s="4" t="str">
        <f>A118&amp;C118</f>
        <v>KISIIBUTCHERY</v>
      </c>
      <c r="E118" s="2">
        <v>59875.81</v>
      </c>
      <c r="F118" s="2">
        <v>39015</v>
      </c>
      <c r="G118" s="2">
        <v>44674.8</v>
      </c>
      <c r="H118" s="2">
        <v>50812.68</v>
      </c>
      <c r="I118" s="2">
        <v>45589.83</v>
      </c>
      <c r="J118" s="2">
        <v>28025.98</v>
      </c>
      <c r="K118" s="2">
        <v>74022.880000000005</v>
      </c>
      <c r="L118" s="2">
        <v>56068.52</v>
      </c>
      <c r="M118" s="2">
        <v>45051.41</v>
      </c>
      <c r="N118" s="2">
        <v>26513.46</v>
      </c>
      <c r="O118" s="2">
        <v>49367.64</v>
      </c>
      <c r="P118" s="2">
        <v>41468.99</v>
      </c>
      <c r="Q118" s="2">
        <v>31437.64</v>
      </c>
      <c r="R118" s="2">
        <v>51895.77</v>
      </c>
      <c r="S118" s="2">
        <v>35046.47</v>
      </c>
      <c r="T118" s="2">
        <v>39045.19</v>
      </c>
      <c r="U118" s="2">
        <v>35689.86</v>
      </c>
      <c r="V118" s="2">
        <v>62064.72</v>
      </c>
      <c r="W118" s="2">
        <v>50917.63</v>
      </c>
      <c r="X118" s="2">
        <v>34961.71</v>
      </c>
      <c r="Y118" s="2">
        <v>35276.959999999999</v>
      </c>
      <c r="Z118" s="2">
        <v>41246.379999999997</v>
      </c>
      <c r="AA118" s="2">
        <v>27291.11</v>
      </c>
      <c r="AB118" s="2">
        <v>27847.57</v>
      </c>
      <c r="AC118" s="2">
        <v>58661.99</v>
      </c>
      <c r="AD118" s="2">
        <v>39741.879999999997</v>
      </c>
      <c r="AE118" s="2">
        <v>23100.35</v>
      </c>
      <c r="AF118" s="2">
        <v>46848.21</v>
      </c>
      <c r="AG118" s="2">
        <v>28726.92</v>
      </c>
      <c r="AH118" s="2">
        <v>40261.919999999998</v>
      </c>
      <c r="AI118" s="24">
        <f>SUM(E118:AH118)</f>
        <v>1270549.2799999998</v>
      </c>
      <c r="AJ118" s="26">
        <v>904122.40340675728</v>
      </c>
      <c r="AK118" s="33">
        <f>$AJ118/$AI118*E118</f>
        <v>42607.604518202046</v>
      </c>
      <c r="AL118" s="33">
        <f>$AJ118/$AI118*F118</f>
        <v>27763.05974445528</v>
      </c>
      <c r="AM118" s="33">
        <f>$AJ118/$AI118*G118</f>
        <v>31790.57135644216</v>
      </c>
      <c r="AN118" s="33">
        <f>$AJ118/$AI118*H118</f>
        <v>36158.284521745176</v>
      </c>
      <c r="AO118" s="33">
        <f>$AJ118/$AI118*I118</f>
        <v>32441.706370102776</v>
      </c>
      <c r="AP118" s="33">
        <f>$AJ118/$AI118*J118</f>
        <v>19943.277127692141</v>
      </c>
      <c r="AQ118" s="33">
        <f>$AJ118/$AI118*K118</f>
        <v>52674.654361057139</v>
      </c>
      <c r="AR118" s="33">
        <f>$AJ118/$AI118*L118</f>
        <v>39898.338345333483</v>
      </c>
      <c r="AS118" s="33">
        <f>$AJ118/$AI118*M118</f>
        <v>32058.566894834043</v>
      </c>
      <c r="AT118" s="33">
        <f>$AJ118/$AI118*N118</f>
        <v>18866.968448346157</v>
      </c>
      <c r="AU118" s="33">
        <f>$AJ118/$AI118*O118</f>
        <v>35129.994585742927</v>
      </c>
      <c r="AV118" s="33">
        <f>$AJ118/$AI118*P118</f>
        <v>29509.318131801065</v>
      </c>
      <c r="AW118" s="33">
        <f>$AJ118/$AI118*Q118</f>
        <v>22371.013137118473</v>
      </c>
      <c r="AX118" s="33">
        <f>$AJ118/$AI118*R118</f>
        <v>36929.010969998977</v>
      </c>
      <c r="AY118" s="33">
        <f>$AJ118/$AI118*S118</f>
        <v>24939.055246501594</v>
      </c>
      <c r="AZ118" s="33">
        <f>$AJ118/$AI118*T118</f>
        <v>27784.542937424274</v>
      </c>
      <c r="BA118" s="33">
        <f>$AJ118/$AI118*U118</f>
        <v>25396.891335415734</v>
      </c>
      <c r="BB118" s="33">
        <f>$AJ118/$AI118*V118</f>
        <v>44165.232074404426</v>
      </c>
      <c r="BC118" s="33">
        <f>$AJ118/$AI118*W118</f>
        <v>36232.966903397886</v>
      </c>
      <c r="BD118" s="33">
        <f>$AJ118/$AI118*X118</f>
        <v>24878.740061471733</v>
      </c>
      <c r="BE118" s="33">
        <f>$AJ118/$AI118*Y118</f>
        <v>25103.071846283718</v>
      </c>
      <c r="BF118" s="33">
        <f>$AJ118/$AI118*Z118</f>
        <v>29350.908937139699</v>
      </c>
      <c r="BG118" s="33">
        <f>$AJ118/$AI118*AA118</f>
        <v>19420.343904203539</v>
      </c>
      <c r="BH118" s="33">
        <f>$AJ118/$AI118*AB118</f>
        <v>19816.3206368807</v>
      </c>
      <c r="BI118" s="33">
        <f>$AJ118/$AI118*AC118</f>
        <v>41743.85064971519</v>
      </c>
      <c r="BJ118" s="33">
        <f>$AJ118/$AI118*AD118</f>
        <v>28280.307286863321</v>
      </c>
      <c r="BK118" s="33">
        <f>$AJ118/$AI118*AE118</f>
        <v>16438.200619449635</v>
      </c>
      <c r="BL118" s="33">
        <f>$AJ118/$AI118*AF118</f>
        <v>33337.169118308018</v>
      </c>
      <c r="BM118" s="33">
        <f>$AJ118/$AI118*AG118</f>
        <v>20442.065775578296</v>
      </c>
      <c r="BN118" s="33">
        <f>$AJ118/$AI118*AH118</f>
        <v>28650.367560847852</v>
      </c>
    </row>
    <row r="119" spans="1:66" x14ac:dyDescent="0.25">
      <c r="A119" s="1" t="s">
        <v>44</v>
      </c>
      <c r="B119" s="4">
        <v>45</v>
      </c>
      <c r="C119" s="4" t="s">
        <v>3</v>
      </c>
      <c r="D119" s="4" t="str">
        <f>A119&amp;C119</f>
        <v>WESTLANDSBUTCHERY</v>
      </c>
      <c r="E119" s="2">
        <v>70029.149999999994</v>
      </c>
      <c r="F119" s="2">
        <v>56917.57</v>
      </c>
      <c r="G119" s="2">
        <v>66920.67</v>
      </c>
      <c r="H119" s="2">
        <v>53021.55</v>
      </c>
      <c r="I119" s="2">
        <v>54876.22</v>
      </c>
      <c r="J119" s="2">
        <v>55146.94</v>
      </c>
      <c r="K119" s="2">
        <v>60943.74</v>
      </c>
      <c r="L119" s="2">
        <v>70688.02</v>
      </c>
      <c r="M119" s="2">
        <v>45479.78</v>
      </c>
      <c r="N119" s="2">
        <v>60638.07</v>
      </c>
      <c r="O119" s="2">
        <v>57469.93</v>
      </c>
      <c r="P119" s="2">
        <v>41882.720000000001</v>
      </c>
      <c r="Q119" s="2">
        <v>45042.1</v>
      </c>
      <c r="R119" s="2">
        <v>66819.679999999993</v>
      </c>
      <c r="S119" s="2">
        <v>29636.59</v>
      </c>
      <c r="T119" s="2">
        <v>46203.72</v>
      </c>
      <c r="U119" s="2">
        <v>51515.7</v>
      </c>
      <c r="V119" s="2">
        <v>61931.55</v>
      </c>
      <c r="W119" s="2">
        <v>43940.639999999999</v>
      </c>
      <c r="X119" s="2">
        <v>51414.14</v>
      </c>
      <c r="Y119" s="2">
        <v>55957.15</v>
      </c>
      <c r="Z119" s="2">
        <v>49657.31</v>
      </c>
      <c r="AA119" s="2">
        <v>58858.39</v>
      </c>
      <c r="AB119" s="2">
        <v>51090.74</v>
      </c>
      <c r="AC119" s="2">
        <v>63611.51</v>
      </c>
      <c r="AD119" s="2">
        <v>32639.360000000001</v>
      </c>
      <c r="AE119" s="2">
        <v>83371.8</v>
      </c>
      <c r="AF119" s="2">
        <v>56905.96</v>
      </c>
      <c r="AG119" s="2">
        <v>56721.56</v>
      </c>
      <c r="AH119" s="2">
        <v>59605.94</v>
      </c>
      <c r="AI119" s="24">
        <f>SUM(E119:AH119)</f>
        <v>1658938.1999999997</v>
      </c>
      <c r="AJ119" s="26">
        <v>1510187.5078404965</v>
      </c>
      <c r="AK119" s="33">
        <f>$AJ119/$AI119*E119</f>
        <v>63749.901903933685</v>
      </c>
      <c r="AL119" s="33">
        <f>$AJ119/$AI119*F119</f>
        <v>51813.987519629736</v>
      </c>
      <c r="AM119" s="33">
        <f>$AJ119/$AI119*G119</f>
        <v>60920.147507795227</v>
      </c>
      <c r="AN119" s="33">
        <f>$AJ119/$AI119*H119</f>
        <v>48267.308846309221</v>
      </c>
      <c r="AO119" s="33">
        <f>$AJ119/$AI119*I119</f>
        <v>49955.677626512443</v>
      </c>
      <c r="AP119" s="33">
        <f>$AJ119/$AI119*J119</f>
        <v>50202.123191586892</v>
      </c>
      <c r="AQ119" s="33">
        <f>$AJ119/$AI119*K119</f>
        <v>55479.146136413758</v>
      </c>
      <c r="AR119" s="33">
        <f>$AJ119/$AI119*L119</f>
        <v>64349.693531669356</v>
      </c>
      <c r="AS119" s="33">
        <f>$AJ119/$AI119*M119</f>
        <v>41401.780738627916</v>
      </c>
      <c r="AT119" s="33">
        <f>$AJ119/$AI119*N119</f>
        <v>55200.884405192184</v>
      </c>
      <c r="AU119" s="33">
        <f>$AJ119/$AI119*O119</f>
        <v>52316.819494823736</v>
      </c>
      <c r="AV119" s="33">
        <f>$AJ119/$AI119*P119</f>
        <v>38127.255456762243</v>
      </c>
      <c r="AW119" s="33">
        <f>$AJ119/$AI119*Q119</f>
        <v>41003.345843083509</v>
      </c>
      <c r="AX119" s="33">
        <f>$AJ119/$AI119*R119</f>
        <v>60828.212897803831</v>
      </c>
      <c r="AY119" s="33">
        <f>$AJ119/$AI119*S119</f>
        <v>26979.189455635293</v>
      </c>
      <c r="AZ119" s="33">
        <f>$AJ119/$AI119*T119</f>
        <v>42060.807786426354</v>
      </c>
      <c r="BA119" s="33">
        <f>$AJ119/$AI119*U119</f>
        <v>46896.482700596491</v>
      </c>
      <c r="BB119" s="33">
        <f>$AJ119/$AI119*V119</f>
        <v>56378.382962788564</v>
      </c>
      <c r="BC119" s="33">
        <f>$AJ119/$AI119*W119</f>
        <v>40000.649580868318</v>
      </c>
      <c r="BD119" s="33">
        <f>$AJ119/$AI119*X119</f>
        <v>46804.029200341763</v>
      </c>
      <c r="BE119" s="33">
        <f>$AJ119/$AI119*Y119</f>
        <v>50939.684735909308</v>
      </c>
      <c r="BF119" s="33">
        <f>$AJ119/$AI119*Z119</f>
        <v>45204.727478674598</v>
      </c>
      <c r="BG119" s="33">
        <f>$AJ119/$AI119*AA119</f>
        <v>53580.781556301503</v>
      </c>
      <c r="BH119" s="33">
        <f>$AJ119/$AI119*AB119</f>
        <v>46509.627250928803</v>
      </c>
      <c r="BI119" s="33">
        <f>$AJ119/$AI119*AC119</f>
        <v>57907.707325607938</v>
      </c>
      <c r="BJ119" s="33">
        <f>$AJ119/$AI119*AD119</f>
        <v>29712.712466268364</v>
      </c>
      <c r="BK119" s="33">
        <f>$AJ119/$AI119*AE119</f>
        <v>75896.167118326848</v>
      </c>
      <c r="BL119" s="33">
        <f>$AJ119/$AI119*AF119</f>
        <v>51803.418544265842</v>
      </c>
      <c r="BM119" s="33">
        <f>$AJ119/$AI119*AG119</f>
        <v>51635.552992405144</v>
      </c>
      <c r="BN119" s="33">
        <f>$AJ119/$AI119*AH119</f>
        <v>54261.301585007917</v>
      </c>
    </row>
    <row r="120" spans="1:66" x14ac:dyDescent="0.25">
      <c r="A120" s="1" t="s">
        <v>45</v>
      </c>
      <c r="B120" s="4">
        <v>46</v>
      </c>
      <c r="C120" s="4" t="s">
        <v>3</v>
      </c>
      <c r="D120" s="4" t="str">
        <f>A120&amp;C120</f>
        <v>BANDARIBUTCHERY</v>
      </c>
      <c r="E120" s="2">
        <v>33980.949999999997</v>
      </c>
      <c r="F120" s="2">
        <v>30788.65</v>
      </c>
      <c r="G120" s="2">
        <v>26451.5</v>
      </c>
      <c r="H120" s="2">
        <v>35632.85</v>
      </c>
      <c r="I120" s="2">
        <v>42743.7</v>
      </c>
      <c r="J120" s="2">
        <v>27192.35</v>
      </c>
      <c r="K120" s="2">
        <v>37753.75</v>
      </c>
      <c r="L120" s="2">
        <v>27846.3</v>
      </c>
      <c r="M120" s="2">
        <v>20340.849999999999</v>
      </c>
      <c r="N120" s="2">
        <v>27732.25</v>
      </c>
      <c r="O120" s="2">
        <v>28098.5</v>
      </c>
      <c r="P120" s="2">
        <v>43547.6</v>
      </c>
      <c r="Q120" s="2">
        <v>25126.75</v>
      </c>
      <c r="R120" s="2">
        <v>22541.95</v>
      </c>
      <c r="S120" s="2">
        <v>22343.599999999999</v>
      </c>
      <c r="T120" s="2">
        <v>43103.85</v>
      </c>
      <c r="U120" s="2">
        <v>14459.5</v>
      </c>
      <c r="V120" s="2">
        <v>27968.799999999999</v>
      </c>
      <c r="W120" s="2">
        <v>47967</v>
      </c>
      <c r="X120" s="2">
        <v>27257.02</v>
      </c>
      <c r="Y120" s="2">
        <v>38621.75</v>
      </c>
      <c r="Z120" s="2">
        <v>32080</v>
      </c>
      <c r="AA120" s="2">
        <v>22764.75</v>
      </c>
      <c r="AB120" s="2">
        <v>29450.7</v>
      </c>
      <c r="AC120" s="2">
        <v>29705.25</v>
      </c>
      <c r="AD120" s="2">
        <v>33402.199999999997</v>
      </c>
      <c r="AE120" s="2">
        <v>65039.9</v>
      </c>
      <c r="AF120" s="2">
        <v>53070.5</v>
      </c>
      <c r="AG120" s="2">
        <v>21959.35</v>
      </c>
      <c r="AH120" s="2">
        <v>51302.95</v>
      </c>
      <c r="AI120" s="24">
        <f>SUM(E120:AH120)</f>
        <v>990275.06999999983</v>
      </c>
      <c r="AJ120" s="26">
        <v>822266.4985794198</v>
      </c>
      <c r="AK120" s="33">
        <f>$AJ120/$AI120*E120</f>
        <v>28215.793390519604</v>
      </c>
      <c r="AL120" s="33">
        <f>$AJ120/$AI120*F120</f>
        <v>25565.094182858971</v>
      </c>
      <c r="AM120" s="33">
        <f>$AJ120/$AI120*G120</f>
        <v>21963.778495578536</v>
      </c>
      <c r="AN120" s="33">
        <f>$AJ120/$AI120*H120</f>
        <v>29587.434533624768</v>
      </c>
      <c r="AO120" s="33">
        <f>$AJ120/$AI120*I120</f>
        <v>35491.868471786482</v>
      </c>
      <c r="AP120" s="33">
        <f>$AJ120/$AI120*J120</f>
        <v>22578.937004489155</v>
      </c>
      <c r="AQ120" s="33">
        <f>$AJ120/$AI120*K120</f>
        <v>31348.505845696767</v>
      </c>
      <c r="AR120" s="33">
        <f>$AJ120/$AI120*L120</f>
        <v>23121.938836036843</v>
      </c>
      <c r="AS120" s="33">
        <f>$AJ120/$AI120*M120</f>
        <v>16889.852137375521</v>
      </c>
      <c r="AT120" s="33">
        <f>$AJ120/$AI120*N120</f>
        <v>23027.238386632434</v>
      </c>
      <c r="AU120" s="33">
        <f>$AJ120/$AI120*O120</f>
        <v>23331.350965276579</v>
      </c>
      <c r="AV120" s="33">
        <f>$AJ120/$AI120*P120</f>
        <v>36159.380013007038</v>
      </c>
      <c r="AW120" s="33">
        <f>$AJ120/$AI120*Q120</f>
        <v>20863.783578011753</v>
      </c>
      <c r="AX120" s="33">
        <f>$AJ120/$AI120*R120</f>
        <v>18717.516838682364</v>
      </c>
      <c r="AY120" s="33">
        <f>$AJ120/$AI120*S120</f>
        <v>18552.818599845319</v>
      </c>
      <c r="AZ120" s="33">
        <f>$AJ120/$AI120*T120</f>
        <v>35790.915967209527</v>
      </c>
      <c r="BA120" s="33">
        <f>$AJ120/$AI120*U120</f>
        <v>12006.323087795316</v>
      </c>
      <c r="BB120" s="33">
        <f>$AJ120/$AI120*V120</f>
        <v>23223.655671214747</v>
      </c>
      <c r="BC120" s="33">
        <f>$AJ120/$AI120*W120</f>
        <v>39828.991289621212</v>
      </c>
      <c r="BD120" s="33">
        <f>$AJ120/$AI120*X120</f>
        <v>22632.635190047975</v>
      </c>
      <c r="BE120" s="33">
        <f>$AJ120/$AI120*Y120</f>
        <v>32069.242277814501</v>
      </c>
      <c r="BF120" s="33">
        <f>$AJ120/$AI120*Z120</f>
        <v>26637.355693936424</v>
      </c>
      <c r="BG120" s="33">
        <f>$AJ120/$AI120*AA120</f>
        <v>18902.516927479403</v>
      </c>
      <c r="BH120" s="33">
        <f>$AJ120/$AI120*AB120</f>
        <v>24454.138757338325</v>
      </c>
      <c r="BI120" s="33">
        <f>$AJ120/$AI120*AC120</f>
        <v>24665.502189130457</v>
      </c>
      <c r="BJ120" s="33">
        <f>$AJ120/$AI120*AD120</f>
        <v>27735.233240648478</v>
      </c>
      <c r="BK120" s="33">
        <f>$AJ120/$AI120*AE120</f>
        <v>54005.328883979295</v>
      </c>
      <c r="BL120" s="33">
        <f>$AJ120/$AI120*AF120</f>
        <v>44066.639194359508</v>
      </c>
      <c r="BM120" s="33">
        <f>$AJ120/$AI120*AG120</f>
        <v>18233.759873991359</v>
      </c>
      <c r="BN120" s="33">
        <f>$AJ120/$AI120*AH120</f>
        <v>42598.969055431284</v>
      </c>
    </row>
    <row r="121" spans="1:66" ht="24.75" x14ac:dyDescent="0.25">
      <c r="A121" s="1" t="s">
        <v>82</v>
      </c>
      <c r="B121" s="4">
        <v>47</v>
      </c>
      <c r="C121" s="4" t="s">
        <v>3</v>
      </c>
      <c r="D121" s="4" t="str">
        <f>A121&amp;C121</f>
        <v>KITENGELA OBC MALLBUTCHERY</v>
      </c>
      <c r="E121" s="2">
        <v>90278.39</v>
      </c>
      <c r="F121" s="2">
        <v>74080.12</v>
      </c>
      <c r="G121" s="2">
        <v>81545.39</v>
      </c>
      <c r="H121" s="2">
        <v>77276.399999999994</v>
      </c>
      <c r="I121" s="2">
        <v>105952.65</v>
      </c>
      <c r="J121" s="2">
        <v>116248.47</v>
      </c>
      <c r="K121" s="2">
        <v>86339.77</v>
      </c>
      <c r="L121" s="2">
        <v>73948.58</v>
      </c>
      <c r="M121" s="2">
        <v>51975.06</v>
      </c>
      <c r="N121" s="2">
        <v>61126.01</v>
      </c>
      <c r="O121" s="2">
        <v>73900.509999999995</v>
      </c>
      <c r="P121" s="2">
        <v>99447.77</v>
      </c>
      <c r="Q121" s="2">
        <v>109223.38</v>
      </c>
      <c r="R121" s="2">
        <v>62679.86</v>
      </c>
      <c r="S121" s="2">
        <v>74505.61</v>
      </c>
      <c r="T121" s="2">
        <v>48098.13</v>
      </c>
      <c r="U121" s="2">
        <v>77487.3</v>
      </c>
      <c r="V121" s="2">
        <v>120359.08</v>
      </c>
      <c r="W121" s="2">
        <v>111041.05</v>
      </c>
      <c r="X121" s="2">
        <v>115453.7</v>
      </c>
      <c r="Y121" s="2">
        <v>75078.080000000002</v>
      </c>
      <c r="Z121" s="2">
        <v>75988.91</v>
      </c>
      <c r="AA121" s="2">
        <v>132299.37</v>
      </c>
      <c r="AB121" s="2">
        <v>96124.53</v>
      </c>
      <c r="AC121" s="2">
        <v>91871.76</v>
      </c>
      <c r="AD121" s="2">
        <v>161981.69</v>
      </c>
      <c r="AE121" s="2">
        <v>114335.32</v>
      </c>
      <c r="AF121" s="2">
        <v>123051.38</v>
      </c>
      <c r="AG121" s="2">
        <v>132582.79</v>
      </c>
      <c r="AH121" s="2">
        <v>62846.82</v>
      </c>
      <c r="AI121" s="24">
        <f>SUM(E121:AH121)</f>
        <v>2777127.88</v>
      </c>
      <c r="AJ121" s="26">
        <v>2198050.1504384056</v>
      </c>
      <c r="AK121" s="33">
        <f>$AJ121/$AI121*E121</f>
        <v>71453.831906666484</v>
      </c>
      <c r="AL121" s="33">
        <f>$AJ121/$AI121*F121</f>
        <v>58633.172812515615</v>
      </c>
      <c r="AM121" s="33">
        <f>$AJ121/$AI121*G121</f>
        <v>64541.80884067119</v>
      </c>
      <c r="AN121" s="33">
        <f>$AJ121/$AI121*H121</f>
        <v>61162.97483763635</v>
      </c>
      <c r="AO121" s="33">
        <f>$AJ121/$AI121*I121</f>
        <v>83859.745872360669</v>
      </c>
      <c r="AP121" s="33">
        <f>$AJ121/$AI121*J121</f>
        <v>92008.714763158292</v>
      </c>
      <c r="AQ121" s="33">
        <f>$AJ121/$AI121*K121</f>
        <v>68336.480219023026</v>
      </c>
      <c r="AR121" s="33">
        <f>$AJ121/$AI121*L121</f>
        <v>58529.061108164191</v>
      </c>
      <c r="AS121" s="33">
        <f>$AJ121/$AI121*M121</f>
        <v>41137.388477784159</v>
      </c>
      <c r="AT121" s="33">
        <f>$AJ121/$AI121*N121</f>
        <v>48380.211960638808</v>
      </c>
      <c r="AU121" s="33">
        <f>$AJ121/$AI121*O121</f>
        <v>58491.014509196779</v>
      </c>
      <c r="AV121" s="33">
        <f>$AJ121/$AI121*P121</f>
        <v>78711.242425488876</v>
      </c>
      <c r="AW121" s="33">
        <f>$AJ121/$AI121*Q121</f>
        <v>86448.473824111818</v>
      </c>
      <c r="AX121" s="33">
        <f>$AJ121/$AI121*R121</f>
        <v>49610.058180849126</v>
      </c>
      <c r="AY121" s="33">
        <f>$AJ121/$AI121*S121</f>
        <v>58969.941012945063</v>
      </c>
      <c r="AZ121" s="33">
        <f>$AJ121/$AI121*T121</f>
        <v>38068.863390729413</v>
      </c>
      <c r="BA121" s="33">
        <f>$AJ121/$AI121*U121</f>
        <v>61329.89865128784</v>
      </c>
      <c r="BB121" s="33">
        <f>$AJ121/$AI121*V121</f>
        <v>95262.193651891925</v>
      </c>
      <c r="BC121" s="33">
        <f>$AJ121/$AI121*W121</f>
        <v>87887.129150616762</v>
      </c>
      <c r="BD121" s="33">
        <f>$AJ121/$AI121*X121</f>
        <v>91379.667634776168</v>
      </c>
      <c r="BE121" s="33">
        <f>$AJ121/$AI121*Y121</f>
        <v>59423.041418829678</v>
      </c>
      <c r="BF121" s="33">
        <f>$AJ121/$AI121*Z121</f>
        <v>60143.948091130202</v>
      </c>
      <c r="BG121" s="33">
        <f>$AJ121/$AI121*AA121</f>
        <v>104712.73297339346</v>
      </c>
      <c r="BH121" s="33">
        <f>$AJ121/$AI121*AB121</f>
        <v>76080.95368921975</v>
      </c>
      <c r="BI121" s="33">
        <f>$AJ121/$AI121*AC121</f>
        <v>72714.957544209698</v>
      </c>
      <c r="BJ121" s="33">
        <f>$AJ121/$AI121*AD121</f>
        <v>128205.79154344423</v>
      </c>
      <c r="BK121" s="33">
        <f>$AJ121/$AI121*AE121</f>
        <v>90494.488617651718</v>
      </c>
      <c r="BL121" s="33">
        <f>$AJ121/$AI121*AF121</f>
        <v>97393.103957695101</v>
      </c>
      <c r="BM121" s="33">
        <f>$AJ121/$AI121*AG121</f>
        <v>104937.05515103739</v>
      </c>
      <c r="BN121" s="33">
        <f>$AJ121/$AI121*AH121</f>
        <v>49742.204221281805</v>
      </c>
    </row>
    <row r="122" spans="1:66" ht="24.75" x14ac:dyDescent="0.25">
      <c r="A122" s="1" t="s">
        <v>47</v>
      </c>
      <c r="B122" s="4">
        <v>48</v>
      </c>
      <c r="C122" s="4" t="s">
        <v>3</v>
      </c>
      <c r="D122" s="4" t="str">
        <f>A122&amp;C122</f>
        <v>MACHAKOS EXPRESSBUTCHERY</v>
      </c>
      <c r="E122" s="2">
        <v>24326.95</v>
      </c>
      <c r="F122" s="2">
        <v>15696.9</v>
      </c>
      <c r="G122" s="2">
        <v>24709.919999999998</v>
      </c>
      <c r="H122" s="2">
        <v>26639.86</v>
      </c>
      <c r="I122" s="2">
        <v>33136.089999999997</v>
      </c>
      <c r="J122" s="2">
        <v>17984.32</v>
      </c>
      <c r="K122" s="2">
        <v>22683.11</v>
      </c>
      <c r="L122" s="2">
        <v>20976.51</v>
      </c>
      <c r="M122" s="2">
        <v>24921.39</v>
      </c>
      <c r="N122" s="2">
        <v>21437.02</v>
      </c>
      <c r="O122" s="2">
        <v>33802.75</v>
      </c>
      <c r="P122" s="2">
        <v>34584.76</v>
      </c>
      <c r="Q122" s="2">
        <v>31319.83</v>
      </c>
      <c r="R122" s="2">
        <v>17704.8</v>
      </c>
      <c r="S122" s="2">
        <v>17229.439999999999</v>
      </c>
      <c r="T122" s="2">
        <v>17244.169999999998</v>
      </c>
      <c r="U122" s="2">
        <v>25140.720000000001</v>
      </c>
      <c r="V122" s="2">
        <v>18403.78</v>
      </c>
      <c r="W122" s="2">
        <v>29881.43</v>
      </c>
      <c r="X122" s="2">
        <v>32172.400000000001</v>
      </c>
      <c r="Y122" s="2">
        <v>18931.400000000001</v>
      </c>
      <c r="Z122" s="2">
        <v>17932.259999999998</v>
      </c>
      <c r="AA122" s="2">
        <v>18231.16</v>
      </c>
      <c r="AB122" s="2">
        <v>15735.09</v>
      </c>
      <c r="AC122" s="2">
        <v>23917.9</v>
      </c>
      <c r="AD122" s="2">
        <v>33238.61</v>
      </c>
      <c r="AE122" s="2">
        <v>17094.099999999999</v>
      </c>
      <c r="AF122" s="2">
        <v>33771.47</v>
      </c>
      <c r="AG122" s="2">
        <v>24589.78</v>
      </c>
      <c r="AH122" s="2">
        <v>23282.91</v>
      </c>
      <c r="AI122" s="24">
        <f>SUM(E122:AH122)</f>
        <v>716720.83000000007</v>
      </c>
      <c r="AJ122" s="26">
        <v>527751.95581173711</v>
      </c>
      <c r="AK122" s="33">
        <f>$AJ122/$AI122*E122</f>
        <v>17912.965417001116</v>
      </c>
      <c r="AL122" s="33">
        <f>$AJ122/$AI122*F122</f>
        <v>11558.293450437675</v>
      </c>
      <c r="AM122" s="33">
        <f>$AJ122/$AI122*G122</f>
        <v>18194.962476465986</v>
      </c>
      <c r="AN122" s="33">
        <f>$AJ122/$AI122*H122</f>
        <v>19616.059181021516</v>
      </c>
      <c r="AO122" s="33">
        <f>$AJ122/$AI122*I122</f>
        <v>24399.508948907958</v>
      </c>
      <c r="AP122" s="33">
        <f>$AJ122/$AI122*J122</f>
        <v>13242.617845980754</v>
      </c>
      <c r="AQ122" s="33">
        <f>$AJ122/$AI122*K122</f>
        <v>16702.536280957218</v>
      </c>
      <c r="AR122" s="33">
        <f>$AJ122/$AI122*L122</f>
        <v>15445.894294162566</v>
      </c>
      <c r="AS122" s="33">
        <f>$AJ122/$AI122*M122</f>
        <v>18350.67680961228</v>
      </c>
      <c r="AT122" s="33">
        <f>$AJ122/$AI122*N122</f>
        <v>15784.987345456841</v>
      </c>
      <c r="AU122" s="33">
        <f>$AJ122/$AI122*O122</f>
        <v>24890.398991634152</v>
      </c>
      <c r="AV122" s="33">
        <f>$AJ122/$AI122*P122</f>
        <v>25466.226133374039</v>
      </c>
      <c r="AW122" s="33">
        <f>$AJ122/$AI122*Q122</f>
        <v>23062.119651512174</v>
      </c>
      <c r="AX122" s="33">
        <f>$AJ122/$AI122*R122</f>
        <v>13036.795410642162</v>
      </c>
      <c r="AY122" s="33">
        <f>$AJ122/$AI122*S122</f>
        <v>12686.767674299314</v>
      </c>
      <c r="AZ122" s="33">
        <f>$AJ122/$AI122*T122</f>
        <v>12697.613998256587</v>
      </c>
      <c r="BA122" s="33">
        <f>$AJ122/$AI122*U122</f>
        <v>18512.178794238829</v>
      </c>
      <c r="BB122" s="33">
        <f>$AJ122/$AI122*V122</f>
        <v>13551.484040625593</v>
      </c>
      <c r="BC122" s="33">
        <f>$AJ122/$AI122*W122</f>
        <v>22002.964703776663</v>
      </c>
      <c r="BD122" s="33">
        <f>$AJ122/$AI122*X122</f>
        <v>23689.903114937413</v>
      </c>
      <c r="BE122" s="33">
        <f>$AJ122/$AI122*Y122</f>
        <v>13939.993032230303</v>
      </c>
      <c r="BF122" s="33">
        <f>$AJ122/$AI122*Z122</f>
        <v>13204.283859204397</v>
      </c>
      <c r="BG122" s="33">
        <f>$AJ122/$AI122*AA122</f>
        <v>13424.376610788202</v>
      </c>
      <c r="BH122" s="33">
        <f>$AJ122/$AI122*AB122</f>
        <v>11586.414367744419</v>
      </c>
      <c r="BI122" s="33">
        <f>$AJ122/$AI122*AC122</f>
        <v>17611.764547026694</v>
      </c>
      <c r="BJ122" s="33">
        <f>$AJ122/$AI122*AD122</f>
        <v>24474.998774576652</v>
      </c>
      <c r="BK122" s="33">
        <f>$AJ122/$AI122*AE122</f>
        <v>12587.111090159628</v>
      </c>
      <c r="BL122" s="33">
        <f>$AJ122/$AI122*AF122</f>
        <v>24867.366200501529</v>
      </c>
      <c r="BM122" s="33">
        <f>$AJ122/$AI122*AG122</f>
        <v>18106.498297224505</v>
      </c>
      <c r="BN122" s="33">
        <f>$AJ122/$AI122*AH122</f>
        <v>17144.194468979855</v>
      </c>
    </row>
    <row r="123" spans="1:66" ht="24.75" x14ac:dyDescent="0.25">
      <c r="A123" s="1" t="s">
        <v>48</v>
      </c>
      <c r="B123" s="4">
        <v>49</v>
      </c>
      <c r="C123" s="4" t="s">
        <v>3</v>
      </c>
      <c r="D123" s="4" t="str">
        <f>A123&amp;C123</f>
        <v>MACHAKOS PIONEERBUTCHERY</v>
      </c>
      <c r="E123" s="2">
        <v>23603.26</v>
      </c>
      <c r="F123" s="2">
        <v>20242.38</v>
      </c>
      <c r="G123" s="2">
        <v>26041.78</v>
      </c>
      <c r="H123" s="2">
        <v>20868.34</v>
      </c>
      <c r="I123" s="2">
        <v>20842.38</v>
      </c>
      <c r="J123" s="2">
        <v>22623.77</v>
      </c>
      <c r="K123" s="2">
        <v>18282.509999999998</v>
      </c>
      <c r="L123" s="2">
        <v>87585.17</v>
      </c>
      <c r="M123" s="2">
        <v>42208.23</v>
      </c>
      <c r="N123" s="2">
        <v>16408.64</v>
      </c>
      <c r="O123" s="2">
        <v>27623.8</v>
      </c>
      <c r="P123" s="2">
        <v>27123.43</v>
      </c>
      <c r="Q123" s="2">
        <v>109846.91</v>
      </c>
      <c r="R123" s="2">
        <v>18390.93</v>
      </c>
      <c r="S123" s="2">
        <v>26935.43</v>
      </c>
      <c r="T123" s="2">
        <v>22318.78</v>
      </c>
      <c r="U123" s="2">
        <v>22340.81</v>
      </c>
      <c r="V123" s="2">
        <v>16054.68</v>
      </c>
      <c r="W123" s="2">
        <v>39130.31</v>
      </c>
      <c r="X123" s="2">
        <v>33118.18</v>
      </c>
      <c r="Y123" s="2">
        <v>30529.29</v>
      </c>
      <c r="Z123" s="2">
        <v>26693.48</v>
      </c>
      <c r="AA123" s="2">
        <v>185287.84</v>
      </c>
      <c r="AB123" s="2">
        <v>23280.3</v>
      </c>
      <c r="AC123" s="2">
        <v>16403.09</v>
      </c>
      <c r="AD123" s="2">
        <v>18955.25</v>
      </c>
      <c r="AE123" s="2">
        <v>21014.400000000001</v>
      </c>
      <c r="AF123" s="2">
        <v>24723.66</v>
      </c>
      <c r="AG123" s="2">
        <v>19237.38</v>
      </c>
      <c r="AH123" s="2">
        <v>174624.55</v>
      </c>
      <c r="AI123" s="24">
        <f>SUM(E123:AH123)</f>
        <v>1182338.9600000002</v>
      </c>
      <c r="AJ123" s="26">
        <v>617568.44188459194</v>
      </c>
      <c r="AK123" s="33">
        <f>$AJ123/$AI123*E123</f>
        <v>12328.637552125418</v>
      </c>
      <c r="AL123" s="33">
        <f>$AJ123/$AI123*F123</f>
        <v>10573.156683118879</v>
      </c>
      <c r="AM123" s="33">
        <f>$AJ123/$AI123*G123</f>
        <v>13602.344202969787</v>
      </c>
      <c r="AN123" s="33">
        <f>$AJ123/$AI123*H123</f>
        <v>10900.112957893145</v>
      </c>
      <c r="AO123" s="33">
        <f>$AJ123/$AI123*I123</f>
        <v>10886.553329653098</v>
      </c>
      <c r="AP123" s="33">
        <f>$AJ123/$AI123*J123</f>
        <v>11817.02274993575</v>
      </c>
      <c r="AQ123" s="33">
        <f>$AJ123/$AI123*K123</f>
        <v>9549.4622070471814</v>
      </c>
      <c r="AR123" s="33">
        <f>$AJ123/$AI123*L123</f>
        <v>45748.164273549017</v>
      </c>
      <c r="AS123" s="33">
        <f>$AJ123/$AI123*M123</f>
        <v>22046.529563574975</v>
      </c>
      <c r="AT123" s="33">
        <f>$AJ123/$AI123*N123</f>
        <v>8570.6879169787226</v>
      </c>
      <c r="AU123" s="33">
        <f>$AJ123/$AI123*O123</f>
        <v>14428.677140886561</v>
      </c>
      <c r="AV123" s="33">
        <f>$AJ123/$AI123*P123</f>
        <v>14167.32000750935</v>
      </c>
      <c r="AW123" s="33">
        <f>$AJ123/$AI123*Q123</f>
        <v>57376.088710243464</v>
      </c>
      <c r="AX123" s="33">
        <f>$AJ123/$AI123*R123</f>
        <v>9606.0929810759153</v>
      </c>
      <c r="AY123" s="33">
        <f>$AJ123/$AI123*S123</f>
        <v>14069.122391595294</v>
      </c>
      <c r="AZ123" s="33">
        <f>$AJ123/$AI123*T123</f>
        <v>11657.718011224963</v>
      </c>
      <c r="BA123" s="33">
        <f>$AJ123/$AI123*U123</f>
        <v>11669.224891430213</v>
      </c>
      <c r="BB123" s="33">
        <f>$AJ123/$AI123*V123</f>
        <v>8385.8047886333043</v>
      </c>
      <c r="BC123" s="33">
        <f>$AJ123/$AI123*W123</f>
        <v>20438.84655307397</v>
      </c>
      <c r="BD123" s="33">
        <f>$AJ123/$AI123*X123</f>
        <v>17298.544252194359</v>
      </c>
      <c r="BE123" s="33">
        <f>$AJ123/$AI123*Y123</f>
        <v>15946.295178451071</v>
      </c>
      <c r="BF123" s="33">
        <f>$AJ123/$AI123*Z123</f>
        <v>13942.745193880372</v>
      </c>
      <c r="BG123" s="33">
        <f>$AJ123/$AI123*AA123</f>
        <v>96780.979499281297</v>
      </c>
      <c r="BH123" s="33">
        <f>$AJ123/$AI123*AB123</f>
        <v>12159.946583850933</v>
      </c>
      <c r="BI123" s="33">
        <f>$AJ123/$AI123*AC123</f>
        <v>8567.788997998281</v>
      </c>
      <c r="BJ123" s="33">
        <f>$AJ123/$AI123*AD123</f>
        <v>9900.8529736962319</v>
      </c>
      <c r="BK123" s="33">
        <f>$AJ123/$AI123*AE123</f>
        <v>10976.404148214458</v>
      </c>
      <c r="BL123" s="33">
        <f>$AJ123/$AI123*AF123</f>
        <v>12913.853556753647</v>
      </c>
      <c r="BM123" s="33">
        <f>$AJ123/$AI123*AG123</f>
        <v>10048.217300174065</v>
      </c>
      <c r="BN123" s="33">
        <f>$AJ123/$AI123*AH123</f>
        <v>91211.247287578182</v>
      </c>
    </row>
    <row r="124" spans="1:66" x14ac:dyDescent="0.25">
      <c r="A124" s="1" t="s">
        <v>49</v>
      </c>
      <c r="B124" s="4">
        <v>50</v>
      </c>
      <c r="C124" s="4" t="s">
        <v>3</v>
      </c>
      <c r="D124" s="4" t="str">
        <f>A124&amp;C124</f>
        <v>MLOLONGOBUTCHERY</v>
      </c>
      <c r="E124" s="2">
        <v>57430.01</v>
      </c>
      <c r="F124" s="2">
        <v>67137.58</v>
      </c>
      <c r="G124" s="2">
        <v>68168.59</v>
      </c>
      <c r="H124" s="2">
        <v>61537.83</v>
      </c>
      <c r="I124" s="2">
        <v>112560.34</v>
      </c>
      <c r="J124" s="2">
        <v>69489.45</v>
      </c>
      <c r="K124" s="2">
        <v>62589.2</v>
      </c>
      <c r="L124" s="2">
        <v>56315.78</v>
      </c>
      <c r="M124" s="2">
        <v>63913.64</v>
      </c>
      <c r="N124" s="2">
        <v>58611.91</v>
      </c>
      <c r="O124" s="2">
        <v>85468.06</v>
      </c>
      <c r="P124" s="2">
        <v>105346.01</v>
      </c>
      <c r="Q124" s="2">
        <v>108180.11</v>
      </c>
      <c r="R124" s="2">
        <v>63433.59</v>
      </c>
      <c r="S124" s="2">
        <v>51255.68</v>
      </c>
      <c r="T124" s="2">
        <v>67384.08</v>
      </c>
      <c r="U124" s="2">
        <v>91270.19</v>
      </c>
      <c r="V124" s="2">
        <v>66150.539999999994</v>
      </c>
      <c r="W124" s="2">
        <v>105673.24</v>
      </c>
      <c r="X124" s="2">
        <v>69176.73</v>
      </c>
      <c r="Y124" s="2">
        <v>58204.99</v>
      </c>
      <c r="Z124" s="2">
        <v>45881.82</v>
      </c>
      <c r="AA124" s="2">
        <v>59542.05</v>
      </c>
      <c r="AB124" s="2">
        <v>58646.19</v>
      </c>
      <c r="AC124" s="2">
        <v>71696.490000000005</v>
      </c>
      <c r="AD124" s="2">
        <v>105944.27</v>
      </c>
      <c r="AE124" s="2">
        <v>87210.41</v>
      </c>
      <c r="AF124" s="2">
        <v>109738.22</v>
      </c>
      <c r="AG124" s="2">
        <v>71037.77</v>
      </c>
      <c r="AH124" s="2">
        <v>66121.73</v>
      </c>
      <c r="AI124" s="24">
        <f>SUM(E124:AH124)</f>
        <v>2225116.5</v>
      </c>
      <c r="AJ124" s="26">
        <v>1760144.4971161103</v>
      </c>
      <c r="AK124" s="33">
        <f>$AJ124/$AI124*E124</f>
        <v>45429.134191770718</v>
      </c>
      <c r="AL124" s="33">
        <f>$AJ124/$AI124*F124</f>
        <v>53108.15949937571</v>
      </c>
      <c r="AM124" s="33">
        <f>$AJ124/$AI124*G124</f>
        <v>53923.724247545826</v>
      </c>
      <c r="AN124" s="33">
        <f>$AJ124/$AI124*H124</f>
        <v>48678.562600639874</v>
      </c>
      <c r="AO124" s="33">
        <f>$AJ124/$AI124*I124</f>
        <v>89039.141566079081</v>
      </c>
      <c r="AP124" s="33">
        <f>$AJ124/$AI124*J124</f>
        <v>54968.570420975753</v>
      </c>
      <c r="AQ124" s="33">
        <f>$AJ124/$AI124*K124</f>
        <v>49510.232816528776</v>
      </c>
      <c r="AR124" s="33">
        <f>$AJ124/$AI124*L124</f>
        <v>44547.73953085221</v>
      </c>
      <c r="AS124" s="33">
        <f>$AJ124/$AI124*M124</f>
        <v>50557.910894400411</v>
      </c>
      <c r="AT124" s="33">
        <f>$AJ124/$AI124*N124</f>
        <v>46364.058174915663</v>
      </c>
      <c r="AU124" s="33">
        <f>$AJ124/$AI124*O124</f>
        <v>67608.206351527901</v>
      </c>
      <c r="AV124" s="33">
        <f>$AJ124/$AI124*P124</f>
        <v>83332.355764131324</v>
      </c>
      <c r="AW124" s="33">
        <f>$AJ124/$AI124*Q124</f>
        <v>85574.227378168973</v>
      </c>
      <c r="AX124" s="33">
        <f>$AJ124/$AI124*R124</f>
        <v>50178.174657740179</v>
      </c>
      <c r="AY124" s="33">
        <f>$AJ124/$AI124*S124</f>
        <v>40545.024540487779</v>
      </c>
      <c r="AZ124" s="33">
        <f>$AJ124/$AI124*T124</f>
        <v>53303.149567778477</v>
      </c>
      <c r="BA124" s="33">
        <f>$AJ124/$AI124*U124</f>
        <v>72197.892865044079</v>
      </c>
      <c r="BB124" s="33">
        <f>$AJ124/$AI124*V124</f>
        <v>52327.376549613982</v>
      </c>
      <c r="BC124" s="33">
        <f>$AJ124/$AI124*W124</f>
        <v>83591.206068729458</v>
      </c>
      <c r="BD124" s="33">
        <f>$AJ124/$AI124*X124</f>
        <v>54721.198030748928</v>
      </c>
      <c r="BE124" s="33">
        <f>$AJ124/$AI124*Y124</f>
        <v>46042.17031027285</v>
      </c>
      <c r="BF124" s="33">
        <f>$AJ124/$AI124*Z124</f>
        <v>36294.114483745863</v>
      </c>
      <c r="BG124" s="33">
        <f>$AJ124/$AI124*AA124</f>
        <v>47099.831246818896</v>
      </c>
      <c r="BH124" s="33">
        <f>$AJ124/$AI124*AB124</f>
        <v>46391.17484649719</v>
      </c>
      <c r="BI124" s="33">
        <f>$AJ124/$AI124*AC124</f>
        <v>56714.415778248127</v>
      </c>
      <c r="BJ124" s="33">
        <f>$AJ124/$AI124*AD124</f>
        <v>83805.600219801272</v>
      </c>
      <c r="BK124" s="33">
        <f>$AJ124/$AI124*AE124</f>
        <v>68986.465766057561</v>
      </c>
      <c r="BL124" s="33">
        <f>$AJ124/$AI124*AF124</f>
        <v>86806.746548469295</v>
      </c>
      <c r="BM124" s="33">
        <f>$AJ124/$AI124*AG124</f>
        <v>56193.345360973202</v>
      </c>
      <c r="BN124" s="33">
        <f>$AJ124/$AI124*AH124</f>
        <v>52304.586838171046</v>
      </c>
    </row>
    <row r="125" spans="1:66" x14ac:dyDescent="0.25">
      <c r="A125" s="1" t="s">
        <v>50</v>
      </c>
      <c r="B125" s="4">
        <v>51</v>
      </c>
      <c r="C125" s="4" t="s">
        <v>3</v>
      </c>
      <c r="D125" s="4" t="str">
        <f>A125&amp;C125</f>
        <v>KITUIBUTCHERY</v>
      </c>
      <c r="E125" s="2">
        <v>71625.78</v>
      </c>
      <c r="F125" s="2">
        <v>59053.75</v>
      </c>
      <c r="G125" s="2">
        <v>75961.47</v>
      </c>
      <c r="H125" s="2">
        <v>93651.39</v>
      </c>
      <c r="I125" s="2">
        <v>74414.17</v>
      </c>
      <c r="J125" s="2">
        <v>59452.480000000003</v>
      </c>
      <c r="K125" s="2">
        <v>67651.350000000006</v>
      </c>
      <c r="L125" s="2">
        <v>78913.100000000006</v>
      </c>
      <c r="M125" s="2">
        <v>71504.41</v>
      </c>
      <c r="N125" s="2">
        <v>66379.759999999995</v>
      </c>
      <c r="O125" s="2">
        <v>73016.570000000007</v>
      </c>
      <c r="P125" s="2">
        <v>74495.289999999994</v>
      </c>
      <c r="Q125" s="2">
        <v>52608.35</v>
      </c>
      <c r="R125" s="2">
        <v>59312.92</v>
      </c>
      <c r="S125" s="2">
        <v>53815.09</v>
      </c>
      <c r="T125" s="2">
        <v>55067.08</v>
      </c>
      <c r="U125" s="2">
        <v>71228.02</v>
      </c>
      <c r="V125" s="2">
        <v>54059.27</v>
      </c>
      <c r="W125" s="2">
        <v>94022.24</v>
      </c>
      <c r="X125" s="2">
        <v>51990.19</v>
      </c>
      <c r="Y125" s="2">
        <v>73101.759999999995</v>
      </c>
      <c r="Z125" s="2">
        <v>60688.11</v>
      </c>
      <c r="AA125" s="2">
        <v>63572.65</v>
      </c>
      <c r="AB125" s="2">
        <v>67321.88</v>
      </c>
      <c r="AC125" s="2">
        <v>63844.6</v>
      </c>
      <c r="AD125" s="2">
        <v>66223.149999999994</v>
      </c>
      <c r="AE125" s="2">
        <v>86135.87</v>
      </c>
      <c r="AF125" s="2">
        <v>65516.5</v>
      </c>
      <c r="AG125" s="2">
        <v>77090.03</v>
      </c>
      <c r="AH125" s="2">
        <v>60747.94</v>
      </c>
      <c r="AI125" s="24">
        <f>SUM(E125:AH125)</f>
        <v>2042465.1700000002</v>
      </c>
      <c r="AJ125" s="26">
        <v>1609810.3640817802</v>
      </c>
      <c r="AK125" s="33">
        <f>$AJ125/$AI125*E125</f>
        <v>56453.311749468652</v>
      </c>
      <c r="AL125" s="33">
        <f>$AJ125/$AI125*F125</f>
        <v>46544.411226309639</v>
      </c>
      <c r="AM125" s="33">
        <f>$AJ125/$AI125*G125</f>
        <v>59870.573791418545</v>
      </c>
      <c r="AN125" s="33">
        <f>$AJ125/$AI125*H125</f>
        <v>73813.243156878307</v>
      </c>
      <c r="AO125" s="33">
        <f>$AJ125/$AI125*I125</f>
        <v>58651.037902665179</v>
      </c>
      <c r="AP125" s="33">
        <f>$AJ125/$AI125*J125</f>
        <v>46858.678365793021</v>
      </c>
      <c r="AQ125" s="33">
        <f>$AJ125/$AI125*K125</f>
        <v>53320.784106259176</v>
      </c>
      <c r="AR125" s="33">
        <f>$AJ125/$AI125*L125</f>
        <v>62196.960862653017</v>
      </c>
      <c r="AS125" s="33">
        <f>$AJ125/$AI125*M125</f>
        <v>56357.65152144694</v>
      </c>
      <c r="AT125" s="33">
        <f>$AJ125/$AI125*N125</f>
        <v>52318.554647989993</v>
      </c>
      <c r="AU125" s="33">
        <f>$AJ125/$AI125*O125</f>
        <v>57549.491106231595</v>
      </c>
      <c r="AV125" s="33">
        <f>$AJ125/$AI125*P125</f>
        <v>58714.974276539455</v>
      </c>
      <c r="AW125" s="33">
        <f>$AJ125/$AI125*Q125</f>
        <v>41464.338443157743</v>
      </c>
      <c r="AX125" s="33">
        <f>$AJ125/$AI125*R125</f>
        <v>46748.681320207528</v>
      </c>
      <c r="AY125" s="33">
        <f>$AJ125/$AI125*S125</f>
        <v>42415.455058160798</v>
      </c>
      <c r="AZ125" s="33">
        <f>$AJ125/$AI125*T125</f>
        <v>43402.236378758185</v>
      </c>
      <c r="BA125" s="33">
        <f>$AJ125/$AI125*U125</f>
        <v>56139.809135165975</v>
      </c>
      <c r="BB125" s="33">
        <f>$AJ125/$AI125*V125</f>
        <v>42607.910479420927</v>
      </c>
      <c r="BC125" s="33">
        <f>$AJ125/$AI125*W125</f>
        <v>74105.53610869385</v>
      </c>
      <c r="BD125" s="33">
        <f>$AJ125/$AI125*X125</f>
        <v>40977.123097076328</v>
      </c>
      <c r="BE125" s="33">
        <f>$AJ125/$AI125*Y125</f>
        <v>57616.635333183629</v>
      </c>
      <c r="BF125" s="33">
        <f>$AJ125/$AI125*Z125</f>
        <v>47832.565220456185</v>
      </c>
      <c r="BG125" s="33">
        <f>$AJ125/$AI125*AA125</f>
        <v>50106.073946976328</v>
      </c>
      <c r="BH125" s="33">
        <f>$AJ125/$AI125*AB125</f>
        <v>53061.105641018068</v>
      </c>
      <c r="BI125" s="33">
        <f>$AJ125/$AI125*AC125</f>
        <v>50320.416857172459</v>
      </c>
      <c r="BJ125" s="33">
        <f>$AJ125/$AI125*AD125</f>
        <v>52195.119298970632</v>
      </c>
      <c r="BK125" s="33">
        <f>$AJ125/$AI125*AE125</f>
        <v>67889.733583658061</v>
      </c>
      <c r="BL125" s="33">
        <f>$AJ125/$AI125*AF125</f>
        <v>51638.158763982225</v>
      </c>
      <c r="BM125" s="33">
        <f>$AJ125/$AI125*AG125</f>
        <v>60760.07125319809</v>
      </c>
      <c r="BN125" s="33">
        <f>$AJ125/$AI125*AH125</f>
        <v>47879.721448869619</v>
      </c>
    </row>
    <row r="126" spans="1:66" x14ac:dyDescent="0.25">
      <c r="A126" s="1" t="s">
        <v>83</v>
      </c>
      <c r="B126" s="4">
        <v>52</v>
      </c>
      <c r="C126" s="4" t="s">
        <v>3</v>
      </c>
      <c r="D126" s="4" t="str">
        <f>A126&amp;C126</f>
        <v>T-MALLBUTCHERY</v>
      </c>
      <c r="E126" s="2">
        <v>39919.67</v>
      </c>
      <c r="F126" s="2">
        <v>50499.24</v>
      </c>
      <c r="G126" s="2">
        <v>45214.79</v>
      </c>
      <c r="H126" s="2">
        <v>53338.83</v>
      </c>
      <c r="I126" s="2">
        <v>63727.44</v>
      </c>
      <c r="J126" s="2">
        <v>43201.39</v>
      </c>
      <c r="K126" s="2">
        <v>39267.33</v>
      </c>
      <c r="L126" s="2">
        <v>39028.480000000003</v>
      </c>
      <c r="M126" s="2">
        <v>50253.55</v>
      </c>
      <c r="N126" s="2">
        <v>47303.75</v>
      </c>
      <c r="O126" s="2">
        <v>47153.62</v>
      </c>
      <c r="P126" s="2">
        <v>43398.29</v>
      </c>
      <c r="Q126" s="2">
        <v>53094.76</v>
      </c>
      <c r="R126" s="2">
        <v>41382.730000000003</v>
      </c>
      <c r="S126" s="2">
        <v>42973.77</v>
      </c>
      <c r="T126" s="2">
        <v>57432.65</v>
      </c>
      <c r="U126" s="2">
        <v>49652.89</v>
      </c>
      <c r="V126" s="2">
        <v>38970.44</v>
      </c>
      <c r="W126" s="2">
        <v>46231.55</v>
      </c>
      <c r="X126" s="2">
        <v>42040.959999999999</v>
      </c>
      <c r="Y126" s="2">
        <v>37604.400000000001</v>
      </c>
      <c r="Z126" s="2">
        <v>41749.21</v>
      </c>
      <c r="AA126" s="2">
        <v>35703.22</v>
      </c>
      <c r="AB126" s="2">
        <v>36367.01</v>
      </c>
      <c r="AC126" s="2">
        <v>51337.27</v>
      </c>
      <c r="AD126" s="2">
        <v>58256.86</v>
      </c>
      <c r="AE126" s="2">
        <v>41544.15</v>
      </c>
      <c r="AF126" s="2">
        <v>56839.26</v>
      </c>
      <c r="AG126" s="2">
        <v>58189.25</v>
      </c>
      <c r="AH126" s="2">
        <v>43572.4</v>
      </c>
      <c r="AI126" s="24">
        <f>SUM(E126:AH126)</f>
        <v>1395249.1600000001</v>
      </c>
      <c r="AJ126" s="26">
        <v>1201575.7687415027</v>
      </c>
      <c r="AK126" s="33">
        <f>$AJ126/$AI126*E126</f>
        <v>34378.453356787613</v>
      </c>
      <c r="AL126" s="33">
        <f>$AJ126/$AI126*F126</f>
        <v>43489.481924405263</v>
      </c>
      <c r="AM126" s="33">
        <f>$AJ126/$AI126*G126</f>
        <v>38938.562093623194</v>
      </c>
      <c r="AN126" s="33">
        <f>$AJ126/$AI126*H126</f>
        <v>45934.910766061541</v>
      </c>
      <c r="AO126" s="33">
        <f>$AJ126/$AI126*I126</f>
        <v>54881.48633461853</v>
      </c>
      <c r="AP126" s="33">
        <f>$AJ126/$AI126*J126</f>
        <v>37204.640495860578</v>
      </c>
      <c r="AQ126" s="33">
        <f>$AJ126/$AI126*K126</f>
        <v>33816.66413701784</v>
      </c>
      <c r="AR126" s="33">
        <f>$AJ126/$AI126*L126</f>
        <v>33610.968709568951</v>
      </c>
      <c r="AS126" s="33">
        <f>$AJ126/$AI126*M126</f>
        <v>43277.895951744948</v>
      </c>
      <c r="AT126" s="33">
        <f>$AJ126/$AI126*N126</f>
        <v>40737.555269774071</v>
      </c>
      <c r="AU126" s="33">
        <f>$AJ126/$AI126*O126</f>
        <v>40608.264691909717</v>
      </c>
      <c r="AV126" s="33">
        <f>$AJ126/$AI126*P126</f>
        <v>37374.208968394334</v>
      </c>
      <c r="AW126" s="33">
        <f>$AJ126/$AI126*Q126</f>
        <v>45724.719922530239</v>
      </c>
      <c r="AX126" s="33">
        <f>$AJ126/$AI126*R126</f>
        <v>35638.427198459693</v>
      </c>
      <c r="AY126" s="33">
        <f>$AJ126/$AI126*S126</f>
        <v>37008.616241324606</v>
      </c>
      <c r="AZ126" s="33">
        <f>$AJ126/$AI126*T126</f>
        <v>49460.470970368944</v>
      </c>
      <c r="BA126" s="33">
        <f>$AJ126/$AI126*U126</f>
        <v>42760.613073572655</v>
      </c>
      <c r="BB126" s="33">
        <f>$AJ126/$AI126*V126</f>
        <v>33560.985194353816</v>
      </c>
      <c r="BC126" s="33">
        <f>$AJ126/$AI126*W126</f>
        <v>39814.186472157569</v>
      </c>
      <c r="BD126" s="33">
        <f>$AJ126/$AI126*X126</f>
        <v>36205.288832161532</v>
      </c>
      <c r="BE126" s="33">
        <f>$AJ126/$AI126*Y126</f>
        <v>32384.564086075465</v>
      </c>
      <c r="BF126" s="33">
        <f>$AJ126/$AI126*Z126</f>
        <v>35954.036410314286</v>
      </c>
      <c r="BG126" s="33">
        <f>$AJ126/$AI126*AA126</f>
        <v>30747.285322176427</v>
      </c>
      <c r="BH126" s="33">
        <f>$AJ126/$AI126*AB126</f>
        <v>31318.935176839608</v>
      </c>
      <c r="BI126" s="33">
        <f>$AJ126/$AI126*AC126</f>
        <v>44211.185667612277</v>
      </c>
      <c r="BJ126" s="33">
        <f>$AJ126/$AI126*AD126</f>
        <v>50170.273056438244</v>
      </c>
      <c r="BK126" s="33">
        <f>$AJ126/$AI126*AE126</f>
        <v>35777.440620686197</v>
      </c>
      <c r="BL126" s="33">
        <f>$AJ126/$AI126*AF126</f>
        <v>48949.44894946085</v>
      </c>
      <c r="BM126" s="33">
        <f>$AJ126/$AI126*AG126</f>
        <v>50112.04794507203</v>
      </c>
      <c r="BN126" s="33">
        <f>$AJ126/$AI126*AH126</f>
        <v>37524.150902131521</v>
      </c>
    </row>
    <row r="127" spans="1:66" ht="24.75" x14ac:dyDescent="0.25">
      <c r="A127" s="1" t="s">
        <v>84</v>
      </c>
      <c r="B127" s="4">
        <v>53</v>
      </c>
      <c r="C127" s="4" t="s">
        <v>3</v>
      </c>
      <c r="D127" s="4" t="str">
        <f>A127&amp;C127</f>
        <v>MILELE-NGONGBUTCHERY</v>
      </c>
      <c r="E127" s="2">
        <v>43495.69</v>
      </c>
      <c r="F127" s="2">
        <v>44097.51</v>
      </c>
      <c r="G127" s="2">
        <v>50642.46</v>
      </c>
      <c r="H127" s="2">
        <v>52293.81</v>
      </c>
      <c r="I127" s="2">
        <v>98603.63</v>
      </c>
      <c r="J127" s="2">
        <v>66048.63</v>
      </c>
      <c r="K127" s="2">
        <v>60002.239999999998</v>
      </c>
      <c r="L127" s="2">
        <v>43224.959999999999</v>
      </c>
      <c r="M127" s="2">
        <v>68749.86</v>
      </c>
      <c r="N127" s="2">
        <v>59029.2</v>
      </c>
      <c r="O127" s="2">
        <v>46700.66</v>
      </c>
      <c r="P127" s="2">
        <v>95703.92</v>
      </c>
      <c r="Q127" s="2">
        <v>71109.539999999994</v>
      </c>
      <c r="R127" s="2">
        <v>61609.62</v>
      </c>
      <c r="S127" s="2">
        <v>52416.38</v>
      </c>
      <c r="T127" s="2">
        <v>57323.23</v>
      </c>
      <c r="U127" s="2">
        <v>57995.83</v>
      </c>
      <c r="V127" s="2">
        <v>54646.47</v>
      </c>
      <c r="W127" s="2">
        <v>75633.070000000007</v>
      </c>
      <c r="X127" s="2">
        <v>77572.61</v>
      </c>
      <c r="Y127" s="2">
        <v>63856.83</v>
      </c>
      <c r="Z127" s="2">
        <v>63319.9</v>
      </c>
      <c r="AA127" s="2">
        <v>46540.42</v>
      </c>
      <c r="AB127" s="2">
        <v>45844.81</v>
      </c>
      <c r="AC127" s="2">
        <v>73432.570000000007</v>
      </c>
      <c r="AD127" s="2">
        <v>82486.86</v>
      </c>
      <c r="AE127" s="2">
        <v>58106.9</v>
      </c>
      <c r="AF127" s="2">
        <v>103487.86</v>
      </c>
      <c r="AG127" s="2">
        <v>75425.53</v>
      </c>
      <c r="AH127" s="2">
        <v>59154.16</v>
      </c>
      <c r="AI127" s="24">
        <f>SUM(E127:AH127)</f>
        <v>1908555.1600000004</v>
      </c>
      <c r="AJ127" s="26">
        <v>1184700.418300807</v>
      </c>
      <c r="AK127" s="33">
        <f>$AJ127/$AI127*E127</f>
        <v>26999.147426937467</v>
      </c>
      <c r="AL127" s="33">
        <f>$AJ127/$AI127*F127</f>
        <v>27372.716093269224</v>
      </c>
      <c r="AM127" s="33">
        <f>$AJ127/$AI127*G127</f>
        <v>31435.37310484748</v>
      </c>
      <c r="AN127" s="33">
        <f>$AJ127/$AI127*H127</f>
        <v>32460.418163414735</v>
      </c>
      <c r="AO127" s="33">
        <f>$AJ127/$AI127*I127</f>
        <v>61206.384890116562</v>
      </c>
      <c r="AP127" s="33">
        <f>$AJ127/$AI127*J127</f>
        <v>40998.469014222901</v>
      </c>
      <c r="AQ127" s="33">
        <f>$AJ127/$AI127*K127</f>
        <v>37245.283928280805</v>
      </c>
      <c r="AR127" s="33">
        <f>$AJ127/$AI127*L127</f>
        <v>26831.096772196852</v>
      </c>
      <c r="AS127" s="33">
        <f>$AJ127/$AI127*M127</f>
        <v>42675.207721071005</v>
      </c>
      <c r="AT127" s="33">
        <f>$AJ127/$AI127*N127</f>
        <v>36641.287292928952</v>
      </c>
      <c r="AU127" s="33">
        <f>$AJ127/$AI127*O127</f>
        <v>28988.573448893017</v>
      </c>
      <c r="AV127" s="33">
        <f>$AJ127/$AI127*P127</f>
        <v>59406.443383604877</v>
      </c>
      <c r="AW127" s="33">
        <f>$AJ127/$AI127*Q127</f>
        <v>44139.935564229621</v>
      </c>
      <c r="AX127" s="33">
        <f>$AJ127/$AI127*R127</f>
        <v>38243.035420235778</v>
      </c>
      <c r="AY127" s="33">
        <f>$AJ127/$AI127*S127</f>
        <v>32536.501230498387</v>
      </c>
      <c r="AZ127" s="33">
        <f>$AJ127/$AI127*T127</f>
        <v>35582.337876655009</v>
      </c>
      <c r="BA127" s="33">
        <f>$AJ127/$AI127*U127</f>
        <v>35999.841922673317</v>
      </c>
      <c r="BB127" s="33">
        <f>$AJ127/$AI127*V127</f>
        <v>33920.78847103507</v>
      </c>
      <c r="BC127" s="33">
        <f>$AJ127/$AI127*W127</f>
        <v>46947.833389512416</v>
      </c>
      <c r="BD127" s="33">
        <f>$AJ127/$AI127*X127</f>
        <v>48151.767075825752</v>
      </c>
      <c r="BE127" s="33">
        <f>$AJ127/$AI127*Y127</f>
        <v>39637.949585048154</v>
      </c>
      <c r="BF127" s="33">
        <f>$AJ127/$AI127*Z127</f>
        <v>39304.660189525392</v>
      </c>
      <c r="BG127" s="33">
        <f>$AJ127/$AI127*AA127</f>
        <v>28889.10742401348</v>
      </c>
      <c r="BH127" s="33">
        <f>$AJ127/$AI127*AB127</f>
        <v>28457.320344841912</v>
      </c>
      <c r="BI127" s="33">
        <f>$AJ127/$AI127*AC127</f>
        <v>45581.913595781683</v>
      </c>
      <c r="BJ127" s="33">
        <f>$AJ127/$AI127*AD127</f>
        <v>51202.197135512761</v>
      </c>
      <c r="BK127" s="33">
        <f>$AJ127/$AI127*AE127</f>
        <v>36068.786576838131</v>
      </c>
      <c r="BL127" s="33">
        <f>$AJ127/$AI127*AF127</f>
        <v>64238.180588427604</v>
      </c>
      <c r="BM127" s="33">
        <f>$AJ127/$AI127*AG127</f>
        <v>46819.006761931916</v>
      </c>
      <c r="BN127" s="33">
        <f>$AJ127/$AI127*AH127</f>
        <v>36718.853908436613</v>
      </c>
    </row>
    <row r="128" spans="1:66" x14ac:dyDescent="0.25">
      <c r="A128" s="1" t="s">
        <v>51</v>
      </c>
      <c r="B128" s="4">
        <v>54</v>
      </c>
      <c r="C128" s="4" t="s">
        <v>3</v>
      </c>
      <c r="D128" s="4" t="str">
        <f>A128&amp;C128</f>
        <v>KARENBUTCHERY</v>
      </c>
      <c r="E128" s="2">
        <v>38717.379999999997</v>
      </c>
      <c r="F128" s="2">
        <v>19599.64</v>
      </c>
      <c r="G128" s="2">
        <v>23615.63</v>
      </c>
      <c r="H128" s="2">
        <v>34765.480000000003</v>
      </c>
      <c r="I128" s="2">
        <v>18821.57</v>
      </c>
      <c r="J128" s="2">
        <v>39359.17</v>
      </c>
      <c r="K128" s="2">
        <v>34629.760000000002</v>
      </c>
      <c r="L128" s="2">
        <v>29625.45</v>
      </c>
      <c r="M128" s="2">
        <v>27592.27</v>
      </c>
      <c r="N128" s="2">
        <v>33477.11</v>
      </c>
      <c r="O128" s="2">
        <v>37610.57</v>
      </c>
      <c r="P128" s="2">
        <v>29895.68</v>
      </c>
      <c r="Q128" s="2">
        <v>24144.65</v>
      </c>
      <c r="R128" s="2">
        <v>37146.14</v>
      </c>
      <c r="S128" s="2">
        <v>25971.599999999999</v>
      </c>
      <c r="T128" s="2">
        <v>21841.51</v>
      </c>
      <c r="U128" s="2">
        <v>22956.34</v>
      </c>
      <c r="V128" s="2">
        <v>61840.72</v>
      </c>
      <c r="W128" s="2">
        <v>30250.54</v>
      </c>
      <c r="X128" s="2">
        <v>25582.59</v>
      </c>
      <c r="Y128" s="2">
        <v>45197.2</v>
      </c>
      <c r="Z128" s="2">
        <v>35370.629999999997</v>
      </c>
      <c r="AA128" s="2">
        <v>30705.74</v>
      </c>
      <c r="AB128" s="2">
        <v>20878.080000000002</v>
      </c>
      <c r="AC128" s="2">
        <v>19190.96</v>
      </c>
      <c r="AD128" s="2">
        <v>34175.72</v>
      </c>
      <c r="AE128" s="2">
        <v>50527.06</v>
      </c>
      <c r="AF128" s="2">
        <v>31558.46</v>
      </c>
      <c r="AG128" s="2">
        <v>28208.23</v>
      </c>
      <c r="AH128" s="2">
        <v>20407.79</v>
      </c>
      <c r="AI128" s="24">
        <f>SUM(E128:AH128)</f>
        <v>933663.66999999993</v>
      </c>
      <c r="AJ128" s="26">
        <v>1012064.9791442879</v>
      </c>
      <c r="AK128" s="33">
        <f>$AJ128/$AI128*E128</f>
        <v>41968.543535833916</v>
      </c>
      <c r="AL128" s="33">
        <f>$AJ128/$AI128*F128</f>
        <v>21245.454744785726</v>
      </c>
      <c r="AM128" s="33">
        <f>$AJ128/$AI128*G128</f>
        <v>25598.674181495382</v>
      </c>
      <c r="AN128" s="33">
        <f>$AJ128/$AI128*H128</f>
        <v>37684.795844247819</v>
      </c>
      <c r="AO128" s="33">
        <f>$AJ128/$AI128*I128</f>
        <v>20402.048897878565</v>
      </c>
      <c r="AP128" s="33">
        <f>$AJ128/$AI128*J128</f>
        <v>42664.225721866722</v>
      </c>
      <c r="AQ128" s="33">
        <f>$AJ128/$AI128*K128</f>
        <v>37537.679207515597</v>
      </c>
      <c r="AR128" s="33">
        <f>$AJ128/$AI128*L128</f>
        <v>32113.148877678992</v>
      </c>
      <c r="AS128" s="33">
        <f>$AJ128/$AI128*M128</f>
        <v>29909.239332503497</v>
      </c>
      <c r="AT128" s="33">
        <f>$AJ128/$AI128*N128</f>
        <v>36288.239247823614</v>
      </c>
      <c r="AU128" s="33">
        <f>$AJ128/$AI128*O128</f>
        <v>40768.792838062109</v>
      </c>
      <c r="AV128" s="33">
        <f>$AJ128/$AI128*P128</f>
        <v>32406.070545407758</v>
      </c>
      <c r="AW128" s="33">
        <f>$AJ128/$AI128*Q128</f>
        <v>26172.11688090652</v>
      </c>
      <c r="AX128" s="33">
        <f>$AJ128/$AI128*R128</f>
        <v>40265.363869615707</v>
      </c>
      <c r="AY128" s="33">
        <f>$AJ128/$AI128*S128</f>
        <v>28152.478946025381</v>
      </c>
      <c r="AZ128" s="33">
        <f>$AJ128/$AI128*T128</f>
        <v>23675.578340356496</v>
      </c>
      <c r="BA128" s="33">
        <f>$AJ128/$AI128*U128</f>
        <v>24884.022491020976</v>
      </c>
      <c r="BB128" s="33">
        <f>$AJ128/$AI128*V128</f>
        <v>67033.589297811879</v>
      </c>
      <c r="BC128" s="33">
        <f>$AJ128/$AI128*W128</f>
        <v>32790.728736616104</v>
      </c>
      <c r="BD128" s="33">
        <f>$AJ128/$AI128*X128</f>
        <v>27730.803121863864</v>
      </c>
      <c r="BE128" s="33">
        <f>$AJ128/$AI128*Y128</f>
        <v>48992.484922734773</v>
      </c>
      <c r="BF128" s="33">
        <f>$AJ128/$AI128*Z128</f>
        <v>38340.761307838322</v>
      </c>
      <c r="BG128" s="33">
        <f>$AJ128/$AI128*AA128</f>
        <v>33284.152646434166</v>
      </c>
      <c r="BH128" s="33">
        <f>$AJ128/$AI128*AB128</f>
        <v>22631.247502403923</v>
      </c>
      <c r="BI128" s="33">
        <f>$AJ128/$AI128*AC128</f>
        <v>20802.457197631848</v>
      </c>
      <c r="BJ128" s="33">
        <f>$AJ128/$AI128*AD128</f>
        <v>37045.51270484909</v>
      </c>
      <c r="BK128" s="33">
        <f>$AJ128/$AI128*AE128</f>
        <v>54769.902233769244</v>
      </c>
      <c r="BL128" s="33">
        <f>$AJ128/$AI128*AF128</f>
        <v>34208.476979430772</v>
      </c>
      <c r="BM128" s="33">
        <f>$AJ128/$AI128*AG128</f>
        <v>30576.9225299805</v>
      </c>
      <c r="BN128" s="33">
        <f>$AJ128/$AI128*AH128</f>
        <v>22121.466459898787</v>
      </c>
    </row>
    <row r="129" spans="1:66" x14ac:dyDescent="0.25">
      <c r="A129" s="1" t="s">
        <v>70</v>
      </c>
      <c r="B129" s="4">
        <v>55</v>
      </c>
      <c r="C129" s="4" t="s">
        <v>3</v>
      </c>
      <c r="D129" s="4" t="str">
        <f>A129&amp;C129</f>
        <v>SHABAABBUTCHERY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24"/>
      <c r="AJ129" s="26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</row>
    <row r="130" spans="1:66" x14ac:dyDescent="0.25">
      <c r="A130" s="1" t="s">
        <v>52</v>
      </c>
      <c r="B130" s="4">
        <v>56</v>
      </c>
      <c r="C130" s="4" t="s">
        <v>3</v>
      </c>
      <c r="D130" s="4" t="str">
        <f>A130&amp;C130</f>
        <v>THOMEBUTCHERY</v>
      </c>
      <c r="E130" s="2">
        <v>52933.7</v>
      </c>
      <c r="F130" s="2">
        <v>67850.94</v>
      </c>
      <c r="G130" s="2">
        <v>54104</v>
      </c>
      <c r="H130" s="2">
        <v>68302.37</v>
      </c>
      <c r="I130" s="2">
        <v>62571.93</v>
      </c>
      <c r="J130" s="2">
        <v>60430.76</v>
      </c>
      <c r="K130" s="2">
        <v>79104.149999999994</v>
      </c>
      <c r="L130" s="2">
        <v>56882.83</v>
      </c>
      <c r="M130" s="2">
        <v>52025.36</v>
      </c>
      <c r="N130" s="2">
        <v>52327.49</v>
      </c>
      <c r="O130" s="2">
        <v>51402.64</v>
      </c>
      <c r="P130" s="2">
        <v>50213.37</v>
      </c>
      <c r="Q130" s="2">
        <v>78246.63</v>
      </c>
      <c r="R130" s="2">
        <v>59539.32</v>
      </c>
      <c r="S130" s="2">
        <v>59002.47</v>
      </c>
      <c r="T130" s="2">
        <v>60494.06</v>
      </c>
      <c r="U130" s="2">
        <v>55272.05</v>
      </c>
      <c r="V130" s="2">
        <v>50827.89</v>
      </c>
      <c r="W130" s="2">
        <v>60976.639999999999</v>
      </c>
      <c r="X130" s="2">
        <v>96452.42</v>
      </c>
      <c r="Y130" s="2">
        <v>61865.49</v>
      </c>
      <c r="Z130" s="2">
        <v>68693.960000000006</v>
      </c>
      <c r="AA130" s="2">
        <v>54571.43</v>
      </c>
      <c r="AB130" s="2">
        <v>77792.53</v>
      </c>
      <c r="AC130" s="2">
        <v>43940.58</v>
      </c>
      <c r="AD130" s="2">
        <v>90026.49</v>
      </c>
      <c r="AE130" s="2">
        <v>79795.179999999993</v>
      </c>
      <c r="AF130" s="2">
        <v>70312.34</v>
      </c>
      <c r="AG130" s="2">
        <v>80009.789999999994</v>
      </c>
      <c r="AH130" s="2">
        <v>63420.99</v>
      </c>
      <c r="AI130" s="24">
        <f>SUM(E130:AH130)</f>
        <v>1919389.7999999998</v>
      </c>
      <c r="AJ130" s="26">
        <v>1493983.7029185914</v>
      </c>
      <c r="AK130" s="33">
        <f>$AJ130/$AI130*E130</f>
        <v>41201.680416964729</v>
      </c>
      <c r="AL130" s="33">
        <f>$AJ130/$AI130*F130</f>
        <v>52812.721307421343</v>
      </c>
      <c r="AM130" s="33">
        <f>$AJ130/$AI130*G130</f>
        <v>42112.599672410201</v>
      </c>
      <c r="AN130" s="33">
        <f>$AJ130/$AI130*H130</f>
        <v>53164.098116347042</v>
      </c>
      <c r="AO130" s="33">
        <f>$AJ130/$AI130*I130</f>
        <v>48703.730571123655</v>
      </c>
      <c r="AP130" s="33">
        <f>$AJ130/$AI130*J130</f>
        <v>47037.121169959704</v>
      </c>
      <c r="AQ130" s="33">
        <f>$AJ130/$AI130*K130</f>
        <v>61571.813569722894</v>
      </c>
      <c r="AR130" s="33">
        <f>$AJ130/$AI130*L130</f>
        <v>44275.540588935481</v>
      </c>
      <c r="AS130" s="33">
        <f>$AJ130/$AI130*M130</f>
        <v>40494.661365019645</v>
      </c>
      <c r="AT130" s="33">
        <f>$AJ130/$AI130*N130</f>
        <v>40729.828445808962</v>
      </c>
      <c r="AU130" s="33">
        <f>$AJ130/$AI130*O130</f>
        <v>40009.958606110813</v>
      </c>
      <c r="AV130" s="33">
        <f>$AJ130/$AI130*P130</f>
        <v>39084.273787753446</v>
      </c>
      <c r="AW130" s="33">
        <f>$AJ130/$AI130*Q130</f>
        <v>60904.350970449552</v>
      </c>
      <c r="AX130" s="33">
        <f>$AJ130/$AI130*R130</f>
        <v>46343.256467683095</v>
      </c>
      <c r="AY130" s="33">
        <f>$AJ130/$AI130*S130</f>
        <v>45925.39181564012</v>
      </c>
      <c r="AZ130" s="33">
        <f>$AJ130/$AI130*T130</f>
        <v>47086.391603925091</v>
      </c>
      <c r="BA130" s="33">
        <f>$AJ130/$AI130*U130</f>
        <v>43021.767609112831</v>
      </c>
      <c r="BB130" s="33">
        <f>$AJ130/$AI130*V130</f>
        <v>39562.593962799459</v>
      </c>
      <c r="BC130" s="33">
        <f>$AJ130/$AI130*W130</f>
        <v>47462.014447890637</v>
      </c>
      <c r="BD130" s="33">
        <f>$AJ130/$AI130*X130</f>
        <v>75075.080417255129</v>
      </c>
      <c r="BE130" s="33">
        <f>$AJ130/$AI130*Y130</f>
        <v>48153.863187703246</v>
      </c>
      <c r="BF130" s="33">
        <f>$AJ130/$AI130*Z130</f>
        <v>53468.897630351916</v>
      </c>
      <c r="BG130" s="33">
        <f>$AJ130/$AI130*AA130</f>
        <v>42476.430303507252</v>
      </c>
      <c r="BH130" s="33">
        <f>$AJ130/$AI130*AB130</f>
        <v>60550.895929949002</v>
      </c>
      <c r="BI130" s="33">
        <f>$AJ130/$AI130*AC130</f>
        <v>34201.760589115671</v>
      </c>
      <c r="BJ130" s="33">
        <f>$AJ130/$AI130*AD130</f>
        <v>70073.368573159853</v>
      </c>
      <c r="BK130" s="33">
        <f>$AJ130/$AI130*AE130</f>
        <v>62109.686365664515</v>
      </c>
      <c r="BL130" s="33">
        <f>$AJ130/$AI130*AF130</f>
        <v>54728.586175705947</v>
      </c>
      <c r="BM130" s="33">
        <f>$AJ130/$AI130*AG130</f>
        <v>62276.731039176564</v>
      </c>
      <c r="BN130" s="33">
        <f>$AJ130/$AI130*AH130</f>
        <v>49364.6082119239</v>
      </c>
    </row>
    <row r="131" spans="1:66" x14ac:dyDescent="0.25">
      <c r="A131" s="1" t="s">
        <v>53</v>
      </c>
      <c r="B131" s="4">
        <v>57</v>
      </c>
      <c r="C131" s="4" t="s">
        <v>3</v>
      </c>
      <c r="D131" s="4" t="str">
        <f>A131&amp;C131</f>
        <v>KILELESHWABUTCHERY</v>
      </c>
      <c r="E131" s="2">
        <v>262089.1</v>
      </c>
      <c r="F131" s="2">
        <v>329399.46999999997</v>
      </c>
      <c r="G131" s="2">
        <v>326470.03999999998</v>
      </c>
      <c r="H131" s="2">
        <v>269848.89</v>
      </c>
      <c r="I131" s="2">
        <v>382522.85</v>
      </c>
      <c r="J131" s="2">
        <v>328508.73</v>
      </c>
      <c r="K131" s="2">
        <v>281768.99</v>
      </c>
      <c r="L131" s="2">
        <v>278438.74</v>
      </c>
      <c r="M131" s="2">
        <v>362844.82</v>
      </c>
      <c r="N131" s="2">
        <v>310060.48</v>
      </c>
      <c r="O131" s="2">
        <v>322293.89</v>
      </c>
      <c r="P131" s="2">
        <v>354298.5</v>
      </c>
      <c r="Q131" s="2">
        <v>375328.6</v>
      </c>
      <c r="R131" s="2">
        <v>351230.97</v>
      </c>
      <c r="S131" s="2">
        <v>307422.24</v>
      </c>
      <c r="T131" s="2">
        <v>282507.65000000002</v>
      </c>
      <c r="U131" s="2">
        <v>347798.69</v>
      </c>
      <c r="V131" s="2">
        <v>319860.58</v>
      </c>
      <c r="W131" s="2">
        <v>367324.52</v>
      </c>
      <c r="X131" s="2">
        <v>369118.7</v>
      </c>
      <c r="Y131" s="2">
        <v>344423.22</v>
      </c>
      <c r="Z131" s="2">
        <v>296409.44</v>
      </c>
      <c r="AA131" s="2">
        <v>252187.71</v>
      </c>
      <c r="AB131" s="2">
        <v>262427.68</v>
      </c>
      <c r="AC131" s="2">
        <v>315162.44</v>
      </c>
      <c r="AD131" s="2">
        <v>402882.29</v>
      </c>
      <c r="AE131" s="2">
        <v>408008.86</v>
      </c>
      <c r="AF131" s="2">
        <v>402716.26</v>
      </c>
      <c r="AG131" s="2">
        <v>368064.39</v>
      </c>
      <c r="AH131" s="2">
        <v>371269.42</v>
      </c>
      <c r="AI131" s="24">
        <f>SUM(E131:AH131)</f>
        <v>9952688.160000002</v>
      </c>
      <c r="AJ131" s="26">
        <v>8337466.0777741931</v>
      </c>
      <c r="AK131" s="33">
        <f>$AJ131/$AI131*E131</f>
        <v>219554.65151480923</v>
      </c>
      <c r="AL131" s="33">
        <f>$AJ131/$AI131*F131</f>
        <v>275941.21939833765</v>
      </c>
      <c r="AM131" s="33">
        <f>$AJ131/$AI131*G131</f>
        <v>273487.20668744267</v>
      </c>
      <c r="AN131" s="33">
        <f>$AJ131/$AI131*H131</f>
        <v>226055.10494563906</v>
      </c>
      <c r="AO131" s="33">
        <f>$AJ131/$AI131*I131</f>
        <v>320443.2043461618</v>
      </c>
      <c r="AP131" s="33">
        <f>$AJ131/$AI131*J131</f>
        <v>275195.03762164299</v>
      </c>
      <c r="AQ131" s="33">
        <f>$AJ131/$AI131*K131</f>
        <v>236040.69153249703</v>
      </c>
      <c r="AR131" s="33">
        <f>$AJ131/$AI131*L131</f>
        <v>233250.90791231903</v>
      </c>
      <c r="AS131" s="33">
        <f>$AJ131/$AI131*M131</f>
        <v>303958.72246901412</v>
      </c>
      <c r="AT131" s="33">
        <f>$AJ131/$AI131*N131</f>
        <v>259740.75470866385</v>
      </c>
      <c r="AU131" s="33">
        <f>$AJ131/$AI131*O131</f>
        <v>269988.80420552503</v>
      </c>
      <c r="AV131" s="33">
        <f>$AJ131/$AI131*P131</f>
        <v>296799.38501723128</v>
      </c>
      <c r="AW131" s="33">
        <f>$AJ131/$AI131*Q131</f>
        <v>314416.50941050664</v>
      </c>
      <c r="AX131" s="33">
        <f>$AJ131/$AI131*R131</f>
        <v>294229.68455978675</v>
      </c>
      <c r="AY131" s="33">
        <f>$AJ131/$AI131*S131</f>
        <v>257530.67476328486</v>
      </c>
      <c r="AZ131" s="33">
        <f>$AJ131/$AI131*T131</f>
        <v>236659.47437729267</v>
      </c>
      <c r="BA131" s="33">
        <f>$AJ131/$AI131*U131</f>
        <v>291354.42939159687</v>
      </c>
      <c r="BB131" s="33">
        <f>$AJ131/$AI131*V131</f>
        <v>267950.39616384183</v>
      </c>
      <c r="BC131" s="33">
        <f>$AJ131/$AI131*W131</f>
        <v>307711.41181164945</v>
      </c>
      <c r="BD131" s="33">
        <f>$AJ131/$AI131*X131</f>
        <v>309214.41428162949</v>
      </c>
      <c r="BE131" s="33">
        <f>$AJ131/$AI131*Y131</f>
        <v>288526.7645266761</v>
      </c>
      <c r="BF131" s="33">
        <f>$AJ131/$AI131*Z131</f>
        <v>248305.14243018787</v>
      </c>
      <c r="BG131" s="33">
        <f>$AJ131/$AI131*AA131</f>
        <v>211260.15841699549</v>
      </c>
      <c r="BH131" s="33">
        <f>$AJ131/$AI131*AB131</f>
        <v>219838.28335569802</v>
      </c>
      <c r="BI131" s="33">
        <f>$AJ131/$AI131*AC131</f>
        <v>264014.71745584602</v>
      </c>
      <c r="BJ131" s="33">
        <f>$AJ131/$AI131*AD131</f>
        <v>337498.51017245016</v>
      </c>
      <c r="BK131" s="33">
        <f>$AJ131/$AI131*AE131</f>
        <v>341793.08896193921</v>
      </c>
      <c r="BL131" s="33">
        <f>$AJ131/$AI131*AF131</f>
        <v>337359.42518650071</v>
      </c>
      <c r="BM131" s="33">
        <f>$AJ131/$AI131*AG131</f>
        <v>308331.20828550612</v>
      </c>
      <c r="BN131" s="33">
        <f>$AJ131/$AI131*AH131</f>
        <v>311016.09386351949</v>
      </c>
    </row>
    <row r="132" spans="1:66" x14ac:dyDescent="0.25">
      <c r="A132" s="1" t="s">
        <v>54</v>
      </c>
      <c r="B132" s="4">
        <v>58</v>
      </c>
      <c r="C132" s="4" t="s">
        <v>3</v>
      </c>
      <c r="D132" s="4" t="str">
        <f>A132&amp;C132</f>
        <v>NYALIBUTCHERY</v>
      </c>
      <c r="E132" s="2">
        <v>79500.600000000006</v>
      </c>
      <c r="F132" s="2">
        <v>131986.25</v>
      </c>
      <c r="G132" s="2">
        <v>121443.55</v>
      </c>
      <c r="H132" s="2">
        <v>101239.45</v>
      </c>
      <c r="I132" s="2">
        <v>121768.9</v>
      </c>
      <c r="J132" s="2">
        <v>120266.3</v>
      </c>
      <c r="K132" s="2">
        <v>134099.1</v>
      </c>
      <c r="L132" s="2">
        <v>101086.05</v>
      </c>
      <c r="M132" s="2">
        <v>117018.05</v>
      </c>
      <c r="N132" s="2">
        <v>119008.75</v>
      </c>
      <c r="O132" s="2">
        <v>125410.4</v>
      </c>
      <c r="P132" s="2">
        <v>156286.29999999999</v>
      </c>
      <c r="Q132" s="2">
        <v>125475.4</v>
      </c>
      <c r="R132" s="2">
        <v>102665.3</v>
      </c>
      <c r="S132" s="2">
        <v>128754.4</v>
      </c>
      <c r="T132" s="2">
        <v>87555.25</v>
      </c>
      <c r="U132" s="2">
        <v>73716.800000000003</v>
      </c>
      <c r="V132" s="2">
        <v>131776.04999999999</v>
      </c>
      <c r="W132" s="2">
        <v>119706.7</v>
      </c>
      <c r="X132" s="2">
        <v>124487</v>
      </c>
      <c r="Y132" s="2">
        <v>90126.15</v>
      </c>
      <c r="Z132" s="2">
        <v>62486.75</v>
      </c>
      <c r="AA132" s="2">
        <v>75814.2</v>
      </c>
      <c r="AB132" s="2">
        <v>67591.350000000006</v>
      </c>
      <c r="AC132" s="2">
        <v>77847.45</v>
      </c>
      <c r="AD132" s="2">
        <v>89817.2</v>
      </c>
      <c r="AE132" s="2">
        <v>103763.8</v>
      </c>
      <c r="AF132" s="2">
        <v>100054</v>
      </c>
      <c r="AG132" s="2">
        <v>116799.95</v>
      </c>
      <c r="AH132" s="2">
        <v>104121.9</v>
      </c>
      <c r="AI132" s="24">
        <f>SUM(E132:AH132)</f>
        <v>3211673.3500000006</v>
      </c>
      <c r="AJ132" s="26">
        <v>1353264.1148413394</v>
      </c>
      <c r="AK132" s="33">
        <f>$AJ132/$AI132*E132</f>
        <v>33498.210236217012</v>
      </c>
      <c r="AL132" s="33">
        <f>$AJ132/$AI132*F132</f>
        <v>55613.4563863656</v>
      </c>
      <c r="AM132" s="33">
        <f>$AJ132/$AI132*G132</f>
        <v>51171.205874327141</v>
      </c>
      <c r="AN132" s="33">
        <f>$AJ132/$AI132*H132</f>
        <v>42658.047615980002</v>
      </c>
      <c r="AO132" s="33">
        <f>$AJ132/$AI132*I132</f>
        <v>51308.294684982066</v>
      </c>
      <c r="AP132" s="33">
        <f>$AJ132/$AI132*J132</f>
        <v>50675.162221819024</v>
      </c>
      <c r="AQ132" s="33">
        <f>$AJ132/$AI132*K132</f>
        <v>56503.722541559291</v>
      </c>
      <c r="AR132" s="33">
        <f>$AJ132/$AI132*L132</f>
        <v>42593.411305685047</v>
      </c>
      <c r="AS132" s="33">
        <f>$AJ132/$AI132*M132</f>
        <v>49306.486244533422</v>
      </c>
      <c r="AT132" s="33">
        <f>$AJ132/$AI132*N132</f>
        <v>50145.283525525476</v>
      </c>
      <c r="AU132" s="33">
        <f>$AJ132/$AI132*O132</f>
        <v>52842.669678066195</v>
      </c>
      <c r="AV132" s="33">
        <f>$AJ132/$AI132*P132</f>
        <v>65852.475760440575</v>
      </c>
      <c r="AW132" s="33">
        <f>$AJ132/$AI132*Q132</f>
        <v>52870.057945140332</v>
      </c>
      <c r="AX132" s="33">
        <f>$AJ132/$AI132*R132</f>
        <v>43258.840856097821</v>
      </c>
      <c r="AY132" s="33">
        <f>$AJ132/$AI132*S132</f>
        <v>54251.690679541774</v>
      </c>
      <c r="AZ132" s="33">
        <f>$AJ132/$AI132*T132</f>
        <v>36892.10108835077</v>
      </c>
      <c r="BA132" s="33">
        <f>$AJ132/$AI132*U132</f>
        <v>31061.160096164836</v>
      </c>
      <c r="BB132" s="33">
        <f>$AJ132/$AI132*V132</f>
        <v>55524.886944227386</v>
      </c>
      <c r="BC132" s="33">
        <f>$AJ132/$AI132*W132</f>
        <v>50439.370310208455</v>
      </c>
      <c r="BD132" s="33">
        <f>$AJ132/$AI132*X132</f>
        <v>52453.58774243146</v>
      </c>
      <c r="BE132" s="33">
        <f>$AJ132/$AI132*Y132</f>
        <v>37975.370254826121</v>
      </c>
      <c r="BF132" s="33">
        <f>$AJ132/$AI132*Z132</f>
        <v>26329.28919376625</v>
      </c>
      <c r="BG132" s="33">
        <f>$AJ132/$AI132*AA132</f>
        <v>31944.916270953974</v>
      </c>
      <c r="BH132" s="33">
        <f>$AJ132/$AI132*AB132</f>
        <v>28480.153010791448</v>
      </c>
      <c r="BI132" s="33">
        <f>$AJ132/$AI132*AC132</f>
        <v>32801.642332930714</v>
      </c>
      <c r="BJ132" s="33">
        <f>$AJ132/$AI132*AD132</f>
        <v>37845.191714632972</v>
      </c>
      <c r="BK132" s="33">
        <f>$AJ132/$AI132*AE132</f>
        <v>43721.702569650726</v>
      </c>
      <c r="BL132" s="33">
        <f>$AJ132/$AI132*AF132</f>
        <v>42158.548828241001</v>
      </c>
      <c r="BM132" s="33">
        <f>$AJ132/$AI132*AG132</f>
        <v>49214.588074550818</v>
      </c>
      <c r="BN132" s="33">
        <f>$AJ132/$AI132*AH132</f>
        <v>43872.590853331465</v>
      </c>
    </row>
    <row r="133" spans="1:66" x14ac:dyDescent="0.25">
      <c r="A133" s="1" t="s">
        <v>55</v>
      </c>
      <c r="B133" s="4">
        <v>59</v>
      </c>
      <c r="C133" s="4" t="s">
        <v>3</v>
      </c>
      <c r="D133" s="4" t="str">
        <f>A133&amp;C133</f>
        <v>OUTERING 2BUTCHERY</v>
      </c>
      <c r="E133" s="2">
        <v>44241.9</v>
      </c>
      <c r="F133" s="2">
        <v>33137.440000000002</v>
      </c>
      <c r="G133" s="2">
        <v>34385.660000000003</v>
      </c>
      <c r="H133" s="2">
        <v>42642.7</v>
      </c>
      <c r="I133" s="2">
        <v>73781.490000000005</v>
      </c>
      <c r="J133" s="2">
        <v>61983.91</v>
      </c>
      <c r="K133" s="2">
        <v>41487.839999999997</v>
      </c>
      <c r="L133" s="2">
        <v>41755.82</v>
      </c>
      <c r="M133" s="2">
        <v>42460.17</v>
      </c>
      <c r="N133" s="2">
        <v>37468.01</v>
      </c>
      <c r="O133" s="2">
        <v>49373.99</v>
      </c>
      <c r="P133" s="2">
        <v>55872.58</v>
      </c>
      <c r="Q133" s="2">
        <v>56805.599999999999</v>
      </c>
      <c r="R133" s="2">
        <v>61130.28</v>
      </c>
      <c r="S133" s="2">
        <v>54066.04</v>
      </c>
      <c r="T133" s="2">
        <v>31208.51</v>
      </c>
      <c r="U133" s="2">
        <v>40274.720000000001</v>
      </c>
      <c r="V133" s="2">
        <v>62602.01</v>
      </c>
      <c r="W133" s="2">
        <v>47009.2</v>
      </c>
      <c r="X133" s="2">
        <v>66587.92</v>
      </c>
      <c r="Y133" s="2">
        <v>36827.019999999997</v>
      </c>
      <c r="Z133" s="2">
        <v>35034.699999999997</v>
      </c>
      <c r="AA133" s="2">
        <v>45184.62</v>
      </c>
      <c r="AB133" s="2">
        <v>45976.26</v>
      </c>
      <c r="AC133" s="2">
        <v>53759.5</v>
      </c>
      <c r="AD133" s="2">
        <v>41381.760000000002</v>
      </c>
      <c r="AE133" s="2">
        <v>67634.22</v>
      </c>
      <c r="AF133" s="2">
        <v>53423.839999999997</v>
      </c>
      <c r="AG133" s="2">
        <v>79957.149999999994</v>
      </c>
      <c r="AH133" s="2">
        <v>45998.31</v>
      </c>
      <c r="AI133" s="24">
        <f>SUM(E133:AH133)</f>
        <v>1483453.1700000002</v>
      </c>
      <c r="AJ133" s="26">
        <v>1088319.4287563416</v>
      </c>
      <c r="AK133" s="33">
        <f>$AJ133/$AI133*E133</f>
        <v>32457.59307325838</v>
      </c>
      <c r="AL133" s="33">
        <f>$AJ133/$AI133*F133</f>
        <v>24310.925683786529</v>
      </c>
      <c r="AM133" s="33">
        <f>$AJ133/$AI133*G133</f>
        <v>25226.668832835341</v>
      </c>
      <c r="AN133" s="33">
        <f>$AJ133/$AI133*H133</f>
        <v>31284.357230250847</v>
      </c>
      <c r="AO133" s="33">
        <f>$AJ133/$AI133*I133</f>
        <v>54128.994884005493</v>
      </c>
      <c r="AP133" s="33">
        <f>$AJ133/$AI133*J133</f>
        <v>45473.827477334176</v>
      </c>
      <c r="AQ133" s="33">
        <f>$AJ133/$AI133*K133</f>
        <v>30437.106638920388</v>
      </c>
      <c r="AR133" s="33">
        <f>$AJ133/$AI133*L133</f>
        <v>30633.707277495399</v>
      </c>
      <c r="AS133" s="33">
        <f>$AJ133/$AI133*M133</f>
        <v>31150.446063152198</v>
      </c>
      <c r="AT133" s="33">
        <f>$AJ133/$AI133*N133</f>
        <v>27488.001687196433</v>
      </c>
      <c r="AU133" s="33">
        <f>$AJ133/$AI133*O133</f>
        <v>36222.695585477304</v>
      </c>
      <c r="AV133" s="33">
        <f>$AJ133/$AI133*P133</f>
        <v>40990.316093862937</v>
      </c>
      <c r="AW133" s="33">
        <f>$AJ133/$AI133*Q133</f>
        <v>41674.81616029796</v>
      </c>
      <c r="AX133" s="33">
        <f>$AJ133/$AI133*R133</f>
        <v>44847.571028693281</v>
      </c>
      <c r="AY133" s="33">
        <f>$AJ133/$AI133*S133</f>
        <v>39664.967494671582</v>
      </c>
      <c r="AZ133" s="33">
        <f>$AJ133/$AI133*T133</f>
        <v>22895.786980276949</v>
      </c>
      <c r="BA133" s="33">
        <f>$AJ133/$AI133*U133</f>
        <v>29547.114226545895</v>
      </c>
      <c r="BB133" s="33">
        <f>$AJ133/$AI133*V133</f>
        <v>45927.289880137425</v>
      </c>
      <c r="BC133" s="33">
        <f>$AJ133/$AI133*W133</f>
        <v>34487.792890888901</v>
      </c>
      <c r="BD133" s="33">
        <f>$AJ133/$AI133*X133</f>
        <v>48851.509789468422</v>
      </c>
      <c r="BE133" s="33">
        <f>$AJ133/$AI133*Y133</f>
        <v>27017.746282613261</v>
      </c>
      <c r="BF133" s="33">
        <f>$AJ133/$AI133*Z133</f>
        <v>25702.830033151498</v>
      </c>
      <c r="BG133" s="33">
        <f>$AJ133/$AI133*AA133</f>
        <v>33149.209440141858</v>
      </c>
      <c r="BH133" s="33">
        <f>$AJ133/$AI133*AB133</f>
        <v>33729.987593442558</v>
      </c>
      <c r="BI133" s="33">
        <f>$AJ133/$AI133*AC133</f>
        <v>39440.077727715892</v>
      </c>
      <c r="BJ133" s="33">
        <f>$AJ133/$AI133*AD133</f>
        <v>30359.282190304682</v>
      </c>
      <c r="BK133" s="33">
        <f>$AJ133/$AI133*AE133</f>
        <v>49619.116506913888</v>
      </c>
      <c r="BL133" s="33">
        <f>$AJ133/$AI133*AF133</f>
        <v>39193.824386630411</v>
      </c>
      <c r="BM133" s="33">
        <f>$AJ133/$AI133*AG133</f>
        <v>58659.701278595203</v>
      </c>
      <c r="BN133" s="33">
        <f>$AJ133/$AI133*AH133</f>
        <v>33746.164338276423</v>
      </c>
    </row>
    <row r="134" spans="1:66" ht="24.75" x14ac:dyDescent="0.25">
      <c r="A134" s="1" t="s">
        <v>85</v>
      </c>
      <c r="B134" s="4">
        <v>60</v>
      </c>
      <c r="C134" s="4" t="s">
        <v>3</v>
      </c>
      <c r="D134" s="4" t="str">
        <f>A134&amp;C134</f>
        <v>NAROK MORANBUTCHERY</v>
      </c>
      <c r="E134" s="2">
        <v>73295.92</v>
      </c>
      <c r="F134" s="2">
        <v>91728.02</v>
      </c>
      <c r="G134" s="2">
        <v>168276.71</v>
      </c>
      <c r="H134" s="2">
        <v>95049.84</v>
      </c>
      <c r="I134" s="2">
        <v>131318.49</v>
      </c>
      <c r="J134" s="2">
        <v>81471.710000000006</v>
      </c>
      <c r="K134" s="2">
        <v>135239.51</v>
      </c>
      <c r="L134" s="2">
        <v>118785.44</v>
      </c>
      <c r="M134" s="2">
        <v>76571.850000000006</v>
      </c>
      <c r="N134" s="2">
        <v>78444.08</v>
      </c>
      <c r="O134" s="2">
        <v>107049.73</v>
      </c>
      <c r="P134" s="2">
        <v>107480.2</v>
      </c>
      <c r="Q134" s="2">
        <v>91741.07</v>
      </c>
      <c r="R134" s="2">
        <v>78795.23</v>
      </c>
      <c r="S134" s="2">
        <v>86311.27</v>
      </c>
      <c r="T134" s="2">
        <v>95834.3</v>
      </c>
      <c r="U134" s="2">
        <v>65784.81</v>
      </c>
      <c r="V134" s="2">
        <v>132874.32</v>
      </c>
      <c r="W134" s="2">
        <v>85678.78</v>
      </c>
      <c r="X134" s="2">
        <v>88468.7</v>
      </c>
      <c r="Y134" s="2">
        <v>85084.33</v>
      </c>
      <c r="Z134" s="2">
        <v>130615.59</v>
      </c>
      <c r="AA134" s="2">
        <v>85491.09</v>
      </c>
      <c r="AB134" s="2">
        <v>124887.62</v>
      </c>
      <c r="AC134" s="2">
        <v>116960.31</v>
      </c>
      <c r="AD134" s="2">
        <v>58470.05</v>
      </c>
      <c r="AE134" s="2">
        <v>54295.32</v>
      </c>
      <c r="AF134" s="2">
        <v>77335.929999999993</v>
      </c>
      <c r="AG134" s="2">
        <v>93738.22</v>
      </c>
      <c r="AH134" s="2">
        <v>126891.15</v>
      </c>
      <c r="AI134" s="24">
        <f>SUM(E134:AH134)</f>
        <v>2943969.59</v>
      </c>
      <c r="AJ134" s="26">
        <v>1803072.3132873201</v>
      </c>
      <c r="AK134" s="33">
        <f>$AJ134/$AI134*E134</f>
        <v>44891.035721915308</v>
      </c>
      <c r="AL134" s="33">
        <f>$AJ134/$AI134*F134</f>
        <v>56180.01414704341</v>
      </c>
      <c r="AM134" s="33">
        <f>$AJ134/$AI134*G134</f>
        <v>103063.25099373038</v>
      </c>
      <c r="AN134" s="33">
        <f>$AJ134/$AI134*H134</f>
        <v>58214.505838828874</v>
      </c>
      <c r="AO134" s="33">
        <f>$AJ134/$AI134*I134</f>
        <v>80427.710376484494</v>
      </c>
      <c r="AP134" s="33">
        <f>$AJ134/$AI134*J134</f>
        <v>49898.404221347177</v>
      </c>
      <c r="AQ134" s="33">
        <f>$AJ134/$AI134*K134</f>
        <v>82829.18987065478</v>
      </c>
      <c r="AR134" s="33">
        <f>$AJ134/$AI134*L134</f>
        <v>72751.681543576065</v>
      </c>
      <c r="AS134" s="33">
        <f>$AJ134/$AI134*M134</f>
        <v>46897.421488715074</v>
      </c>
      <c r="AT134" s="33">
        <f>$AJ134/$AI134*N134</f>
        <v>48044.093006169816</v>
      </c>
      <c r="AU134" s="33">
        <f>$AJ134/$AI134*O134</f>
        <v>65563.993922873036</v>
      </c>
      <c r="AV134" s="33">
        <f>$AJ134/$AI134*P134</f>
        <v>65827.640850931421</v>
      </c>
      <c r="AW134" s="33">
        <f>$AJ134/$AI134*Q134</f>
        <v>56188.006788600687</v>
      </c>
      <c r="AX134" s="33">
        <f>$AJ134/$AI134*R134</f>
        <v>48259.159372670845</v>
      </c>
      <c r="AY134" s="33">
        <f>$AJ134/$AI134*S134</f>
        <v>52862.455437818055</v>
      </c>
      <c r="AZ134" s="33">
        <f>$AJ134/$AI134*T134</f>
        <v>58694.958528179304</v>
      </c>
      <c r="BA134" s="33">
        <f>$AJ134/$AI134*U134</f>
        <v>40290.759099134186</v>
      </c>
      <c r="BB134" s="33">
        <f>$AJ134/$AI134*V134</f>
        <v>81380.598615109891</v>
      </c>
      <c r="BC134" s="33">
        <f>$AJ134/$AI134*W134</f>
        <v>52475.078743675265</v>
      </c>
      <c r="BD134" s="33">
        <f>$AJ134/$AI134*X134</f>
        <v>54183.80138991923</v>
      </c>
      <c r="BE134" s="33">
        <f>$AJ134/$AI134*Y134</f>
        <v>52111.00014032473</v>
      </c>
      <c r="BF134" s="33">
        <f>$AJ134/$AI134*Z134</f>
        <v>79997.210165709679</v>
      </c>
      <c r="BG134" s="33">
        <f>$AJ134/$AI134*AA134</f>
        <v>52360.125571730001</v>
      </c>
      <c r="BH134" s="33">
        <f>$AJ134/$AI134*AB134</f>
        <v>76489.0407357597</v>
      </c>
      <c r="BI134" s="33">
        <f>$AJ134/$AI134*AC134</f>
        <v>71633.857031282067</v>
      </c>
      <c r="BJ134" s="33">
        <f>$AJ134/$AI134*AD134</f>
        <v>35810.739577485001</v>
      </c>
      <c r="BK134" s="33">
        <f>$AJ134/$AI134*AE134</f>
        <v>33253.872107108044</v>
      </c>
      <c r="BL134" s="33">
        <f>$AJ134/$AI134*AF134</f>
        <v>47365.392183051132</v>
      </c>
      <c r="BM134" s="33">
        <f>$AJ134/$AI134*AG134</f>
        <v>57411.187178341657</v>
      </c>
      <c r="BN134" s="33">
        <f>$AJ134/$AI134*AH134</f>
        <v>77716.128639150906</v>
      </c>
    </row>
    <row r="135" spans="1:66" x14ac:dyDescent="0.25">
      <c r="A135" s="1" t="s">
        <v>66</v>
      </c>
      <c r="B135" s="4">
        <v>61</v>
      </c>
      <c r="C135" s="4" t="s">
        <v>3</v>
      </c>
      <c r="D135" s="4" t="str">
        <f>A135&amp;C135</f>
        <v>JOSKABUTCHERY</v>
      </c>
      <c r="E135" s="2">
        <v>87337.59</v>
      </c>
      <c r="F135" s="2">
        <v>81185.460000000006</v>
      </c>
      <c r="G135" s="2">
        <v>74612.91</v>
      </c>
      <c r="H135" s="2">
        <v>112202.64</v>
      </c>
      <c r="I135" s="2">
        <v>129709.22</v>
      </c>
      <c r="J135" s="2">
        <v>105209.34</v>
      </c>
      <c r="K135" s="2">
        <v>60611.03</v>
      </c>
      <c r="L135" s="2">
        <v>84534.87</v>
      </c>
      <c r="M135" s="2">
        <v>58784.84</v>
      </c>
      <c r="N135" s="2">
        <v>68106.490000000005</v>
      </c>
      <c r="O135" s="2">
        <v>76198.64</v>
      </c>
      <c r="P135" s="2">
        <v>120753.75</v>
      </c>
      <c r="Q135" s="2">
        <v>119897.87</v>
      </c>
      <c r="R135" s="2">
        <v>45556.69</v>
      </c>
      <c r="S135" s="2">
        <v>48775.42</v>
      </c>
      <c r="T135" s="2">
        <v>52580.29</v>
      </c>
      <c r="U135" s="2">
        <v>56339.89</v>
      </c>
      <c r="V135" s="2">
        <v>92487.59</v>
      </c>
      <c r="W135" s="2">
        <v>111505.39</v>
      </c>
      <c r="X135" s="2">
        <v>100626.2</v>
      </c>
      <c r="Y135" s="2">
        <v>58895.74</v>
      </c>
      <c r="Z135" s="2">
        <v>54998.54</v>
      </c>
      <c r="AA135" s="2">
        <v>74033.67</v>
      </c>
      <c r="AB135" s="2">
        <v>70361.009999999995</v>
      </c>
      <c r="AC135" s="2">
        <v>91271.679999999993</v>
      </c>
      <c r="AD135" s="2">
        <v>107890.66</v>
      </c>
      <c r="AE135" s="2">
        <v>116893.11</v>
      </c>
      <c r="AF135" s="2">
        <v>156534.47</v>
      </c>
      <c r="AG135" s="2">
        <v>170540.81</v>
      </c>
      <c r="AH135" s="2">
        <v>51526.74</v>
      </c>
      <c r="AI135" s="24">
        <f>SUM(E135:AH135)</f>
        <v>2639962.5499999998</v>
      </c>
      <c r="AJ135" s="26">
        <v>1684801.4559929082</v>
      </c>
      <c r="AK135" s="33">
        <f>$AJ135/$AI135*E135</f>
        <v>55738.100828328672</v>
      </c>
      <c r="AL135" s="33">
        <f>$AJ135/$AI135*F135</f>
        <v>51811.864230215702</v>
      </c>
      <c r="AM135" s="33">
        <f>$AJ135/$AI135*G135</f>
        <v>47617.319194118056</v>
      </c>
      <c r="AN135" s="33">
        <f>$AJ135/$AI135*H135</f>
        <v>71606.76246647822</v>
      </c>
      <c r="AO135" s="33">
        <f>$AJ135/$AI135*I135</f>
        <v>82779.311665502406</v>
      </c>
      <c r="AP135" s="33">
        <f>$AJ135/$AI135*J135</f>
        <v>67143.698389226367</v>
      </c>
      <c r="AQ135" s="33">
        <f>$AJ135/$AI135*K135</f>
        <v>38681.439474673549</v>
      </c>
      <c r="AR135" s="33">
        <f>$AJ135/$AI135*L135</f>
        <v>53949.428963744664</v>
      </c>
      <c r="AS135" s="33">
        <f>$AJ135/$AI135*M135</f>
        <v>37515.980680222208</v>
      </c>
      <c r="AT135" s="33">
        <f>$AJ135/$AI135*N135</f>
        <v>43464.977756811917</v>
      </c>
      <c r="AU135" s="33">
        <f>$AJ135/$AI135*O135</f>
        <v>48629.318479036556</v>
      </c>
      <c r="AV135" s="33">
        <f>$AJ135/$AI135*P135</f>
        <v>77064.00752412327</v>
      </c>
      <c r="AW135" s="33">
        <f>$AJ135/$AI135*Q135</f>
        <v>76517.792249154605</v>
      </c>
      <c r="AX135" s="33">
        <f>$AJ135/$AI135*R135</f>
        <v>29073.888810361183</v>
      </c>
      <c r="AY135" s="33">
        <f>$AJ135/$AI135*S135</f>
        <v>31128.054688755194</v>
      </c>
      <c r="AZ135" s="33">
        <f>$AJ135/$AI135*T135</f>
        <v>33556.290087724679</v>
      </c>
      <c r="BA135" s="33">
        <f>$AJ135/$AI135*U135</f>
        <v>35955.634560982806</v>
      </c>
      <c r="BB135" s="33">
        <f>$AJ135/$AI135*V135</f>
        <v>59024.786655884629</v>
      </c>
      <c r="BC135" s="33">
        <f>$AJ135/$AI135*W135</f>
        <v>71161.783496912511</v>
      </c>
      <c r="BD135" s="33">
        <f>$AJ135/$AI135*X135</f>
        <v>64218.777751613787</v>
      </c>
      <c r="BE135" s="33">
        <f>$AJ135/$AI135*Y135</f>
        <v>37586.756109013659</v>
      </c>
      <c r="BF135" s="33">
        <f>$AJ135/$AI135*Z135</f>
        <v>35099.59649597462</v>
      </c>
      <c r="BG135" s="33">
        <f>$AJ135/$AI135*AA135</f>
        <v>47247.653194360086</v>
      </c>
      <c r="BH135" s="33">
        <f>$AJ135/$AI135*AB135</f>
        <v>44903.793083402481</v>
      </c>
      <c r="BI135" s="33">
        <f>$AJ135/$AI135*AC135</f>
        <v>58248.803322955777</v>
      </c>
      <c r="BJ135" s="33">
        <f>$AJ135/$AI135*AD135</f>
        <v>68854.893815079253</v>
      </c>
      <c r="BK135" s="33">
        <f>$AJ135/$AI135*AE135</f>
        <v>74600.18018950276</v>
      </c>
      <c r="BL135" s="33">
        <f>$AJ135/$AI135*AF135</f>
        <v>99898.956130676263</v>
      </c>
      <c r="BM135" s="33">
        <f>$AJ135/$AI135*AG135</f>
        <v>108837.68218386656</v>
      </c>
      <c r="BN135" s="33">
        <f>$AJ135/$AI135*AH135</f>
        <v>32883.923514205926</v>
      </c>
    </row>
    <row r="136" spans="1:66" x14ac:dyDescent="0.25">
      <c r="A136" s="1" t="s">
        <v>71</v>
      </c>
      <c r="B136" s="4">
        <v>62</v>
      </c>
      <c r="C136" s="4" t="s">
        <v>3</v>
      </c>
      <c r="D136" s="4" t="str">
        <f>A136&amp;C136</f>
        <v>CIRCLE MALLBUTCHERY</v>
      </c>
      <c r="E136" s="2">
        <v>43665.79</v>
      </c>
      <c r="F136" s="2">
        <v>22962.38</v>
      </c>
      <c r="G136" s="2">
        <v>43450.44</v>
      </c>
      <c r="H136" s="2">
        <v>64141.27</v>
      </c>
      <c r="I136" s="2">
        <v>46969.87</v>
      </c>
      <c r="J136" s="2">
        <v>54222.84</v>
      </c>
      <c r="K136" s="2">
        <v>47232.54</v>
      </c>
      <c r="L136" s="2">
        <v>51691.32</v>
      </c>
      <c r="M136" s="2">
        <v>52344.72</v>
      </c>
      <c r="N136" s="2">
        <v>34853.160000000003</v>
      </c>
      <c r="O136" s="2">
        <v>56519.199999999997</v>
      </c>
      <c r="P136" s="2">
        <v>37366.82</v>
      </c>
      <c r="Q136" s="2">
        <v>40784.910000000003</v>
      </c>
      <c r="R136" s="2">
        <v>42985.06</v>
      </c>
      <c r="S136" s="2">
        <v>32591.03</v>
      </c>
      <c r="T136" s="2">
        <v>51608.57</v>
      </c>
      <c r="U136" s="2">
        <v>29609.11</v>
      </c>
      <c r="V136" s="2">
        <v>42260.01</v>
      </c>
      <c r="W136" s="2">
        <v>34717.99</v>
      </c>
      <c r="X136" s="2">
        <v>50710.720000000001</v>
      </c>
      <c r="Y136" s="2">
        <v>51837.64</v>
      </c>
      <c r="Z136" s="2">
        <v>41885.919999999998</v>
      </c>
      <c r="AA136" s="2">
        <v>34819.96</v>
      </c>
      <c r="AB136" s="2">
        <v>44033.33</v>
      </c>
      <c r="AC136" s="2">
        <v>49465.08</v>
      </c>
      <c r="AD136" s="2">
        <v>68884.929999999993</v>
      </c>
      <c r="AE136" s="2">
        <v>40909.11</v>
      </c>
      <c r="AF136" s="2">
        <v>29976.47</v>
      </c>
      <c r="AG136" s="2">
        <v>55042.52</v>
      </c>
      <c r="AH136" s="2">
        <v>50926.86</v>
      </c>
      <c r="AI136" s="24">
        <f>SUM(E136:AH136)</f>
        <v>1348469.5700000003</v>
      </c>
      <c r="AJ136" s="26">
        <v>886107.16835768207</v>
      </c>
      <c r="AK136" s="33">
        <f>$AJ136/$AI136*E136</f>
        <v>28693.691271803178</v>
      </c>
      <c r="AL136" s="33">
        <f>$AJ136/$AI136*F136</f>
        <v>15089.053526475253</v>
      </c>
      <c r="AM136" s="33">
        <f>$AJ136/$AI136*G136</f>
        <v>28552.180344933819</v>
      </c>
      <c r="AN136" s="33">
        <f>$AJ136/$AI136*H136</f>
        <v>42148.551512783139</v>
      </c>
      <c r="AO136" s="33">
        <f>$AJ136/$AI136*I136</f>
        <v>30864.870390681812</v>
      </c>
      <c r="AP136" s="33">
        <f>$AJ136/$AI136*J136</f>
        <v>35630.946579470568</v>
      </c>
      <c r="AQ136" s="33">
        <f>$AJ136/$AI136*K136</f>
        <v>31037.476265586731</v>
      </c>
      <c r="AR136" s="33">
        <f>$AJ136/$AI136*L136</f>
        <v>33967.43257163067</v>
      </c>
      <c r="AS136" s="33">
        <f>$AJ136/$AI136*M136</f>
        <v>34396.795188841912</v>
      </c>
      <c r="AT136" s="33">
        <f>$AJ136/$AI136*N136</f>
        <v>22902.730327030833</v>
      </c>
      <c r="AU136" s="33">
        <f>$AJ136/$AI136*O136</f>
        <v>37139.9321008345</v>
      </c>
      <c r="AV136" s="33">
        <f>$AJ136/$AI136*P136</f>
        <v>24554.508160485366</v>
      </c>
      <c r="AW136" s="33">
        <f>$AJ136/$AI136*Q136</f>
        <v>26800.605601966166</v>
      </c>
      <c r="AX136" s="33">
        <f>$AJ136/$AI136*R136</f>
        <v>28246.369547875711</v>
      </c>
      <c r="AY136" s="33">
        <f>$AJ136/$AI136*S136</f>
        <v>21416.238044704456</v>
      </c>
      <c r="AZ136" s="33">
        <f>$AJ136/$AI136*T136</f>
        <v>33913.055839806017</v>
      </c>
      <c r="BA136" s="33">
        <f>$AJ136/$AI136*U136</f>
        <v>19456.75690678813</v>
      </c>
      <c r="BB136" s="33">
        <f>$AJ136/$AI136*V136</f>
        <v>27769.924237791529</v>
      </c>
      <c r="BC136" s="33">
        <f>$AJ136/$AI136*W136</f>
        <v>22813.907331976585</v>
      </c>
      <c r="BD136" s="33">
        <f>$AJ136/$AI136*X136</f>
        <v>33323.060085500678</v>
      </c>
      <c r="BE136" s="33">
        <f>$AJ136/$AI136*Y136</f>
        <v>34063.582461667938</v>
      </c>
      <c r="BF136" s="33">
        <f>$AJ136/$AI136*Z136</f>
        <v>27524.10198270651</v>
      </c>
      <c r="BG136" s="33">
        <f>$AJ136/$AI136*AA136</f>
        <v>22880.913922238338</v>
      </c>
      <c r="BH136" s="33">
        <f>$AJ136/$AI136*AB136</f>
        <v>28935.209386786064</v>
      </c>
      <c r="BI136" s="33">
        <f>$AJ136/$AI136*AC136</f>
        <v>32504.524348581483</v>
      </c>
      <c r="BJ136" s="33">
        <f>$AJ136/$AI136*AD136</f>
        <v>45265.708342841674</v>
      </c>
      <c r="BK136" s="33">
        <f>$AJ136/$AI136*AE136</f>
        <v>26882.219983750118</v>
      </c>
      <c r="BL136" s="33">
        <f>$AJ136/$AI136*AF136</f>
        <v>19698.156740058286</v>
      </c>
      <c r="BM136" s="33">
        <f>$AJ136/$AI136*AG136</f>
        <v>36169.575214419609</v>
      </c>
      <c r="BN136" s="33">
        <f>$AJ136/$AI136*AH136</f>
        <v>33465.090137664803</v>
      </c>
    </row>
    <row r="137" spans="1:66" x14ac:dyDescent="0.25">
      <c r="A137" s="1" t="s">
        <v>72</v>
      </c>
      <c r="B137" s="4">
        <v>63</v>
      </c>
      <c r="C137" s="4" t="s">
        <v>3</v>
      </c>
      <c r="D137" s="4" t="str">
        <f>A137&amp;C137</f>
        <v>BANANA RDBUTCHERY</v>
      </c>
      <c r="E137" s="2">
        <v>57686.720000000001</v>
      </c>
      <c r="F137" s="2">
        <v>52459.21</v>
      </c>
      <c r="G137" s="2">
        <v>42575.02</v>
      </c>
      <c r="H137" s="2">
        <v>57989.94</v>
      </c>
      <c r="I137" s="2">
        <v>62367.06</v>
      </c>
      <c r="J137" s="2">
        <v>65276.78</v>
      </c>
      <c r="K137" s="2">
        <v>38460.69</v>
      </c>
      <c r="L137" s="2">
        <v>35796.83</v>
      </c>
      <c r="M137" s="2">
        <v>53538.559999999998</v>
      </c>
      <c r="N137" s="2">
        <v>49063.67</v>
      </c>
      <c r="O137" s="2">
        <v>54340.78</v>
      </c>
      <c r="P137" s="2">
        <v>63863.95</v>
      </c>
      <c r="Q137" s="2">
        <v>60011.47</v>
      </c>
      <c r="R137" s="2">
        <v>60382.93</v>
      </c>
      <c r="S137" s="2">
        <v>44680.37</v>
      </c>
      <c r="T137" s="2">
        <v>41537.910000000003</v>
      </c>
      <c r="U137" s="2">
        <v>39041.879999999997</v>
      </c>
      <c r="V137" s="2">
        <v>59224.22</v>
      </c>
      <c r="W137" s="2">
        <v>68533.100000000006</v>
      </c>
      <c r="X137" s="2">
        <v>69926.14</v>
      </c>
      <c r="Y137" s="2">
        <v>38559.26</v>
      </c>
      <c r="Z137" s="2">
        <v>49715.11</v>
      </c>
      <c r="AA137" s="2">
        <v>43020.55</v>
      </c>
      <c r="AB137" s="2">
        <v>51623.81</v>
      </c>
      <c r="AC137" s="2">
        <v>67943.100000000006</v>
      </c>
      <c r="AD137" s="2">
        <v>70557.77</v>
      </c>
      <c r="AE137" s="2">
        <v>93910.69</v>
      </c>
      <c r="AF137" s="2">
        <v>62181.08</v>
      </c>
      <c r="AG137" s="2">
        <v>67233.27</v>
      </c>
      <c r="AH137" s="2">
        <v>50880.71</v>
      </c>
      <c r="AI137" s="24">
        <f>SUM(E137:AH137)</f>
        <v>1672382.5800000003</v>
      </c>
      <c r="AJ137" s="26">
        <v>1427755.2025018125</v>
      </c>
      <c r="AK137" s="33">
        <f>$AJ137/$AI137*E137</f>
        <v>49248.60829109171</v>
      </c>
      <c r="AL137" s="33">
        <f>$AJ137/$AI137*F137</f>
        <v>44785.75111481674</v>
      </c>
      <c r="AM137" s="33">
        <f>$AJ137/$AI137*G137</f>
        <v>36347.368735220087</v>
      </c>
      <c r="AN137" s="33">
        <f>$AJ137/$AI137*H137</f>
        <v>49507.474855285771</v>
      </c>
      <c r="AO137" s="33">
        <f>$AJ137/$AI137*I137</f>
        <v>53244.332633351558</v>
      </c>
      <c r="AP137" s="33">
        <f>$AJ137/$AI137*J137</f>
        <v>55728.434009140568</v>
      </c>
      <c r="AQ137" s="33">
        <f>$AJ137/$AI137*K137</f>
        <v>32834.861410305668</v>
      </c>
      <c r="AR137" s="33">
        <f>$AJ137/$AI137*L137</f>
        <v>30560.656919526722</v>
      </c>
      <c r="AS137" s="33">
        <f>$AJ137/$AI137*M137</f>
        <v>45707.219441651578</v>
      </c>
      <c r="AT137" s="33">
        <f>$AJ137/$AI137*N137</f>
        <v>41886.892947863693</v>
      </c>
      <c r="AU137" s="33">
        <f>$AJ137/$AI137*O137</f>
        <v>46392.094895539049</v>
      </c>
      <c r="AV137" s="33">
        <f>$AJ137/$AI137*P137</f>
        <v>54522.265392656511</v>
      </c>
      <c r="AW137" s="33">
        <f>$AJ137/$AI137*Q137</f>
        <v>51233.306019177398</v>
      </c>
      <c r="AX137" s="33">
        <f>$AJ137/$AI137*R137</f>
        <v>51550.430793056184</v>
      </c>
      <c r="AY137" s="33">
        <f>$AJ137/$AI137*S137</f>
        <v>38144.759147877456</v>
      </c>
      <c r="AZ137" s="33">
        <f>$AJ137/$AI137*T137</f>
        <v>35461.961762093968</v>
      </c>
      <c r="BA137" s="33">
        <f>$AJ137/$AI137*U137</f>
        <v>33331.03797664016</v>
      </c>
      <c r="BB137" s="33">
        <f>$AJ137/$AI137*V137</f>
        <v>50561.21083198073</v>
      </c>
      <c r="BC137" s="33">
        <f>$AJ137/$AI137*W137</f>
        <v>58508.436549594386</v>
      </c>
      <c r="BD137" s="33">
        <f>$AJ137/$AI137*X137</f>
        <v>59697.709943779773</v>
      </c>
      <c r="BE137" s="33">
        <f>$AJ137/$AI137*Y137</f>
        <v>32919.013106211634</v>
      </c>
      <c r="BF137" s="33">
        <f>$AJ137/$AI137*Z137</f>
        <v>42443.04371159491</v>
      </c>
      <c r="BG137" s="33">
        <f>$AJ137/$AI137*AA137</f>
        <v>36727.728936873609</v>
      </c>
      <c r="BH137" s="33">
        <f>$AJ137/$AI137*AB137</f>
        <v>44072.549057802957</v>
      </c>
      <c r="BI137" s="33">
        <f>$AJ137/$AI137*AC137</f>
        <v>58004.738663984943</v>
      </c>
      <c r="BJ137" s="33">
        <f>$AJ137/$AI137*AD137</f>
        <v>60236.94841070773</v>
      </c>
      <c r="BK137" s="33">
        <f>$AJ137/$AI137*AE137</f>
        <v>80173.925405295071</v>
      </c>
      <c r="BL137" s="33">
        <f>$AJ137/$AI137*AF137</f>
        <v>53085.556815104705</v>
      </c>
      <c r="BM137" s="33">
        <f>$AJ137/$AI137*AG137</f>
        <v>57398.738884082981</v>
      </c>
      <c r="BN137" s="33">
        <f>$AJ137/$AI137*AH137</f>
        <v>43438.14583950401</v>
      </c>
    </row>
    <row r="138" spans="1:66" ht="24.75" x14ac:dyDescent="0.25">
      <c r="A138" s="1" t="s">
        <v>79</v>
      </c>
      <c r="B138" s="4">
        <v>64</v>
      </c>
      <c r="C138" s="4" t="s">
        <v>3</v>
      </c>
      <c r="D138" s="4" t="str">
        <f>A138&amp;C138</f>
        <v>NAKURU STATEHOUSEBUTCHERY</v>
      </c>
      <c r="E138" s="2">
        <v>21635.93</v>
      </c>
      <c r="F138" s="2">
        <v>20887.53</v>
      </c>
      <c r="G138" s="2">
        <v>13678.19</v>
      </c>
      <c r="H138" s="2">
        <v>22150.91</v>
      </c>
      <c r="I138" s="2">
        <v>18173.38</v>
      </c>
      <c r="J138" s="2">
        <v>16321.64</v>
      </c>
      <c r="K138" s="2">
        <v>17185.82</v>
      </c>
      <c r="L138" s="2">
        <v>27599.87</v>
      </c>
      <c r="M138" s="2">
        <v>23631.78</v>
      </c>
      <c r="N138" s="2">
        <v>10268.969999999999</v>
      </c>
      <c r="O138" s="2">
        <v>23168.13</v>
      </c>
      <c r="P138" s="2">
        <v>27635.8</v>
      </c>
      <c r="Q138" s="2">
        <v>25861.37</v>
      </c>
      <c r="R138" s="2">
        <v>16527.84</v>
      </c>
      <c r="S138" s="2">
        <v>20386.57</v>
      </c>
      <c r="T138" s="2">
        <v>17017.95</v>
      </c>
      <c r="U138" s="2">
        <v>21372.33</v>
      </c>
      <c r="V138" s="2">
        <v>27922.38</v>
      </c>
      <c r="W138" s="2">
        <v>24195.61</v>
      </c>
      <c r="X138" s="2">
        <v>16226.38</v>
      </c>
      <c r="Y138" s="2">
        <v>20255.689999999999</v>
      </c>
      <c r="Z138" s="2">
        <v>11445.33</v>
      </c>
      <c r="AA138" s="2">
        <v>10573.16</v>
      </c>
      <c r="AB138" s="2">
        <v>6870.62</v>
      </c>
      <c r="AC138" s="2">
        <v>12905.78</v>
      </c>
      <c r="AD138" s="2">
        <v>21377.74</v>
      </c>
      <c r="AE138" s="2">
        <v>9892.68</v>
      </c>
      <c r="AF138" s="2">
        <v>31940.83</v>
      </c>
      <c r="AG138" s="2">
        <v>22087.9</v>
      </c>
      <c r="AH138" s="2">
        <v>19323.259999999998</v>
      </c>
      <c r="AI138" s="24">
        <f>SUM(E138:AH138)</f>
        <v>578521.37000000011</v>
      </c>
      <c r="AJ138" s="26">
        <v>1803072.3132873201</v>
      </c>
      <c r="AK138" s="33">
        <f>$AJ138/$AI138*E138</f>
        <v>67432.507039839373</v>
      </c>
      <c r="AL138" s="33">
        <f>$AJ138/$AI138*F138</f>
        <v>65099.975539293024</v>
      </c>
      <c r="AM138" s="33">
        <f>$AJ138/$AI138*G138</f>
        <v>42630.690867795405</v>
      </c>
      <c r="AN138" s="33">
        <f>$AJ138/$AI138*H138</f>
        <v>69037.540540843329</v>
      </c>
      <c r="AO138" s="33">
        <f>$AJ138/$AI138*I138</f>
        <v>56640.808820682825</v>
      </c>
      <c r="AP138" s="33">
        <f>$AJ138/$AI138*J138</f>
        <v>50869.507536848381</v>
      </c>
      <c r="AQ138" s="33">
        <f>$AJ138/$AI138*K138</f>
        <v>53562.889514590424</v>
      </c>
      <c r="AR138" s="33">
        <f>$AJ138/$AI138*L138</f>
        <v>86020.264812913127</v>
      </c>
      <c r="AS138" s="33">
        <f>$AJ138/$AI138*M138</f>
        <v>73652.954655239475</v>
      </c>
      <c r="AT138" s="33">
        <f>$AJ138/$AI138*N138</f>
        <v>32005.205776543895</v>
      </c>
      <c r="AU138" s="33">
        <f>$AJ138/$AI138*O138</f>
        <v>72207.900900257766</v>
      </c>
      <c r="AV138" s="33">
        <f>$AJ138/$AI138*P138</f>
        <v>86132.247518437754</v>
      </c>
      <c r="AW138" s="33">
        <f>$AJ138/$AI138*Q138</f>
        <v>80601.897611283217</v>
      </c>
      <c r="AX138" s="33">
        <f>$AJ138/$AI138*R138</f>
        <v>51512.169208965774</v>
      </c>
      <c r="AY138" s="33">
        <f>$AJ138/$AI138*S138</f>
        <v>63538.638045287546</v>
      </c>
      <c r="AZ138" s="33">
        <f>$AJ138/$AI138*T138</f>
        <v>53039.690606257027</v>
      </c>
      <c r="BA138" s="33">
        <f>$AJ138/$AI138*U138</f>
        <v>66610.947307685434</v>
      </c>
      <c r="BB138" s="33">
        <f>$AJ138/$AI138*V138</f>
        <v>87025.42880842516</v>
      </c>
      <c r="BC138" s="33">
        <f>$AJ138/$AI138*W138</f>
        <v>75410.238508730996</v>
      </c>
      <c r="BD138" s="33">
        <f>$AJ138/$AI138*X138</f>
        <v>50572.611557770288</v>
      </c>
      <c r="BE138" s="33">
        <f>$AJ138/$AI138*Y138</f>
        <v>63130.725534876663</v>
      </c>
      <c r="BF138" s="33">
        <f>$AJ138/$AI138*Z138</f>
        <v>35671.556332373271</v>
      </c>
      <c r="BG138" s="33">
        <f>$AJ138/$AI138*AA138</f>
        <v>32953.271994009418</v>
      </c>
      <c r="BH138" s="33">
        <f>$AJ138/$AI138*AB138</f>
        <v>21413.599115825444</v>
      </c>
      <c r="BI138" s="33">
        <f>$AJ138/$AI138*AC138</f>
        <v>40223.327617745956</v>
      </c>
      <c r="BJ138" s="33">
        <f>$AJ138/$AI138*AD138</f>
        <v>66627.808605678423</v>
      </c>
      <c r="BK138" s="33">
        <f>$AJ138/$AI138*AE138</f>
        <v>30832.426142203189</v>
      </c>
      <c r="BL138" s="33">
        <f>$AJ138/$AI138*AF138</f>
        <v>99549.69552190791</v>
      </c>
      <c r="BM138" s="33">
        <f>$AJ138/$AI138*AG138</f>
        <v>68841.157844625501</v>
      </c>
      <c r="BN138" s="33">
        <f>$AJ138/$AI138*AH138</f>
        <v>60224.629400383834</v>
      </c>
    </row>
    <row r="139" spans="1:66" ht="24.75" x14ac:dyDescent="0.25">
      <c r="A139" s="1" t="s">
        <v>86</v>
      </c>
      <c r="B139" s="4">
        <v>65</v>
      </c>
      <c r="C139" s="4" t="s">
        <v>3</v>
      </c>
      <c r="D139" s="4" t="str">
        <f>A139&amp;C139</f>
        <v>KITENGELA TOWNBUTCHERY</v>
      </c>
      <c r="E139" s="2">
        <v>33921.35</v>
      </c>
      <c r="F139" s="2">
        <v>39931.379999999997</v>
      </c>
      <c r="G139" s="2">
        <v>22346.06</v>
      </c>
      <c r="H139" s="2">
        <v>65161.71</v>
      </c>
      <c r="I139" s="2">
        <v>39064.129999999997</v>
      </c>
      <c r="J139" s="2">
        <v>49409.35</v>
      </c>
      <c r="K139" s="2">
        <v>22565.26</v>
      </c>
      <c r="L139" s="2">
        <v>45145.37</v>
      </c>
      <c r="M139" s="2">
        <v>36305.79</v>
      </c>
      <c r="N139" s="2">
        <v>37861.07</v>
      </c>
      <c r="O139" s="2">
        <v>29976.46</v>
      </c>
      <c r="P139" s="2">
        <v>56204.79</v>
      </c>
      <c r="Q139" s="2">
        <v>42657.51</v>
      </c>
      <c r="R139" s="2">
        <v>28934.59</v>
      </c>
      <c r="S139" s="2">
        <v>37145.01</v>
      </c>
      <c r="T139" s="2">
        <v>27509.02</v>
      </c>
      <c r="U139" s="2">
        <v>32429.360000000001</v>
      </c>
      <c r="V139" s="2">
        <v>38716.28</v>
      </c>
      <c r="W139" s="2">
        <v>47847.3</v>
      </c>
      <c r="X139" s="2">
        <v>42183.98</v>
      </c>
      <c r="Y139" s="2">
        <v>33312.870000000003</v>
      </c>
      <c r="Z139" s="2">
        <v>31656.01</v>
      </c>
      <c r="AA139" s="2">
        <v>39387.58</v>
      </c>
      <c r="AB139" s="2">
        <v>27376.6</v>
      </c>
      <c r="AC139" s="2">
        <v>35639.11</v>
      </c>
      <c r="AD139" s="2">
        <v>43810.75</v>
      </c>
      <c r="AE139" s="2">
        <v>45966.96</v>
      </c>
      <c r="AF139" s="2">
        <v>56072.89</v>
      </c>
      <c r="AG139" s="2">
        <v>52886.32</v>
      </c>
      <c r="AH139" s="2">
        <v>32556.04</v>
      </c>
      <c r="AI139" s="24">
        <f>SUM(E139:AH139)</f>
        <v>1173980.8999999999</v>
      </c>
      <c r="AJ139" s="26">
        <v>1223754.4143069093</v>
      </c>
      <c r="AK139" s="33">
        <f>$AJ139/$AI139*E139</f>
        <v>35359.520586535677</v>
      </c>
      <c r="AL139" s="33">
        <f>$AJ139/$AI139*F139</f>
        <v>41624.359088266792</v>
      </c>
      <c r="AM139" s="33">
        <f>$AJ139/$AI139*G139</f>
        <v>23293.470589996017</v>
      </c>
      <c r="AN139" s="33">
        <f>$AJ139/$AI139*H139</f>
        <v>67924.38467805284</v>
      </c>
      <c r="AO139" s="33">
        <f>$AJ139/$AI139*I139</f>
        <v>40720.340108224045</v>
      </c>
      <c r="AP139" s="33">
        <f>$AJ139/$AI139*J139</f>
        <v>51504.168569126712</v>
      </c>
      <c r="AQ139" s="33">
        <f>$AJ139/$AI139*K139</f>
        <v>23521.964058344671</v>
      </c>
      <c r="AR139" s="33">
        <f>$AJ139/$AI139*L139</f>
        <v>47059.4077152522</v>
      </c>
      <c r="AS139" s="33">
        <f>$AJ139/$AI139*M139</f>
        <v>37845.054189041446</v>
      </c>
      <c r="AT139" s="33">
        <f>$AJ139/$AI139*N139</f>
        <v>39466.273721218888</v>
      </c>
      <c r="AU139" s="33">
        <f>$AJ139/$AI139*O139</f>
        <v>31247.378258278728</v>
      </c>
      <c r="AV139" s="33">
        <f>$AJ139/$AI139*P139</f>
        <v>58587.716263265305</v>
      </c>
      <c r="AW139" s="33">
        <f>$AJ139/$AI139*Q139</f>
        <v>44466.069393327554</v>
      </c>
      <c r="AX139" s="33">
        <f>$AJ139/$AI139*R139</f>
        <v>30161.33587749218</v>
      </c>
      <c r="AY139" s="33">
        <f>$AJ139/$AI139*S139</f>
        <v>38719.854775298554</v>
      </c>
      <c r="AZ139" s="33">
        <f>$AJ139/$AI139*T139</f>
        <v>28675.325687374519</v>
      </c>
      <c r="BA139" s="33">
        <f>$AJ139/$AI139*U139</f>
        <v>33804.27437375507</v>
      </c>
      <c r="BB139" s="33">
        <f>$AJ139/$AI139*V139</f>
        <v>40357.742238857812</v>
      </c>
      <c r="BC139" s="33">
        <f>$AJ139/$AI139*W139</f>
        <v>49875.89200784015</v>
      </c>
      <c r="BD139" s="33">
        <f>$AJ139/$AI139*X139</f>
        <v>43972.463042656302</v>
      </c>
      <c r="BE139" s="33">
        <f>$AJ139/$AI139*Y139</f>
        <v>34725.242732426239</v>
      </c>
      <c r="BF139" s="33">
        <f>$AJ139/$AI139*Z139</f>
        <v>32998.136491695615</v>
      </c>
      <c r="BG139" s="33">
        <f>$AJ139/$AI139*AA139</f>
        <v>41057.503485675566</v>
      </c>
      <c r="BH139" s="33">
        <f>$AJ139/$AI139*AB139</f>
        <v>28537.291448876666</v>
      </c>
      <c r="BI139" s="33">
        <f>$AJ139/$AI139*AC139</f>
        <v>37150.10881733214</v>
      </c>
      <c r="BJ139" s="33">
        <f>$AJ139/$AI139*AD139</f>
        <v>45668.203551349456</v>
      </c>
      <c r="BK139" s="33">
        <f>$AJ139/$AI139*AE139</f>
        <v>47915.830838703703</v>
      </c>
      <c r="BL139" s="33">
        <f>$AJ139/$AI139*AF139</f>
        <v>58450.224071316457</v>
      </c>
      <c r="BM139" s="33">
        <f>$AJ139/$AI139*AG139</f>
        <v>55128.552395058374</v>
      </c>
      <c r="BN139" s="33">
        <f>$AJ139/$AI139*AH139</f>
        <v>33936.325252269708</v>
      </c>
    </row>
    <row r="140" spans="1:66" ht="24.75" x14ac:dyDescent="0.25">
      <c r="A140" s="1" t="s">
        <v>87</v>
      </c>
      <c r="B140" s="4">
        <v>66</v>
      </c>
      <c r="C140" s="4" t="s">
        <v>3</v>
      </c>
      <c r="D140" s="4" t="str">
        <f>A140&amp;C140</f>
        <v>LIKONI FERRYBUTCHERY</v>
      </c>
      <c r="E140" s="2">
        <v>31930.25</v>
      </c>
      <c r="F140" s="2">
        <v>29797.65</v>
      </c>
      <c r="G140" s="2">
        <v>39449</v>
      </c>
      <c r="H140" s="2">
        <v>24359.5</v>
      </c>
      <c r="I140" s="2">
        <v>41668.5</v>
      </c>
      <c r="J140" s="2">
        <v>38647.75</v>
      </c>
      <c r="K140" s="2">
        <v>34610</v>
      </c>
      <c r="L140" s="2">
        <v>21002.75</v>
      </c>
      <c r="M140" s="2">
        <v>29512</v>
      </c>
      <c r="N140" s="2">
        <v>24804</v>
      </c>
      <c r="O140" s="2">
        <v>36419.75</v>
      </c>
      <c r="P140" s="2">
        <v>43431.5</v>
      </c>
      <c r="Q140" s="2">
        <v>33758.1</v>
      </c>
      <c r="R140" s="2">
        <v>31506</v>
      </c>
      <c r="S140" s="2">
        <v>35711.449999999997</v>
      </c>
      <c r="T140" s="2">
        <v>29923.55</v>
      </c>
      <c r="U140" s="2">
        <v>37661.5</v>
      </c>
      <c r="V140" s="2">
        <v>36223.25</v>
      </c>
      <c r="W140" s="2">
        <v>39347.4</v>
      </c>
      <c r="X140" s="2">
        <v>40714.35</v>
      </c>
      <c r="Y140" s="2">
        <v>35711.9</v>
      </c>
      <c r="Z140" s="2">
        <v>22417.55</v>
      </c>
      <c r="AA140" s="2">
        <v>31915.5</v>
      </c>
      <c r="AB140" s="2">
        <v>31904.5</v>
      </c>
      <c r="AC140" s="2">
        <v>36757.75</v>
      </c>
      <c r="AD140" s="2">
        <v>32630</v>
      </c>
      <c r="AE140" s="2">
        <v>39176.25</v>
      </c>
      <c r="AF140" s="2">
        <v>43440.4</v>
      </c>
      <c r="AG140" s="2">
        <v>42152.75</v>
      </c>
      <c r="AH140" s="2">
        <v>33573.5</v>
      </c>
      <c r="AI140" s="24">
        <f>SUM(E140:AH140)</f>
        <v>1030158.3500000001</v>
      </c>
      <c r="AJ140" s="26">
        <v>1353264.1148413394</v>
      </c>
      <c r="AK140" s="33">
        <f>$AJ140/$AI140*E140</f>
        <v>41945.067477162782</v>
      </c>
      <c r="AL140" s="33">
        <f>$AJ140/$AI140*F140</f>
        <v>39143.5845291183</v>
      </c>
      <c r="AM140" s="33">
        <f>$AJ140/$AI140*G140</f>
        <v>51822.048587361343</v>
      </c>
      <c r="AN140" s="33">
        <f>$AJ140/$AI140*H140</f>
        <v>31999.776738670909</v>
      </c>
      <c r="AO140" s="33">
        <f>$AJ140/$AI140*I140</f>
        <v>54737.687433457533</v>
      </c>
      <c r="AP140" s="33">
        <f>$AJ140/$AI140*J140</f>
        <v>50769.489170630295</v>
      </c>
      <c r="AQ140" s="33">
        <f>$AJ140/$AI140*K140</f>
        <v>45465.312215989659</v>
      </c>
      <c r="AR140" s="33">
        <f>$AJ140/$AI140*L140</f>
        <v>27590.19318533305</v>
      </c>
      <c r="AS140" s="33">
        <f>$AJ140/$AI140*M140</f>
        <v>38768.341349849376</v>
      </c>
      <c r="AT140" s="33">
        <f>$AJ140/$AI140*N140</f>
        <v>32583.692695908914</v>
      </c>
      <c r="AU140" s="33">
        <f>$AJ140/$AI140*O140</f>
        <v>47842.684327601542</v>
      </c>
      <c r="AV140" s="33">
        <f>$AJ140/$AI140*P140</f>
        <v>57053.646561940332</v>
      </c>
      <c r="AW140" s="33">
        <f>$AJ140/$AI140*Q140</f>
        <v>44346.216594007528</v>
      </c>
      <c r="AX140" s="33">
        <f>$AJ140/$AI140*R140</f>
        <v>41387.752865558228</v>
      </c>
      <c r="AY140" s="33">
        <f>$AJ140/$AI140*S140</f>
        <v>46912.228371444777</v>
      </c>
      <c r="AZ140" s="33">
        <f>$AJ140/$AI140*T140</f>
        <v>39308.972648389987</v>
      </c>
      <c r="BA140" s="33">
        <f>$AJ140/$AI140*U140</f>
        <v>49473.905114778812</v>
      </c>
      <c r="BB140" s="33">
        <f>$AJ140/$AI140*V140</f>
        <v>47584.552751454707</v>
      </c>
      <c r="BC140" s="33">
        <f>$AJ140/$AI140*W140</f>
        <v>51688.582082849804</v>
      </c>
      <c r="BD140" s="33">
        <f>$AJ140/$AI140*X140</f>
        <v>53484.271436610186</v>
      </c>
      <c r="BE140" s="33">
        <f>$AJ140/$AI140*Y140</f>
        <v>46912.81951245886</v>
      </c>
      <c r="BF140" s="33">
        <f>$AJ140/$AI140*Z140</f>
        <v>29448.740533590262</v>
      </c>
      <c r="BG140" s="33">
        <f>$AJ140/$AI140*AA140</f>
        <v>41925.691188368044</v>
      </c>
      <c r="BH140" s="33">
        <f>$AJ140/$AI140*AB140</f>
        <v>41911.241074690617</v>
      </c>
      <c r="BI140" s="33">
        <f>$AJ140/$AI140*AC140</f>
        <v>48286.696911508057</v>
      </c>
      <c r="BJ140" s="33">
        <f>$AJ140/$AI140*AD140</f>
        <v>42864.291754052087</v>
      </c>
      <c r="BK140" s="33">
        <f>$AJ140/$AI140*AE140</f>
        <v>51463.751450495954</v>
      </c>
      <c r="BL140" s="33">
        <f>$AJ140/$AI140*AF140</f>
        <v>57065.338017552072</v>
      </c>
      <c r="BM140" s="33">
        <f>$AJ140/$AI140*AG140</f>
        <v>55373.820846938979</v>
      </c>
      <c r="BN140" s="33">
        <f>$AJ140/$AI140*AH140</f>
        <v>44103.717413566279</v>
      </c>
    </row>
    <row r="141" spans="1:66" x14ac:dyDescent="0.25">
      <c r="A141" s="1" t="s">
        <v>92</v>
      </c>
      <c r="B141" s="4">
        <v>67</v>
      </c>
      <c r="C141" s="4" t="s">
        <v>3</v>
      </c>
      <c r="D141" s="4" t="str">
        <f>A141&amp;C141</f>
        <v>ELGON VIEWBUTCHERY</v>
      </c>
      <c r="E141" s="2">
        <v>36177.49</v>
      </c>
      <c r="F141" s="2">
        <v>30820.89</v>
      </c>
      <c r="G141" s="2">
        <v>44252.47</v>
      </c>
      <c r="H141" s="2">
        <v>49749.01</v>
      </c>
      <c r="I141" s="2">
        <v>53179.73</v>
      </c>
      <c r="J141" s="2">
        <v>40886.019999999997</v>
      </c>
      <c r="K141" s="2">
        <v>43119.15</v>
      </c>
      <c r="L141" s="2">
        <v>34968.83</v>
      </c>
      <c r="M141" s="2">
        <v>53132.29</v>
      </c>
      <c r="N141" s="2">
        <v>55815.11</v>
      </c>
      <c r="O141" s="2">
        <v>50111.99</v>
      </c>
      <c r="P141" s="2">
        <v>45540.36</v>
      </c>
      <c r="Q141" s="2">
        <v>54396.959999999999</v>
      </c>
      <c r="R141" s="2">
        <v>34665.54</v>
      </c>
      <c r="S141" s="2">
        <v>43511.35</v>
      </c>
      <c r="T141" s="2">
        <v>37268.42</v>
      </c>
      <c r="U141" s="2">
        <v>52697.43</v>
      </c>
      <c r="V141" s="2">
        <v>46271.5</v>
      </c>
      <c r="W141" s="2">
        <v>69787.92</v>
      </c>
      <c r="X141" s="2">
        <v>61561.36</v>
      </c>
      <c r="Y141" s="2">
        <v>32438.03</v>
      </c>
      <c r="Z141" s="2">
        <v>33276.080000000002</v>
      </c>
      <c r="AA141" s="2">
        <v>40896.120000000003</v>
      </c>
      <c r="AB141" s="2">
        <v>39931.360000000001</v>
      </c>
      <c r="AC141" s="2">
        <v>47596.19</v>
      </c>
      <c r="AD141" s="2">
        <v>53102.83</v>
      </c>
      <c r="AE141" s="2">
        <v>42876.43</v>
      </c>
      <c r="AF141" s="2">
        <v>54851.97</v>
      </c>
      <c r="AG141" s="2">
        <v>56503.06</v>
      </c>
      <c r="AH141" s="2">
        <v>28764.31</v>
      </c>
      <c r="AI141" s="24">
        <f>SUM(E141:AH141)</f>
        <v>1368150.2000000002</v>
      </c>
      <c r="AJ141" s="26">
        <v>2394513.4516168288</v>
      </c>
      <c r="AK141" s="33">
        <f>$AJ141/$AI141*E141</f>
        <v>63317.234065918557</v>
      </c>
      <c r="AL141" s="33">
        <f>$AJ141/$AI141*F141</f>
        <v>53942.202907109604</v>
      </c>
      <c r="AM141" s="33">
        <f>$AJ141/$AI141*G141</f>
        <v>77449.928145513666</v>
      </c>
      <c r="AN141" s="33">
        <f>$AJ141/$AI141*H141</f>
        <v>87069.879936881291</v>
      </c>
      <c r="AO141" s="33">
        <f>$AJ141/$AI141*I141</f>
        <v>93074.26833570686</v>
      </c>
      <c r="AP141" s="33">
        <f>$AJ141/$AI141*J141</f>
        <v>71558.024018908647</v>
      </c>
      <c r="AQ141" s="33">
        <f>$AJ141/$AI141*K141</f>
        <v>75466.41055732315</v>
      </c>
      <c r="AR141" s="33">
        <f>$AJ141/$AI141*L141</f>
        <v>61201.857677835447</v>
      </c>
      <c r="AS141" s="33">
        <f>$AJ141/$AI141*M141</f>
        <v>92991.239646207192</v>
      </c>
      <c r="AT141" s="33">
        <f>$AJ141/$AI141*N141</f>
        <v>97686.666053531953</v>
      </c>
      <c r="AU141" s="33">
        <f>$AJ141/$AI141*O141</f>
        <v>87705.16142327647</v>
      </c>
      <c r="AV141" s="33">
        <f>$AJ141/$AI141*P141</f>
        <v>79703.971546013694</v>
      </c>
      <c r="AW141" s="33">
        <f>$AJ141/$AI141*Q141</f>
        <v>95204.643793541487</v>
      </c>
      <c r="AX141" s="33">
        <f>$AJ141/$AI141*R141</f>
        <v>60671.044624750437</v>
      </c>
      <c r="AY141" s="33">
        <f>$AJ141/$AI141*S141</f>
        <v>76152.832395893289</v>
      </c>
      <c r="AZ141" s="33">
        <f>$AJ141/$AI141*T141</f>
        <v>65226.561389608854</v>
      </c>
      <c r="BA141" s="33">
        <f>$AJ141/$AI141*U141</f>
        <v>92230.154993681397</v>
      </c>
      <c r="BB141" s="33">
        <f>$AJ141/$AI141*V141</f>
        <v>80983.600467615383</v>
      </c>
      <c r="BC141" s="33">
        <f>$AJ141/$AI141*W141</f>
        <v>122141.64292806381</v>
      </c>
      <c r="BD141" s="33">
        <f>$AJ141/$AI141*X141</f>
        <v>107743.65608383213</v>
      </c>
      <c r="BE141" s="33">
        <f>$AJ141/$AI141*Y141</f>
        <v>56772.494115741261</v>
      </c>
      <c r="BF141" s="33">
        <f>$AJ141/$AI141*Z141</f>
        <v>58239.235119855781</v>
      </c>
      <c r="BG141" s="33">
        <f>$AJ141/$AI141*AA141</f>
        <v>71575.70086890753</v>
      </c>
      <c r="BH141" s="33">
        <f>$AJ141/$AI141*AB141</f>
        <v>69887.194155549703</v>
      </c>
      <c r="BI141" s="33">
        <f>$AJ141/$AI141*AC141</f>
        <v>83302.050608705365</v>
      </c>
      <c r="BJ141" s="33">
        <f>$AJ141/$AI141*AD141</f>
        <v>92939.679250071858</v>
      </c>
      <c r="BK141" s="33">
        <f>$AJ141/$AI141*AE141</f>
        <v>75041.606098736331</v>
      </c>
      <c r="BL141" s="33">
        <f>$AJ141/$AI141*AF141</f>
        <v>96000.994636906631</v>
      </c>
      <c r="BM141" s="33">
        <f>$AJ141/$AI141*AG141</f>
        <v>98890.704564098851</v>
      </c>
      <c r="BN141" s="33">
        <f>$AJ141/$AI141*AH141</f>
        <v>50342.811207041785</v>
      </c>
    </row>
    <row r="142" spans="1:66" ht="24.75" x14ac:dyDescent="0.25">
      <c r="A142" s="1" t="s">
        <v>93</v>
      </c>
      <c r="B142" s="4">
        <v>68</v>
      </c>
      <c r="C142" s="4" t="s">
        <v>3</v>
      </c>
      <c r="D142" s="4" t="str">
        <f>A142&amp;C142</f>
        <v>NGONG RD ADAMSBUTCHERY</v>
      </c>
      <c r="E142" s="2">
        <v>74181.740000000005</v>
      </c>
      <c r="F142" s="2">
        <v>63815.29</v>
      </c>
      <c r="G142" s="2">
        <v>58249.77</v>
      </c>
      <c r="H142" s="2">
        <v>81302.929999999993</v>
      </c>
      <c r="I142" s="2">
        <v>73205.33</v>
      </c>
      <c r="J142" s="2">
        <v>75420.350000000006</v>
      </c>
      <c r="K142" s="2">
        <v>58562.07</v>
      </c>
      <c r="L142" s="2">
        <v>54654.96</v>
      </c>
      <c r="M142" s="2">
        <v>69331.87</v>
      </c>
      <c r="N142" s="2">
        <v>68918.81</v>
      </c>
      <c r="O142" s="2">
        <v>76248.88</v>
      </c>
      <c r="P142" s="2">
        <v>90264.17</v>
      </c>
      <c r="Q142" s="2">
        <v>88109</v>
      </c>
      <c r="R142" s="2">
        <v>77782.61</v>
      </c>
      <c r="S142" s="2">
        <v>43183.66</v>
      </c>
      <c r="T142" s="2">
        <v>72634.73</v>
      </c>
      <c r="U142" s="2">
        <v>63539.97</v>
      </c>
      <c r="V142" s="2">
        <v>69231.710000000006</v>
      </c>
      <c r="W142" s="2">
        <v>59599.53</v>
      </c>
      <c r="X142" s="2">
        <v>82365.73</v>
      </c>
      <c r="Y142" s="2">
        <v>48696.53</v>
      </c>
      <c r="Z142" s="2">
        <v>79415.98</v>
      </c>
      <c r="AA142" s="2">
        <v>59452.49</v>
      </c>
      <c r="AB142" s="2">
        <v>40774.019999999997</v>
      </c>
      <c r="AC142" s="2">
        <v>56715.43</v>
      </c>
      <c r="AD142" s="2">
        <v>90510.46</v>
      </c>
      <c r="AE142" s="2">
        <v>79867.320000000007</v>
      </c>
      <c r="AF142" s="2">
        <v>63275.57</v>
      </c>
      <c r="AG142" s="2">
        <v>82007.66</v>
      </c>
      <c r="AH142" s="2">
        <v>73991.509999999995</v>
      </c>
      <c r="AI142" s="24">
        <f>SUM(E142:AH142)</f>
        <v>2075310.0800000001</v>
      </c>
      <c r="AJ142" s="26">
        <v>2541112.9636881202</v>
      </c>
      <c r="AK142" s="33">
        <f>$AJ142/$AI142*E142</f>
        <v>90831.814965666039</v>
      </c>
      <c r="AL142" s="33">
        <f>$AJ142/$AI142*F142</f>
        <v>78138.617579748316</v>
      </c>
      <c r="AM142" s="33">
        <f>$AJ142/$AI142*G142</f>
        <v>71323.917859470603</v>
      </c>
      <c r="AN142" s="33">
        <f>$AJ142/$AI142*H142</f>
        <v>99551.354469799408</v>
      </c>
      <c r="AO142" s="33">
        <f>$AJ142/$AI142*I142</f>
        <v>89636.249959363602</v>
      </c>
      <c r="AP142" s="33">
        <f>$AJ142/$AI142*J142</f>
        <v>92348.430703374863</v>
      </c>
      <c r="AQ142" s="33">
        <f>$AJ142/$AI142*K142</f>
        <v>71706.313524681173</v>
      </c>
      <c r="AR142" s="33">
        <f>$AJ142/$AI142*L142</f>
        <v>66922.253558299912</v>
      </c>
      <c r="AS142" s="33">
        <f>$AJ142/$AI142*M142</f>
        <v>84893.392727962593</v>
      </c>
      <c r="AT142" s="33">
        <f>$AJ142/$AI142*N142</f>
        <v>84387.621503268791</v>
      </c>
      <c r="AU142" s="33">
        <f>$AJ142/$AI142*O142</f>
        <v>93362.924076723924</v>
      </c>
      <c r="AV142" s="33">
        <f>$AJ142/$AI142*P142</f>
        <v>110523.94278523829</v>
      </c>
      <c r="AW142" s="33">
        <f>$AJ142/$AI142*Q142</f>
        <v>107885.04536035241</v>
      </c>
      <c r="AX142" s="33">
        <f>$AJ142/$AI142*R142</f>
        <v>95240.899432482503</v>
      </c>
      <c r="AY142" s="33">
        <f>$AJ142/$AI142*S142</f>
        <v>52876.22283678213</v>
      </c>
      <c r="AZ142" s="33">
        <f>$AJ142/$AI142*T142</f>
        <v>88937.578916875122</v>
      </c>
      <c r="BA142" s="33">
        <f>$AJ142/$AI142*U142</f>
        <v>77801.502067273846</v>
      </c>
      <c r="BB142" s="33">
        <f>$AJ142/$AI142*V142</f>
        <v>84770.751838345284</v>
      </c>
      <c r="BC142" s="33">
        <f>$AJ142/$AI142*W142</f>
        <v>72976.631189840817</v>
      </c>
      <c r="BD142" s="33">
        <f>$AJ142/$AI142*X142</f>
        <v>100852.69969229634</v>
      </c>
      <c r="BE142" s="33">
        <f>$AJ142/$AI142*Y142</f>
        <v>59626.455276325483</v>
      </c>
      <c r="BF142" s="33">
        <f>$AJ142/$AI142*Z142</f>
        <v>97240.878963974625</v>
      </c>
      <c r="BG142" s="33">
        <f>$AJ142/$AI142*AA142</f>
        <v>72796.58809469972</v>
      </c>
      <c r="BH142" s="33">
        <f>$AJ142/$AI142*AB142</f>
        <v>49925.739677262442</v>
      </c>
      <c r="BI142" s="33">
        <f>$AJ142/$AI142*AC142</f>
        <v>69445.195589348325</v>
      </c>
      <c r="BJ142" s="33">
        <f>$AJ142/$AI142*AD142</f>
        <v>110825.51252070008</v>
      </c>
      <c r="BK142" s="33">
        <f>$AJ142/$AI142*AE142</f>
        <v>97793.52212611404</v>
      </c>
      <c r="BL142" s="33">
        <f>$AJ142/$AI142*AF142</f>
        <v>77477.757546359106</v>
      </c>
      <c r="BM142" s="33">
        <f>$AJ142/$AI142*AG142</f>
        <v>100414.26096081398</v>
      </c>
      <c r="BN142" s="33">
        <f>$AJ142/$AI142*AH142</f>
        <v>90598.887884676573</v>
      </c>
    </row>
    <row r="143" spans="1:66" ht="24.75" x14ac:dyDescent="0.25">
      <c r="A143" s="1" t="s">
        <v>94</v>
      </c>
      <c r="B143" s="4">
        <v>69</v>
      </c>
      <c r="C143" s="4" t="s">
        <v>3</v>
      </c>
      <c r="D143" s="4" t="str">
        <f>A143&amp;C143</f>
        <v>NAKURU SEC 58BUTCHERY</v>
      </c>
      <c r="E143" s="2">
        <v>44672.9</v>
      </c>
      <c r="F143" s="2">
        <v>26071.09</v>
      </c>
      <c r="G143" s="2">
        <v>43760.84</v>
      </c>
      <c r="H143" s="2">
        <v>41958.97</v>
      </c>
      <c r="I143" s="2">
        <v>71199.600000000006</v>
      </c>
      <c r="J143" s="2">
        <v>58013.02</v>
      </c>
      <c r="K143" s="2">
        <v>37408.97</v>
      </c>
      <c r="L143" s="2">
        <v>40039.599999999999</v>
      </c>
      <c r="M143" s="2">
        <v>37250.480000000003</v>
      </c>
      <c r="N143" s="2">
        <v>36411.19</v>
      </c>
      <c r="O143" s="2">
        <v>48364.05</v>
      </c>
      <c r="P143" s="2">
        <v>51235.92</v>
      </c>
      <c r="Q143" s="2">
        <v>51840.66</v>
      </c>
      <c r="R143" s="2">
        <v>22297.06</v>
      </c>
      <c r="S143" s="2">
        <v>46317.19</v>
      </c>
      <c r="T143" s="2">
        <v>66781.460000000006</v>
      </c>
      <c r="U143" s="2">
        <v>51914.87</v>
      </c>
      <c r="V143" s="2">
        <v>54052.04</v>
      </c>
      <c r="W143" s="2">
        <v>88366.39</v>
      </c>
      <c r="X143" s="2">
        <v>63382.71</v>
      </c>
      <c r="Y143" s="2">
        <v>40121.730000000003</v>
      </c>
      <c r="Z143" s="2">
        <v>25615.59</v>
      </c>
      <c r="AA143" s="2">
        <v>29447.24</v>
      </c>
      <c r="AB143" s="2">
        <v>42052.82</v>
      </c>
      <c r="AC143" s="2">
        <v>53269.2</v>
      </c>
      <c r="AD143" s="2">
        <v>60861.37</v>
      </c>
      <c r="AE143" s="2">
        <v>55436.4</v>
      </c>
      <c r="AF143" s="2">
        <v>69591.11</v>
      </c>
      <c r="AG143" s="2">
        <v>46983.63</v>
      </c>
      <c r="AH143" s="2">
        <v>52561.13</v>
      </c>
      <c r="AI143" s="24">
        <f>SUM(E143:AH143)</f>
        <v>1457279.23</v>
      </c>
      <c r="AJ143" s="26">
        <v>2394513.4516168288</v>
      </c>
      <c r="AK143" s="33">
        <f>$AJ143/$AI143*E143</f>
        <v>73403.818410788328</v>
      </c>
      <c r="AL143" s="33">
        <f>$AJ143/$AI143*F143</f>
        <v>42838.444697597857</v>
      </c>
      <c r="AM143" s="33">
        <f>$AJ143/$AI143*G143</f>
        <v>71905.176356662807</v>
      </c>
      <c r="AN143" s="33">
        <f>$AJ143/$AI143*H143</f>
        <v>68944.452108184487</v>
      </c>
      <c r="AO143" s="33">
        <f>$AJ143/$AI143*I143</f>
        <v>116990.89401674762</v>
      </c>
      <c r="AP143" s="33">
        <f>$AJ143/$AI143*J143</f>
        <v>95323.500053532029</v>
      </c>
      <c r="AQ143" s="33">
        <f>$AJ143/$AI143*K143</f>
        <v>61468.166177137107</v>
      </c>
      <c r="AR143" s="33">
        <f>$AJ143/$AI143*L143</f>
        <v>65790.658937310989</v>
      </c>
      <c r="AS143" s="33">
        <f>$AJ143/$AI143*M143</f>
        <v>61207.744955771901</v>
      </c>
      <c r="AT143" s="33">
        <f>$AJ143/$AI143*N143</f>
        <v>59828.674182350194</v>
      </c>
      <c r="AU143" s="33">
        <f>$AJ143/$AI143*O143</f>
        <v>79468.893754609337</v>
      </c>
      <c r="AV143" s="33">
        <f>$AJ143/$AI143*P143</f>
        <v>84187.777551707579</v>
      </c>
      <c r="AW143" s="33">
        <f>$AJ143/$AI143*Q143</f>
        <v>85181.449893233221</v>
      </c>
      <c r="AX143" s="33">
        <f>$AJ143/$AI143*R143</f>
        <v>36637.185930048239</v>
      </c>
      <c r="AY143" s="33">
        <f>$AJ143/$AI143*S143</f>
        <v>76105.61669508765</v>
      </c>
      <c r="AZ143" s="33">
        <f>$AJ143/$AI143*T143</f>
        <v>109731.27249512175</v>
      </c>
      <c r="BA143" s="33">
        <f>$AJ143/$AI143*U143</f>
        <v>85303.387295198714</v>
      </c>
      <c r="BB143" s="33">
        <f>$AJ143/$AI143*V143</f>
        <v>88815.056306903454</v>
      </c>
      <c r="BC143" s="33">
        <f>$AJ143/$AI143*W143</f>
        <v>145198.329304274</v>
      </c>
      <c r="BD143" s="33">
        <f>$AJ143/$AI143*X143</f>
        <v>104146.65121860585</v>
      </c>
      <c r="BE143" s="33">
        <f>$AJ143/$AI143*Y143</f>
        <v>65925.610006215808</v>
      </c>
      <c r="BF143" s="33">
        <f>$AJ143/$AI143*Z143</f>
        <v>42089.994534610589</v>
      </c>
      <c r="BG143" s="33">
        <f>$AJ143/$AI143*AA143</f>
        <v>48385.931015423273</v>
      </c>
      <c r="BH143" s="33">
        <f>$AJ143/$AI143*AB143</f>
        <v>69098.660775135882</v>
      </c>
      <c r="BI143" s="33">
        <f>$AJ143/$AI143*AC143</f>
        <v>87528.740773219673</v>
      </c>
      <c r="BJ143" s="33">
        <f>$AJ143/$AI143*AD143</f>
        <v>100003.73720335595</v>
      </c>
      <c r="BK143" s="33">
        <f>$AJ143/$AI143*AE143</f>
        <v>91089.753272069327</v>
      </c>
      <c r="BL143" s="33">
        <f>$AJ143/$AI143*AF143</f>
        <v>114347.92013603763</v>
      </c>
      <c r="BM143" s="33">
        <f>$AJ143/$AI143*AG143</f>
        <v>77200.670760117806</v>
      </c>
      <c r="BN143" s="33">
        <f>$AJ143/$AI143*AH143</f>
        <v>86365.282799769848</v>
      </c>
    </row>
    <row r="144" spans="1:66" ht="26.25" x14ac:dyDescent="0.25">
      <c r="A144" s="1" t="s">
        <v>95</v>
      </c>
      <c r="B144" s="4">
        <v>70</v>
      </c>
      <c r="C144" s="4" t="s">
        <v>3</v>
      </c>
      <c r="D144" s="4" t="str">
        <f>A144&amp;C144</f>
        <v>NAKURU KENYATTA AVENUEBUTCHERY</v>
      </c>
      <c r="E144" s="2">
        <v>18527.599999999999</v>
      </c>
      <c r="F144" s="2">
        <v>12320.61</v>
      </c>
      <c r="G144" s="2">
        <v>17843.759999999998</v>
      </c>
      <c r="H144" s="2">
        <v>28795.79</v>
      </c>
      <c r="I144" s="2">
        <v>25647.57</v>
      </c>
      <c r="J144" s="2">
        <v>19937.84</v>
      </c>
      <c r="K144" s="2">
        <v>12028.51</v>
      </c>
      <c r="L144" s="2">
        <v>18581.63</v>
      </c>
      <c r="M144" s="2">
        <v>13771.8</v>
      </c>
      <c r="N144" s="2">
        <v>16663.53</v>
      </c>
      <c r="O144" s="2">
        <v>15294.98</v>
      </c>
      <c r="P144" s="2">
        <v>24155.17</v>
      </c>
      <c r="Q144" s="2">
        <v>31949.38</v>
      </c>
      <c r="R144" s="2">
        <v>12813.93</v>
      </c>
      <c r="S144" s="2">
        <v>15280.18</v>
      </c>
      <c r="T144" s="2">
        <v>17589.14</v>
      </c>
      <c r="U144" s="2">
        <v>13290.58</v>
      </c>
      <c r="V144" s="2">
        <v>25356.3</v>
      </c>
      <c r="W144" s="2">
        <v>30162.14</v>
      </c>
      <c r="X144" s="2">
        <v>21233.11</v>
      </c>
      <c r="Y144" s="2">
        <v>16730.62</v>
      </c>
      <c r="Z144" s="2">
        <v>9418.15</v>
      </c>
      <c r="AA144" s="2">
        <v>8945.4</v>
      </c>
      <c r="AB144" s="2">
        <v>17696.73</v>
      </c>
      <c r="AC144" s="2">
        <v>13676.86</v>
      </c>
      <c r="AD144" s="2">
        <v>20019.12</v>
      </c>
      <c r="AE144" s="2">
        <v>12443.35</v>
      </c>
      <c r="AF144" s="2">
        <v>35121.99</v>
      </c>
      <c r="AG144" s="2">
        <v>11519.54</v>
      </c>
      <c r="AH144" s="2">
        <v>28399.37</v>
      </c>
      <c r="AI144" s="24">
        <f>SUM(E144:AH144)</f>
        <v>565214.68000000005</v>
      </c>
      <c r="AJ144" s="26">
        <v>1803072.3132873201</v>
      </c>
      <c r="AK144" s="33">
        <f>$AJ144/$AI144*E144</f>
        <v>59104.272719282781</v>
      </c>
      <c r="AL144" s="33">
        <f>$AJ144/$AI144*F144</f>
        <v>39303.562982141382</v>
      </c>
      <c r="AM144" s="33">
        <f>$AJ144/$AI144*G144</f>
        <v>56922.777768163673</v>
      </c>
      <c r="AN144" s="33">
        <f>$AJ144/$AI144*H144</f>
        <v>91860.479788380369</v>
      </c>
      <c r="AO144" s="33">
        <f>$AJ144/$AI144*I144</f>
        <v>81817.449203722848</v>
      </c>
      <c r="AP144" s="33">
        <f>$AJ144/$AI144*J144</f>
        <v>63603.031844028643</v>
      </c>
      <c r="AQ144" s="33">
        <f>$AJ144/$AI144*K144</f>
        <v>38371.744610560469</v>
      </c>
      <c r="AR144" s="33">
        <f>$AJ144/$AI144*L144</f>
        <v>59276.632002461549</v>
      </c>
      <c r="AS144" s="33">
        <f>$AJ144/$AI144*M144</f>
        <v>43932.955322622387</v>
      </c>
      <c r="AT144" s="33">
        <f>$AJ144/$AI144*N144</f>
        <v>53157.765797294313</v>
      </c>
      <c r="AU144" s="33">
        <f>$AJ144/$AI144*O144</f>
        <v>48792.00053735917</v>
      </c>
      <c r="AV144" s="33">
        <f>$AJ144/$AI144*P144</f>
        <v>77056.594230263916</v>
      </c>
      <c r="AW144" s="33">
        <f>$AJ144/$AI144*Q144</f>
        <v>101920.64102916724</v>
      </c>
      <c r="AX144" s="33">
        <f>$AJ144/$AI144*R144</f>
        <v>40877.286498294394</v>
      </c>
      <c r="AY144" s="33">
        <f>$AJ144/$AI144*S144</f>
        <v>48744.787555848052</v>
      </c>
      <c r="AZ144" s="33">
        <f>$AJ144/$AI144*T144</f>
        <v>56110.523082193351</v>
      </c>
      <c r="BA144" s="33">
        <f>$AJ144/$AI144*U144</f>
        <v>42397.831608921035</v>
      </c>
      <c r="BB144" s="33">
        <f>$AJ144/$AI144*V144</f>
        <v>80888.278587186142</v>
      </c>
      <c r="BC144" s="33">
        <f>$AJ144/$AI144*W144</f>
        <v>96219.226902415205</v>
      </c>
      <c r="BD144" s="33">
        <f>$AJ144/$AI144*X144</f>
        <v>67735.029044157389</v>
      </c>
      <c r="BE144" s="33">
        <f>$AJ144/$AI144*Y144</f>
        <v>53371.787346590325</v>
      </c>
      <c r="BF144" s="33">
        <f>$AJ144/$AI144*Z144</f>
        <v>30044.52309587389</v>
      </c>
      <c r="BG144" s="33">
        <f>$AJ144/$AI144*AA144</f>
        <v>28536.419243888697</v>
      </c>
      <c r="BH144" s="33">
        <f>$AJ144/$AI144*AB144</f>
        <v>56453.742317381271</v>
      </c>
      <c r="BI144" s="33">
        <f>$AJ144/$AI144*AC144</f>
        <v>43630.09042636121</v>
      </c>
      <c r="BJ144" s="33">
        <f>$AJ144/$AI144*AD144</f>
        <v>63862.320434381589</v>
      </c>
      <c r="BK144" s="33">
        <f>$AJ144/$AI144*AE144</f>
        <v>39695.111722051828</v>
      </c>
      <c r="BL144" s="33">
        <f>$AJ144/$AI144*AF144</f>
        <v>112041.47733132854</v>
      </c>
      <c r="BM144" s="33">
        <f>$AJ144/$AI144*AG144</f>
        <v>36748.096556525772</v>
      </c>
      <c r="BN144" s="33">
        <f>$AJ144/$AI144*AH144</f>
        <v>90595.873698472438</v>
      </c>
    </row>
    <row r="145" spans="1:66" ht="24.75" x14ac:dyDescent="0.25">
      <c r="A145" s="1" t="s">
        <v>96</v>
      </c>
      <c r="B145" s="4">
        <v>71</v>
      </c>
      <c r="C145" s="4" t="s">
        <v>3</v>
      </c>
      <c r="D145" s="4" t="str">
        <f>A145&amp;C145</f>
        <v>SYOKIMAU DIAMOND BIZBUTCHERY</v>
      </c>
      <c r="E145" s="42">
        <v>88025.96</v>
      </c>
      <c r="F145" s="42">
        <v>73757.13</v>
      </c>
      <c r="G145" s="42">
        <v>68458.97</v>
      </c>
      <c r="H145" s="2">
        <v>141639.95000000001</v>
      </c>
      <c r="I145" s="2">
        <v>157723.32999999999</v>
      </c>
      <c r="J145" s="2">
        <v>172482.46</v>
      </c>
      <c r="K145" s="2">
        <v>105471.77</v>
      </c>
      <c r="L145" s="2">
        <v>88025.96</v>
      </c>
      <c r="M145" s="2">
        <v>73757.13</v>
      </c>
      <c r="N145" s="2">
        <v>68458.97</v>
      </c>
      <c r="O145" s="2">
        <v>92334.15</v>
      </c>
      <c r="P145" s="2">
        <v>119857.06</v>
      </c>
      <c r="Q145" s="2">
        <v>108902.54</v>
      </c>
      <c r="R145" s="2">
        <v>66347.960000000006</v>
      </c>
      <c r="S145" s="2">
        <v>79225.41</v>
      </c>
      <c r="T145" s="2">
        <v>61652.14</v>
      </c>
      <c r="U145" s="2">
        <v>87190.82</v>
      </c>
      <c r="V145" s="2">
        <v>91236.62</v>
      </c>
      <c r="W145" s="2">
        <v>117002.72</v>
      </c>
      <c r="X145" s="2">
        <v>139830.35</v>
      </c>
      <c r="Y145" s="2">
        <v>72391.17</v>
      </c>
      <c r="Z145" s="2">
        <v>71902.880000000005</v>
      </c>
      <c r="AA145" s="2">
        <v>85959.89</v>
      </c>
      <c r="AB145" s="2">
        <v>97552.82</v>
      </c>
      <c r="AC145" s="2">
        <v>107060.96</v>
      </c>
      <c r="AD145" s="2">
        <v>100888.57</v>
      </c>
      <c r="AE145" s="2">
        <v>134571.06</v>
      </c>
      <c r="AF145" s="42">
        <v>157723.32999999999</v>
      </c>
      <c r="AG145" s="42">
        <v>172482.46</v>
      </c>
      <c r="AH145" s="42">
        <v>105471.77</v>
      </c>
      <c r="AI145" s="24">
        <f>SUM(E145:AH145)</f>
        <v>3107386.3099999996</v>
      </c>
      <c r="AJ145" s="26">
        <v>1760144.4971161103</v>
      </c>
      <c r="AK145" s="33">
        <f>$AJ145/$AI145*E145</f>
        <v>49861.32834490182</v>
      </c>
      <c r="AL145" s="33">
        <f>$AJ145/$AI145*F145</f>
        <v>41778.907912025141</v>
      </c>
      <c r="AM145" s="33">
        <f>$AJ145/$AI145*G145</f>
        <v>38777.823966063916</v>
      </c>
      <c r="AN145" s="33">
        <f>$AJ145/$AI145*H145</f>
        <v>80230.378103294497</v>
      </c>
      <c r="AO145" s="33">
        <f>$AJ145/$AI145*I145</f>
        <v>89340.630250227347</v>
      </c>
      <c r="AP145" s="33">
        <f>$AJ145/$AI145*J145</f>
        <v>97700.775677952202</v>
      </c>
      <c r="AQ145" s="33">
        <f>$AJ145/$AI145*K145</f>
        <v>59743.313848414327</v>
      </c>
      <c r="AR145" s="33">
        <f>$AJ145/$AI145*L145</f>
        <v>49861.32834490182</v>
      </c>
      <c r="AS145" s="33">
        <f>$AJ145/$AI145*M145</f>
        <v>41778.907912025141</v>
      </c>
      <c r="AT145" s="33">
        <f>$AJ145/$AI145*N145</f>
        <v>38777.823966063916</v>
      </c>
      <c r="AU145" s="33">
        <f>$AJ145/$AI145*O145</f>
        <v>52301.65476863207</v>
      </c>
      <c r="AV145" s="33">
        <f>$AJ145/$AI145*P145</f>
        <v>67891.701756102382</v>
      </c>
      <c r="AW145" s="33">
        <f>$AJ145/$AI145*Q145</f>
        <v>61686.635448608613</v>
      </c>
      <c r="AX145" s="33">
        <f>$AJ145/$AI145*R145</f>
        <v>37582.065774396695</v>
      </c>
      <c r="AY145" s="33">
        <f>$AJ145/$AI145*S145</f>
        <v>44876.354444410128</v>
      </c>
      <c r="AZ145" s="33">
        <f>$AJ145/$AI145*T145</f>
        <v>34922.170638137381</v>
      </c>
      <c r="BA145" s="33">
        <f>$AJ145/$AI145*U145</f>
        <v>49388.272558245691</v>
      </c>
      <c r="BB145" s="33">
        <f>$AJ145/$AI145*V145</f>
        <v>51679.971077839262</v>
      </c>
      <c r="BC145" s="33">
        <f>$AJ145/$AI145*W145</f>
        <v>66274.892533595892</v>
      </c>
      <c r="BD145" s="33">
        <f>$AJ145/$AI145*X145</f>
        <v>79205.350261815285</v>
      </c>
      <c r="BE145" s="33">
        <f>$AJ145/$AI145*Y145</f>
        <v>41005.175026112818</v>
      </c>
      <c r="BF145" s="33">
        <f>$AJ145/$AI145*Z145</f>
        <v>40728.588573462584</v>
      </c>
      <c r="BG145" s="33">
        <f>$AJ145/$AI145*AA145</f>
        <v>48691.025917600244</v>
      </c>
      <c r="BH145" s="33">
        <f>$AJ145/$AI145*AB145</f>
        <v>55257.712486079166</v>
      </c>
      <c r="BI145" s="33">
        <f>$AJ145/$AI145*AC145</f>
        <v>60643.492890965346</v>
      </c>
      <c r="BJ145" s="33">
        <f>$AJ145/$AI145*AD145</f>
        <v>57147.211061573333</v>
      </c>
      <c r="BK145" s="33">
        <f>$AJ145/$AI145*AE145</f>
        <v>76226.283796069736</v>
      </c>
      <c r="BL145" s="33">
        <f>$AJ145/$AI145*AF145</f>
        <v>89340.630250227347</v>
      </c>
      <c r="BM145" s="33">
        <f>$AJ145/$AI145*AG145</f>
        <v>97700.775677952202</v>
      </c>
      <c r="BN145" s="33">
        <f>$AJ145/$AI145*AH145</f>
        <v>59743.313848414327</v>
      </c>
    </row>
    <row r="146" spans="1:66" ht="24.75" x14ac:dyDescent="0.25">
      <c r="A146" s="1" t="s">
        <v>97</v>
      </c>
      <c r="B146" s="4">
        <v>72</v>
      </c>
      <c r="C146" s="4" t="s">
        <v>3</v>
      </c>
      <c r="D146" s="4" t="str">
        <f>A146&amp;C146</f>
        <v>MAKONGENI THIKABUTCHERY</v>
      </c>
      <c r="E146" s="42">
        <v>25899.84</v>
      </c>
      <c r="F146" s="42">
        <v>28246.77</v>
      </c>
      <c r="G146" s="42">
        <v>33223.68</v>
      </c>
      <c r="H146" s="42">
        <v>42042.62</v>
      </c>
      <c r="I146" s="42">
        <v>39523.9</v>
      </c>
      <c r="J146" s="42">
        <v>47529.1</v>
      </c>
      <c r="K146" s="42">
        <v>23534.66</v>
      </c>
      <c r="L146" s="42">
        <v>29174.39</v>
      </c>
      <c r="M146" s="42">
        <v>24874.28</v>
      </c>
      <c r="N146" s="42">
        <v>23974.94</v>
      </c>
      <c r="O146" s="2">
        <v>44121.48</v>
      </c>
      <c r="P146" s="2">
        <v>76374.52</v>
      </c>
      <c r="Q146" s="2">
        <v>58948.33</v>
      </c>
      <c r="R146" s="2">
        <v>34441.35</v>
      </c>
      <c r="S146" s="2">
        <v>25899.84</v>
      </c>
      <c r="T146" s="2">
        <v>28246.77</v>
      </c>
      <c r="U146" s="2">
        <v>33223.68</v>
      </c>
      <c r="V146" s="2">
        <v>42042.62</v>
      </c>
      <c r="W146" s="2">
        <v>39523.9</v>
      </c>
      <c r="X146" s="2">
        <v>47529.1</v>
      </c>
      <c r="Y146" s="2">
        <v>23534.66</v>
      </c>
      <c r="Z146" s="2">
        <v>29174.39</v>
      </c>
      <c r="AA146" s="2">
        <v>24874.28</v>
      </c>
      <c r="AB146" s="2">
        <v>23974.94</v>
      </c>
      <c r="AC146" s="2">
        <v>40761.32</v>
      </c>
      <c r="AD146" s="2">
        <v>39732.07</v>
      </c>
      <c r="AE146" s="2">
        <v>49101.16</v>
      </c>
      <c r="AF146" s="42">
        <v>76374.52</v>
      </c>
      <c r="AG146" s="42">
        <v>58948.33</v>
      </c>
      <c r="AH146" s="42">
        <v>34441.35</v>
      </c>
      <c r="AI146" s="24">
        <f>SUM(E146:AH146)</f>
        <v>1149292.79</v>
      </c>
      <c r="AJ146" s="26">
        <v>2223519.0993255726</v>
      </c>
      <c r="AK146" s="33">
        <f>$AJ146/$AI146*E146</f>
        <v>50108.02243828262</v>
      </c>
      <c r="AL146" s="33">
        <f>$AJ146/$AI146*F146</f>
        <v>54648.591843386232</v>
      </c>
      <c r="AM146" s="33">
        <f>$AJ146/$AI146*G146</f>
        <v>64277.343138888951</v>
      </c>
      <c r="AN146" s="33">
        <f>$AJ146/$AI146*H146</f>
        <v>81339.21083389665</v>
      </c>
      <c r="AO146" s="33">
        <f>$AJ146/$AI146*I146</f>
        <v>76466.281955735583</v>
      </c>
      <c r="AP146" s="33">
        <f>$AJ146/$AI146*J146</f>
        <v>91953.81937770189</v>
      </c>
      <c r="AQ146" s="33">
        <f>$AJ146/$AI146*K146</f>
        <v>45532.145038631606</v>
      </c>
      <c r="AR146" s="33">
        <f>$AJ146/$AI146*L146</f>
        <v>56443.244002403415</v>
      </c>
      <c r="AS146" s="33">
        <f>$AJ146/$AI146*M146</f>
        <v>48123.887266335412</v>
      </c>
      <c r="AT146" s="33">
        <f>$AJ146/$AI146*N146</f>
        <v>46383.947988731961</v>
      </c>
      <c r="AU146" s="33">
        <f>$AJ146/$AI146*O146</f>
        <v>85361.149329503125</v>
      </c>
      <c r="AV146" s="33">
        <f>$AJ146/$AI146*P146</f>
        <v>147760.61017647464</v>
      </c>
      <c r="AW146" s="33">
        <f>$AJ146/$AI146*Q146</f>
        <v>114046.42817636282</v>
      </c>
      <c r="AX146" s="33">
        <f>$AJ146/$AI146*R146</f>
        <v>66633.150575630774</v>
      </c>
      <c r="AY146" s="33">
        <f>$AJ146/$AI146*S146</f>
        <v>50108.02243828262</v>
      </c>
      <c r="AZ146" s="33">
        <f>$AJ146/$AI146*T146</f>
        <v>54648.591843386232</v>
      </c>
      <c r="BA146" s="33">
        <f>$AJ146/$AI146*U146</f>
        <v>64277.343138888951</v>
      </c>
      <c r="BB146" s="33">
        <f>$AJ146/$AI146*V146</f>
        <v>81339.21083389665</v>
      </c>
      <c r="BC146" s="33">
        <f>$AJ146/$AI146*W146</f>
        <v>76466.281955735583</v>
      </c>
      <c r="BD146" s="33">
        <f>$AJ146/$AI146*X146</f>
        <v>91953.81937770189</v>
      </c>
      <c r="BE146" s="33">
        <f>$AJ146/$AI146*Y146</f>
        <v>45532.145038631606</v>
      </c>
      <c r="BF146" s="33">
        <f>$AJ146/$AI146*Z146</f>
        <v>56443.244002403415</v>
      </c>
      <c r="BG146" s="33">
        <f>$AJ146/$AI146*AA146</f>
        <v>48123.887266335412</v>
      </c>
      <c r="BH146" s="33">
        <f>$AJ146/$AI146*AB146</f>
        <v>46383.947988731961</v>
      </c>
      <c r="BI146" s="33">
        <f>$AJ146/$AI146*AC146</f>
        <v>78860.299413973917</v>
      </c>
      <c r="BJ146" s="33">
        <f>$AJ146/$AI146*AD146</f>
        <v>76869.025255731918</v>
      </c>
      <c r="BK146" s="33">
        <f>$AJ146/$AI146*AE146</f>
        <v>94995.25970143851</v>
      </c>
      <c r="BL146" s="33">
        <f>$AJ146/$AI146*AF146</f>
        <v>147760.61017647464</v>
      </c>
      <c r="BM146" s="33">
        <f>$AJ146/$AI146*AG146</f>
        <v>114046.42817636282</v>
      </c>
      <c r="BN146" s="33">
        <f>$AJ146/$AI146*AH146</f>
        <v>66633.150575630774</v>
      </c>
    </row>
    <row r="147" spans="1:66" x14ac:dyDescent="0.25">
      <c r="A147" s="4" t="s">
        <v>7</v>
      </c>
      <c r="B147" s="4">
        <v>1</v>
      </c>
      <c r="C147" s="4" t="s">
        <v>2</v>
      </c>
      <c r="D147" s="4" t="str">
        <f>A147&amp;C147</f>
        <v>KIAMBUDELI</v>
      </c>
      <c r="E147" s="2">
        <v>156145.9</v>
      </c>
      <c r="F147" s="2">
        <v>178833.68</v>
      </c>
      <c r="G147" s="2">
        <v>170773.37</v>
      </c>
      <c r="H147" s="2">
        <v>198305.72</v>
      </c>
      <c r="I147" s="2">
        <v>203241.47</v>
      </c>
      <c r="J147" s="2">
        <v>230425.5</v>
      </c>
      <c r="K147" s="2">
        <v>164166.46</v>
      </c>
      <c r="L147" s="2">
        <v>156382.74</v>
      </c>
      <c r="M147" s="2">
        <v>160813.32</v>
      </c>
      <c r="N147" s="2">
        <v>158738.19</v>
      </c>
      <c r="O147" s="2">
        <v>166762.62</v>
      </c>
      <c r="P147" s="2">
        <v>189820.76</v>
      </c>
      <c r="Q147" s="2">
        <v>235214.04</v>
      </c>
      <c r="R147" s="2">
        <v>175593.2</v>
      </c>
      <c r="S147" s="2">
        <v>155444.76</v>
      </c>
      <c r="T147" s="2">
        <v>164088.82999999999</v>
      </c>
      <c r="U147" s="2">
        <v>172854.85</v>
      </c>
      <c r="V147" s="2">
        <v>174414.16</v>
      </c>
      <c r="W147" s="2">
        <v>185582.91</v>
      </c>
      <c r="X147" s="2">
        <v>200849.88</v>
      </c>
      <c r="Y147" s="2">
        <v>172875.58</v>
      </c>
      <c r="Z147" s="2">
        <v>152025.99</v>
      </c>
      <c r="AA147" s="2">
        <v>170776.42</v>
      </c>
      <c r="AB147" s="2">
        <v>168402.38</v>
      </c>
      <c r="AC147" s="2">
        <v>180698.28</v>
      </c>
      <c r="AD147" s="2">
        <v>196210.36</v>
      </c>
      <c r="AE147" s="2">
        <v>222366.96</v>
      </c>
      <c r="AF147" s="3">
        <v>193606.9252</v>
      </c>
      <c r="AG147" s="2">
        <v>235045.41</v>
      </c>
      <c r="AH147" s="2">
        <v>171790.33</v>
      </c>
      <c r="AI147" s="24">
        <f>SUM(E147:AH147)</f>
        <v>5462250.9952000007</v>
      </c>
      <c r="AJ147" s="26">
        <v>4608683.2467690641</v>
      </c>
      <c r="AK147" s="33">
        <f>$AJ147/$AI147*E147</f>
        <v>131745.5008958863</v>
      </c>
      <c r="AL147" s="33">
        <f>$AJ147/$AI147*F147</f>
        <v>150887.93717065032</v>
      </c>
      <c r="AM147" s="33">
        <f>$AJ147/$AI147*G147</f>
        <v>144087.18493619445</v>
      </c>
      <c r="AN147" s="33">
        <f>$AJ147/$AI147*H147</f>
        <v>167317.14641190952</v>
      </c>
      <c r="AO147" s="33">
        <f>$AJ147/$AI147*I147</f>
        <v>171481.60321831217</v>
      </c>
      <c r="AP147" s="33">
        <f>$AJ147/$AI147*J147</f>
        <v>194417.67549890873</v>
      </c>
      <c r="AQ147" s="33">
        <f>$AJ147/$AI147*K147</f>
        <v>138512.71473029061</v>
      </c>
      <c r="AR147" s="33">
        <f>$AJ147/$AI147*L147</f>
        <v>131945.3306988602</v>
      </c>
      <c r="AS147" s="33">
        <f>$AJ147/$AI147*M147</f>
        <v>135683.55873660758</v>
      </c>
      <c r="AT147" s="33">
        <f>$AJ147/$AI147*N147</f>
        <v>133932.7023819157</v>
      </c>
      <c r="AU147" s="33">
        <f>$AJ147/$AI147*O147</f>
        <v>140703.18146432503</v>
      </c>
      <c r="AV147" s="33">
        <f>$AJ147/$AI147*P147</f>
        <v>160158.1028169028</v>
      </c>
      <c r="AW147" s="33">
        <f>$AJ147/$AI147*Q147</f>
        <v>198457.92632112044</v>
      </c>
      <c r="AX147" s="33">
        <f>$AJ147/$AI147*R147</f>
        <v>148153.83617444677</v>
      </c>
      <c r="AY147" s="33">
        <f>$AJ147/$AI147*S147</f>
        <v>131153.92570564346</v>
      </c>
      <c r="AZ147" s="33">
        <f>$AJ147/$AI147*T147</f>
        <v>138447.21571152323</v>
      </c>
      <c r="BA147" s="33">
        <f>$AJ147/$AI147*U147</f>
        <v>145843.39899756122</v>
      </c>
      <c r="BB147" s="33">
        <f>$AJ147/$AI147*V147</f>
        <v>147159.04082358396</v>
      </c>
      <c r="BC147" s="33">
        <f>$AJ147/$AI147*W147</f>
        <v>156582.48750473876</v>
      </c>
      <c r="BD147" s="33">
        <f>$AJ147/$AI147*X147</f>
        <v>169463.73901254314</v>
      </c>
      <c r="BE147" s="33">
        <f>$AJ147/$AI147*Y147</f>
        <v>145860.8895895881</v>
      </c>
      <c r="BF147" s="33">
        <f>$AJ147/$AI147*Z147</f>
        <v>128269.39549320862</v>
      </c>
      <c r="BG147" s="33">
        <f>$AJ147/$AI147*AA147</f>
        <v>144089.75832286509</v>
      </c>
      <c r="BH147" s="33">
        <f>$AJ147/$AI147*AB147</f>
        <v>142086.70163711879</v>
      </c>
      <c r="BI147" s="33">
        <f>$AJ147/$AI147*AC147</f>
        <v>152461.16234640242</v>
      </c>
      <c r="BJ147" s="33">
        <f>$AJ147/$AI147*AD147</f>
        <v>165549.22133185805</v>
      </c>
      <c r="BK147" s="33">
        <f>$AJ147/$AI147*AE147</f>
        <v>187618.41667245515</v>
      </c>
      <c r="BL147" s="33">
        <f>$AJ147/$AI147*AF147</f>
        <v>163352.61660656088</v>
      </c>
      <c r="BM147" s="33">
        <f>$AJ147/$AI147*AG147</f>
        <v>198315.64756890171</v>
      </c>
      <c r="BN147" s="33">
        <f>$AJ147/$AI147*AH147</f>
        <v>144945.22798818033</v>
      </c>
    </row>
    <row r="148" spans="1:66" x14ac:dyDescent="0.25">
      <c r="A148" s="4" t="s">
        <v>1</v>
      </c>
      <c r="B148" s="4">
        <v>2</v>
      </c>
      <c r="C148" s="4" t="s">
        <v>2</v>
      </c>
      <c r="D148" s="4" t="str">
        <f>A148&amp;C148</f>
        <v>RUAKADELI</v>
      </c>
      <c r="E148" s="2">
        <v>154640.03</v>
      </c>
      <c r="F148" s="2">
        <v>170406.24</v>
      </c>
      <c r="G148" s="2">
        <v>177263.24</v>
      </c>
      <c r="H148" s="2">
        <v>172871.61</v>
      </c>
      <c r="I148" s="2">
        <v>199316.35</v>
      </c>
      <c r="J148" s="2">
        <v>206898.51</v>
      </c>
      <c r="K148" s="2">
        <v>139319.67999999999</v>
      </c>
      <c r="L148" s="2">
        <v>144208.56</v>
      </c>
      <c r="M148" s="2">
        <v>138614.29</v>
      </c>
      <c r="N148" s="2">
        <v>152297.57</v>
      </c>
      <c r="O148" s="2">
        <v>162679.79</v>
      </c>
      <c r="P148" s="2">
        <v>212781.87</v>
      </c>
      <c r="Q148" s="2">
        <v>201028.5</v>
      </c>
      <c r="R148" s="2">
        <v>139885.63</v>
      </c>
      <c r="S148" s="2">
        <v>113619.01</v>
      </c>
      <c r="T148" s="2">
        <v>156550.09</v>
      </c>
      <c r="U148" s="2">
        <v>144320.51999999999</v>
      </c>
      <c r="V148" s="2">
        <v>151291.72</v>
      </c>
      <c r="W148" s="2">
        <v>179863.02</v>
      </c>
      <c r="X148" s="2">
        <v>170219.61</v>
      </c>
      <c r="Y148" s="2">
        <v>150523.71</v>
      </c>
      <c r="Z148" s="2">
        <v>156624.14000000001</v>
      </c>
      <c r="AA148" s="2">
        <v>141091.63</v>
      </c>
      <c r="AB148" s="2">
        <v>115650.23</v>
      </c>
      <c r="AC148" s="2">
        <v>173463.04000000001</v>
      </c>
      <c r="AD148" s="2">
        <v>209273.32</v>
      </c>
      <c r="AE148" s="2">
        <v>198540.22</v>
      </c>
      <c r="AF148" s="3">
        <v>220893.55119999999</v>
      </c>
      <c r="AG148" s="2">
        <v>207227.81</v>
      </c>
      <c r="AH148" s="2">
        <v>136534.70000000001</v>
      </c>
      <c r="AI148" s="24">
        <f>SUM(E148:AH148)</f>
        <v>4997898.1911999993</v>
      </c>
      <c r="AJ148" s="26">
        <v>4644854.2451024298</v>
      </c>
      <c r="AK148" s="33">
        <f>$AJ148/$AI148*E148</f>
        <v>143716.4928795413</v>
      </c>
      <c r="AL148" s="33">
        <f>$AJ148/$AI148*F148</f>
        <v>158369.00172348262</v>
      </c>
      <c r="AM148" s="33">
        <f>$AJ148/$AI148*G148</f>
        <v>164741.63364598688</v>
      </c>
      <c r="AN148" s="33">
        <f>$AJ148/$AI148*H148</f>
        <v>160660.22172680541</v>
      </c>
      <c r="AO148" s="33">
        <f>$AJ148/$AI148*I148</f>
        <v>185236.9454115546</v>
      </c>
      <c r="AP148" s="33">
        <f>$AJ148/$AI148*J148</f>
        <v>192283.5131317726</v>
      </c>
      <c r="AQ148" s="33">
        <f>$AJ148/$AI148*K148</f>
        <v>129478.34916159789</v>
      </c>
      <c r="AR148" s="33">
        <f>$AJ148/$AI148*L148</f>
        <v>134021.88609513917</v>
      </c>
      <c r="AS148" s="33">
        <f>$AJ148/$AI148*M148</f>
        <v>128822.78684107649</v>
      </c>
      <c r="AT148" s="33">
        <f>$AJ148/$AI148*N148</f>
        <v>141539.5007002808</v>
      </c>
      <c r="AU148" s="33">
        <f>$AJ148/$AI148*O148</f>
        <v>151188.33642996757</v>
      </c>
      <c r="AV148" s="33">
        <f>$AJ148/$AI148*P148</f>
        <v>197751.28150680315</v>
      </c>
      <c r="AW148" s="33">
        <f>$AJ148/$AI148*Q148</f>
        <v>186828.15173299483</v>
      </c>
      <c r="AX148" s="33">
        <f>$AJ148/$AI148*R148</f>
        <v>130004.32131217998</v>
      </c>
      <c r="AY148" s="33">
        <f>$AJ148/$AI148*S148</f>
        <v>105593.13550085014</v>
      </c>
      <c r="AZ148" s="33">
        <f>$AJ148/$AI148*T148</f>
        <v>145491.62913882357</v>
      </c>
      <c r="BA148" s="33">
        <f>$AJ148/$AI148*U148</f>
        <v>134125.9374105896</v>
      </c>
      <c r="BB148" s="33">
        <f>$AJ148/$AI148*V148</f>
        <v>140604.70241834249</v>
      </c>
      <c r="BC148" s="33">
        <f>$AJ148/$AI148*W148</f>
        <v>167157.76913081817</v>
      </c>
      <c r="BD148" s="33">
        <f>$AJ148/$AI148*X148</f>
        <v>158195.55498355307</v>
      </c>
      <c r="BE148" s="33">
        <f>$AJ148/$AI148*Y148</f>
        <v>139890.94347962257</v>
      </c>
      <c r="BF148" s="33">
        <f>$AJ148/$AI148*Z148</f>
        <v>145560.44835916214</v>
      </c>
      <c r="BG148" s="33">
        <f>$AJ148/$AI148*AA148</f>
        <v>131125.13130175852</v>
      </c>
      <c r="BH148" s="33">
        <f>$AJ148/$AI148*AB148</f>
        <v>107480.87320153983</v>
      </c>
      <c r="BI148" s="33">
        <f>$AJ148/$AI148*AC148</f>
        <v>161209.87400884228</v>
      </c>
      <c r="BJ148" s="33">
        <f>$AJ148/$AI148*AD148</f>
        <v>194490.5701561101</v>
      </c>
      <c r="BK148" s="33">
        <f>$AJ148/$AI148*AE148</f>
        <v>184515.64005731611</v>
      </c>
      <c r="BL148" s="33">
        <f>$AJ148/$AI148*AF148</f>
        <v>205289.9658527704</v>
      </c>
      <c r="BM148" s="33">
        <f>$AJ148/$AI148*AG148</f>
        <v>192589.55187934157</v>
      </c>
      <c r="BN148" s="33">
        <f>$AJ148/$AI148*AH148</f>
        <v>126890.09592380647</v>
      </c>
    </row>
    <row r="149" spans="1:66" x14ac:dyDescent="0.25">
      <c r="A149" s="4" t="s">
        <v>6</v>
      </c>
      <c r="B149" s="4">
        <v>3</v>
      </c>
      <c r="C149" s="4" t="s">
        <v>2</v>
      </c>
      <c r="D149" s="4" t="str">
        <f>A149&amp;C149</f>
        <v>RUAIDELI</v>
      </c>
      <c r="E149" s="2">
        <v>81084.92</v>
      </c>
      <c r="F149" s="2">
        <v>79044.44</v>
      </c>
      <c r="G149" s="2">
        <v>83737.86</v>
      </c>
      <c r="H149" s="2">
        <v>89209.17</v>
      </c>
      <c r="I149" s="2">
        <v>101724.95</v>
      </c>
      <c r="J149" s="2">
        <v>116026.85</v>
      </c>
      <c r="K149" s="2">
        <v>72180.039999999994</v>
      </c>
      <c r="L149" s="2">
        <v>69973.14</v>
      </c>
      <c r="M149" s="2">
        <v>70831.88</v>
      </c>
      <c r="N149" s="2">
        <v>67113.490000000005</v>
      </c>
      <c r="O149" s="2">
        <v>76752.17</v>
      </c>
      <c r="P149" s="2">
        <v>88203.1</v>
      </c>
      <c r="Q149" s="2">
        <v>104490.81</v>
      </c>
      <c r="R149" s="2">
        <v>66972.990000000005</v>
      </c>
      <c r="S149" s="2">
        <v>81365.399999999994</v>
      </c>
      <c r="T149" s="2">
        <v>67452.19</v>
      </c>
      <c r="U149" s="2">
        <v>76606.58</v>
      </c>
      <c r="V149" s="2">
        <v>85923.33</v>
      </c>
      <c r="W149" s="2">
        <v>89763.6</v>
      </c>
      <c r="X149" s="2">
        <v>110506.14</v>
      </c>
      <c r="Y149" s="2">
        <v>90973.01</v>
      </c>
      <c r="Z149" s="2">
        <v>111282.58</v>
      </c>
      <c r="AA149" s="2">
        <v>111851.04</v>
      </c>
      <c r="AB149" s="2">
        <v>218534.94</v>
      </c>
      <c r="AC149" s="2">
        <v>76509.149999999994</v>
      </c>
      <c r="AD149" s="2">
        <v>89993.31</v>
      </c>
      <c r="AE149" s="2">
        <v>115440.4</v>
      </c>
      <c r="AF149" s="3">
        <v>105582.4724</v>
      </c>
      <c r="AG149" s="2">
        <v>121422.82</v>
      </c>
      <c r="AH149" s="2">
        <v>84130.81</v>
      </c>
      <c r="AI149" s="24">
        <f>SUM(E149:AH149)</f>
        <v>2804683.5823999997</v>
      </c>
      <c r="AJ149" s="26">
        <v>2271349.2351356298</v>
      </c>
      <c r="AK149" s="33">
        <f>$AJ149/$AI149*E149</f>
        <v>65665.935429848207</v>
      </c>
      <c r="AL149" s="33">
        <f>$AJ149/$AI149*F149</f>
        <v>64013.469990825804</v>
      </c>
      <c r="AM149" s="33">
        <f>$AJ149/$AI149*G149</f>
        <v>67814.396410499874</v>
      </c>
      <c r="AN149" s="33">
        <f>$AJ149/$AI149*H149</f>
        <v>72245.29045561557</v>
      </c>
      <c r="AO149" s="33">
        <f>$AJ149/$AI149*I149</f>
        <v>82381.088842469559</v>
      </c>
      <c r="AP149" s="33">
        <f>$AJ149/$AI149*J149</f>
        <v>93963.361377537076</v>
      </c>
      <c r="AQ149" s="33">
        <f>$AJ149/$AI149*K149</f>
        <v>58454.393812855218</v>
      </c>
      <c r="AR149" s="33">
        <f>$AJ149/$AI149*L149</f>
        <v>56667.154546908707</v>
      </c>
      <c r="AS149" s="33">
        <f>$AJ149/$AI149*M149</f>
        <v>57362.597859808666</v>
      </c>
      <c r="AT149" s="33">
        <f>$AJ149/$AI149*N149</f>
        <v>54351.291224209926</v>
      </c>
      <c r="AU149" s="33">
        <f>$AJ149/$AI149*O149</f>
        <v>62157.094553718896</v>
      </c>
      <c r="AV149" s="33">
        <f>$AJ149/$AI149*P149</f>
        <v>71430.533190542017</v>
      </c>
      <c r="AW149" s="33">
        <f>$AJ149/$AI149*Q149</f>
        <v>84620.997128350587</v>
      </c>
      <c r="AX149" s="33">
        <f>$AJ149/$AI149*R149</f>
        <v>54237.508489665772</v>
      </c>
      <c r="AY149" s="33">
        <f>$AJ149/$AI149*S149</f>
        <v>65893.079781342458</v>
      </c>
      <c r="AZ149" s="33">
        <f>$AJ149/$AI149*T149</f>
        <v>54625.584549406391</v>
      </c>
      <c r="BA149" s="33">
        <f>$AJ149/$AI149*U149</f>
        <v>62039.189725802295</v>
      </c>
      <c r="BB149" s="33">
        <f>$AJ149/$AI149*V149</f>
        <v>69584.280772522674</v>
      </c>
      <c r="BC149" s="33">
        <f>$AJ149/$AI149*W149</f>
        <v>72694.290893432742</v>
      </c>
      <c r="BD149" s="33">
        <f>$AJ149/$AI149*X149</f>
        <v>89492.461160987339</v>
      </c>
      <c r="BE149" s="33">
        <f>$AJ149/$AI149*Y149</f>
        <v>73673.721334607413</v>
      </c>
      <c r="BF149" s="33">
        <f>$AJ149/$AI149*Z149</f>
        <v>90121.254516214816</v>
      </c>
      <c r="BG149" s="33">
        <f>$AJ149/$AI149*AA149</f>
        <v>90581.617030655863</v>
      </c>
      <c r="BH149" s="33">
        <f>$AJ149/$AI149*AB149</f>
        <v>176978.66951346505</v>
      </c>
      <c r="BI149" s="33">
        <f>$AJ149/$AI149*AC149</f>
        <v>61960.28686582623</v>
      </c>
      <c r="BJ149" s="33">
        <f>$AJ149/$AI149*AD149</f>
        <v>72880.319590600979</v>
      </c>
      <c r="BK149" s="33">
        <f>$AJ149/$AI149*AE149</f>
        <v>93488.429814025207</v>
      </c>
      <c r="BL149" s="33">
        <f>$AJ149/$AI149*AF149</f>
        <v>85505.070673340131</v>
      </c>
      <c r="BM149" s="33">
        <f>$AJ149/$AI149*AG149</f>
        <v>98333.241962008251</v>
      </c>
      <c r="BN149" s="33">
        <f>$AJ149/$AI149*AH149</f>
        <v>68132.62363853633</v>
      </c>
    </row>
    <row r="150" spans="1:66" x14ac:dyDescent="0.25">
      <c r="A150" s="4" t="s">
        <v>9</v>
      </c>
      <c r="B150" s="4">
        <v>4</v>
      </c>
      <c r="C150" s="4" t="s">
        <v>2</v>
      </c>
      <c r="D150" s="4" t="str">
        <f>A150&amp;C150</f>
        <v>EBP 1DELI</v>
      </c>
      <c r="E150" s="2">
        <v>72183.33</v>
      </c>
      <c r="F150" s="2">
        <v>71169.820000000007</v>
      </c>
      <c r="G150" s="2">
        <v>66413.33</v>
      </c>
      <c r="H150" s="2">
        <v>76131.94</v>
      </c>
      <c r="I150" s="2">
        <v>84385.8</v>
      </c>
      <c r="J150" s="2">
        <v>91634.25</v>
      </c>
      <c r="K150" s="2">
        <v>75862.559999999998</v>
      </c>
      <c r="L150" s="2">
        <v>69409.38</v>
      </c>
      <c r="M150" s="2">
        <v>72283.710000000006</v>
      </c>
      <c r="N150" s="2">
        <v>83693.63</v>
      </c>
      <c r="O150" s="2">
        <v>74343.63</v>
      </c>
      <c r="P150" s="2">
        <v>80042.31</v>
      </c>
      <c r="Q150" s="2">
        <v>89063.66</v>
      </c>
      <c r="R150" s="2">
        <v>69988.58</v>
      </c>
      <c r="S150" s="2">
        <v>68531.23</v>
      </c>
      <c r="T150" s="2">
        <v>66947.55</v>
      </c>
      <c r="U150" s="2">
        <v>54574.07</v>
      </c>
      <c r="V150" s="2">
        <v>71607.98</v>
      </c>
      <c r="W150" s="2">
        <v>81095.06</v>
      </c>
      <c r="X150" s="2">
        <v>100658.92</v>
      </c>
      <c r="Y150" s="2">
        <v>80897.59</v>
      </c>
      <c r="Z150" s="2">
        <v>92270.15</v>
      </c>
      <c r="AA150" s="2">
        <v>81287.28</v>
      </c>
      <c r="AB150" s="2">
        <v>57305.4</v>
      </c>
      <c r="AC150" s="2">
        <v>84384.01</v>
      </c>
      <c r="AD150" s="2">
        <v>74050.27</v>
      </c>
      <c r="AE150" s="2">
        <v>89045.16</v>
      </c>
      <c r="AF150" s="3">
        <v>83485.912320000003</v>
      </c>
      <c r="AG150" s="2">
        <v>109123.81</v>
      </c>
      <c r="AH150" s="2">
        <v>62816.65</v>
      </c>
      <c r="AI150" s="24">
        <f>SUM(E150:AH150)</f>
        <v>2334686.9723199997</v>
      </c>
      <c r="AJ150" s="26">
        <v>1911756.1857579895</v>
      </c>
      <c r="AK150" s="33">
        <f>$AJ150/$AI150*E150</f>
        <v>59107.250467492631</v>
      </c>
      <c r="AL150" s="33">
        <f>$AJ150/$AI150*F150</f>
        <v>58277.338777060671</v>
      </c>
      <c r="AM150" s="33">
        <f>$AJ150/$AI150*G150</f>
        <v>54382.491507253028</v>
      </c>
      <c r="AN150" s="33">
        <f>$AJ150/$AI150*H150</f>
        <v>62340.565974943536</v>
      </c>
      <c r="AO150" s="33">
        <f>$AJ150/$AI150*I150</f>
        <v>69099.231311436306</v>
      </c>
      <c r="AP150" s="33">
        <f>$AJ150/$AI150*J150</f>
        <v>75034.617634720329</v>
      </c>
      <c r="AQ150" s="33">
        <f>$AJ150/$AI150*K150</f>
        <v>62119.984420574496</v>
      </c>
      <c r="AR150" s="33">
        <f>$AJ150/$AI150*L150</f>
        <v>56835.804173254044</v>
      </c>
      <c r="AS150" s="33">
        <f>$AJ150/$AI150*M150</f>
        <v>59189.446534118084</v>
      </c>
      <c r="AT150" s="33">
        <f>$AJ150/$AI150*N150</f>
        <v>68532.448571486733</v>
      </c>
      <c r="AU150" s="33">
        <f>$AJ150/$AI150*O150</f>
        <v>60876.210048394823</v>
      </c>
      <c r="AV150" s="33">
        <f>$AJ150/$AI150*P150</f>
        <v>65542.568695108552</v>
      </c>
      <c r="AW150" s="33">
        <f>$AJ150/$AI150*Q150</f>
        <v>72929.692481236387</v>
      </c>
      <c r="AX150" s="33">
        <f>$AJ150/$AI150*R150</f>
        <v>57310.081537165788</v>
      </c>
      <c r="AY150" s="33">
        <f>$AJ150/$AI150*S150</f>
        <v>56116.731888863324</v>
      </c>
      <c r="AZ150" s="33">
        <f>$AJ150/$AI150*T150</f>
        <v>54819.937041349942</v>
      </c>
      <c r="BA150" s="33">
        <f>$AJ150/$AI150*U150</f>
        <v>44687.924823092471</v>
      </c>
      <c r="BB150" s="33">
        <f>$AJ150/$AI150*V150</f>
        <v>58636.125672384507</v>
      </c>
      <c r="BC150" s="33">
        <f>$AJ150/$AI150*W150</f>
        <v>66404.612021866313</v>
      </c>
      <c r="BD150" s="33">
        <f>$AJ150/$AI150*X150</f>
        <v>82424.459999660627</v>
      </c>
      <c r="BE150" s="33">
        <f>$AJ150/$AI150*Y150</f>
        <v>66242.913901956679</v>
      </c>
      <c r="BF150" s="33">
        <f>$AJ150/$AI150*Z150</f>
        <v>75555.323739194559</v>
      </c>
      <c r="BG150" s="33">
        <f>$AJ150/$AI150*AA150</f>
        <v>66562.011184316434</v>
      </c>
      <c r="BH150" s="33">
        <f>$AJ150/$AI150*AB150</f>
        <v>46924.471771250399</v>
      </c>
      <c r="BI150" s="33">
        <f>$AJ150/$AI150*AC150</f>
        <v>69097.765571654876</v>
      </c>
      <c r="BJ150" s="33">
        <f>$AJ150/$AI150*AD150</f>
        <v>60635.992494048915</v>
      </c>
      <c r="BK150" s="33">
        <f>$AJ150/$AI150*AE150</f>
        <v>72914.543773998186</v>
      </c>
      <c r="BL150" s="33">
        <f>$AJ150/$AI150*AF150</f>
        <v>68362.359148647884</v>
      </c>
      <c r="BM150" s="33">
        <f>$AJ150/$AI150*AG150</f>
        <v>89355.927049044112</v>
      </c>
      <c r="BN150" s="33">
        <f>$AJ150/$AI150*AH150</f>
        <v>51437.353542415141</v>
      </c>
    </row>
    <row r="151" spans="1:66" x14ac:dyDescent="0.25">
      <c r="A151" s="4" t="s">
        <v>65</v>
      </c>
      <c r="B151" s="4">
        <v>5</v>
      </c>
      <c r="C151" s="4" t="s">
        <v>2</v>
      </c>
      <c r="D151" s="4" t="str">
        <f>A151&amp;C151</f>
        <v>KahawaDELI</v>
      </c>
      <c r="E151" s="2">
        <v>74561.5</v>
      </c>
      <c r="F151" s="2">
        <v>81978.19</v>
      </c>
      <c r="G151" s="2">
        <v>83723.09</v>
      </c>
      <c r="H151" s="2">
        <v>91672.39</v>
      </c>
      <c r="I151" s="2">
        <v>90762.1</v>
      </c>
      <c r="J151" s="2">
        <v>86093.5</v>
      </c>
      <c r="K151" s="2">
        <v>67685.539999999994</v>
      </c>
      <c r="L151" s="2">
        <v>66036.56</v>
      </c>
      <c r="M151" s="2">
        <v>75305.81</v>
      </c>
      <c r="N151" s="2">
        <v>73861.62</v>
      </c>
      <c r="O151" s="2">
        <v>81799.11</v>
      </c>
      <c r="P151" s="2">
        <v>87904.52</v>
      </c>
      <c r="Q151" s="2">
        <v>104872.37</v>
      </c>
      <c r="R151" s="2">
        <v>76947.520000000004</v>
      </c>
      <c r="S151" s="2">
        <v>65077.52</v>
      </c>
      <c r="T151" s="2">
        <v>75362.47</v>
      </c>
      <c r="U151" s="2">
        <v>64409.98</v>
      </c>
      <c r="V151" s="2">
        <v>77232.81</v>
      </c>
      <c r="W151" s="2">
        <v>88556.5</v>
      </c>
      <c r="X151" s="2">
        <v>83004.69</v>
      </c>
      <c r="Y151" s="2">
        <v>73711.009999999995</v>
      </c>
      <c r="Z151" s="2">
        <v>88824.23</v>
      </c>
      <c r="AA151" s="2">
        <v>73250.759999999995</v>
      </c>
      <c r="AB151" s="2">
        <v>76519.360000000001</v>
      </c>
      <c r="AC151" s="2">
        <v>81276.3</v>
      </c>
      <c r="AD151" s="2">
        <v>84941.83</v>
      </c>
      <c r="AE151" s="2">
        <v>93915.45</v>
      </c>
      <c r="AF151" s="3">
        <v>98042.755720000001</v>
      </c>
      <c r="AG151" s="2">
        <v>105817.53</v>
      </c>
      <c r="AH151" s="2">
        <v>77836.37</v>
      </c>
      <c r="AI151" s="24">
        <f>SUM(E151:AH151)</f>
        <v>2450983.3857200001</v>
      </c>
      <c r="AJ151" s="26">
        <v>2106034.4493071912</v>
      </c>
      <c r="AK151" s="33">
        <f>$AJ151/$AI151*E151</f>
        <v>64067.789486826456</v>
      </c>
      <c r="AL151" s="33">
        <f>$AJ151/$AI151*F151</f>
        <v>70440.661996218711</v>
      </c>
      <c r="AM151" s="33">
        <f>$AJ151/$AI151*G151</f>
        <v>71939.986525306289</v>
      </c>
      <c r="AN151" s="33">
        <f>$AJ151/$AI151*H151</f>
        <v>78770.510039018191</v>
      </c>
      <c r="AO151" s="33">
        <f>$AJ151/$AI151*I151</f>
        <v>77988.333338013472</v>
      </c>
      <c r="AP151" s="33">
        <f>$AJ151/$AI151*J151</f>
        <v>73976.787406155898</v>
      </c>
      <c r="AQ151" s="33">
        <f>$AJ151/$AI151*K151</f>
        <v>58159.545181121233</v>
      </c>
      <c r="AR151" s="33">
        <f>$AJ151/$AI151*L151</f>
        <v>56742.640967713691</v>
      </c>
      <c r="AS151" s="33">
        <f>$AJ151/$AI151*M151</f>
        <v>64707.346046082101</v>
      </c>
      <c r="AT151" s="33">
        <f>$AJ151/$AI151*N151</f>
        <v>63466.409894060205</v>
      </c>
      <c r="AU151" s="33">
        <f>$AJ151/$AI151*O151</f>
        <v>70286.785535293151</v>
      </c>
      <c r="AV151" s="33">
        <f>$AJ151/$AI151*P151</f>
        <v>75532.926272949524</v>
      </c>
      <c r="AW151" s="33">
        <f>$AJ151/$AI151*Q151</f>
        <v>90112.738130866113</v>
      </c>
      <c r="AX151" s="33">
        <f>$AJ151/$AI151*R151</f>
        <v>66118.003431977209</v>
      </c>
      <c r="AY151" s="33">
        <f>$AJ151/$AI151*S151</f>
        <v>55918.575292674344</v>
      </c>
      <c r="AZ151" s="33">
        <f>$AJ151/$AI151*T151</f>
        <v>64756.031774672905</v>
      </c>
      <c r="BA151" s="33">
        <f>$AJ151/$AI151*U151</f>
        <v>55344.984200836923</v>
      </c>
      <c r="BB151" s="33">
        <f>$AJ151/$AI151*V151</f>
        <v>66363.142004332869</v>
      </c>
      <c r="BC151" s="33">
        <f>$AJ151/$AI151*W151</f>
        <v>76093.147263536099</v>
      </c>
      <c r="BD151" s="33">
        <f>$AJ151/$AI151*X151</f>
        <v>71322.693418711919</v>
      </c>
      <c r="BE151" s="33">
        <f>$AJ151/$AI151*Y151</f>
        <v>63336.996593970871</v>
      </c>
      <c r="BF151" s="33">
        <f>$AJ151/$AI151*Z151</f>
        <v>76323.197212629238</v>
      </c>
      <c r="BG151" s="33">
        <f>$AJ151/$AI151*AA151</f>
        <v>62941.521716033712</v>
      </c>
      <c r="BH151" s="33">
        <f>$AJ151/$AI151*AB151</f>
        <v>65750.102239717395</v>
      </c>
      <c r="BI151" s="33">
        <f>$AJ151/$AI151*AC151</f>
        <v>69837.555288830743</v>
      </c>
      <c r="BJ151" s="33">
        <f>$AJ151/$AI151*AD151</f>
        <v>72987.202283561885</v>
      </c>
      <c r="BK151" s="33">
        <f>$AJ151/$AI151*AE151</f>
        <v>80697.884030774265</v>
      </c>
      <c r="BL151" s="33">
        <f>$AJ151/$AI151*AF151</f>
        <v>84244.31689514441</v>
      </c>
      <c r="BM151" s="33">
        <f>$AJ151/$AI151*AG151</f>
        <v>90924.877263144415</v>
      </c>
      <c r="BN151" s="33">
        <f>$AJ151/$AI151*AH151</f>
        <v>66881.757577016746</v>
      </c>
    </row>
    <row r="152" spans="1:66" x14ac:dyDescent="0.25">
      <c r="A152" s="4" t="s">
        <v>8</v>
      </c>
      <c r="B152" s="4">
        <v>6</v>
      </c>
      <c r="C152" s="4" t="s">
        <v>2</v>
      </c>
      <c r="D152" s="4" t="str">
        <f>A152&amp;C152</f>
        <v>KIKUYUDELI</v>
      </c>
      <c r="E152" s="2">
        <v>30736.78</v>
      </c>
      <c r="F152" s="2">
        <v>28636.28</v>
      </c>
      <c r="G152" s="2">
        <v>21408.91</v>
      </c>
      <c r="H152" s="2">
        <v>26883.67</v>
      </c>
      <c r="I152" s="2">
        <v>31859.14</v>
      </c>
      <c r="J152" s="2">
        <v>47495.79</v>
      </c>
      <c r="K152" s="2">
        <v>27535.279999999999</v>
      </c>
      <c r="L152" s="2">
        <v>26315</v>
      </c>
      <c r="M152" s="2">
        <v>22980.03</v>
      </c>
      <c r="N152" s="2">
        <v>19581.91</v>
      </c>
      <c r="O152" s="2">
        <v>25365.63</v>
      </c>
      <c r="P152" s="2">
        <v>29018.92</v>
      </c>
      <c r="Q152" s="2">
        <v>27721.88</v>
      </c>
      <c r="R152" s="2">
        <v>25099.18</v>
      </c>
      <c r="S152" s="2">
        <v>25347.13</v>
      </c>
      <c r="T152" s="2">
        <v>25766.47</v>
      </c>
      <c r="U152" s="2">
        <v>22703.51</v>
      </c>
      <c r="V152" s="2">
        <v>25275.040000000001</v>
      </c>
      <c r="W152" s="2">
        <v>23837.58</v>
      </c>
      <c r="X152" s="2">
        <v>31724.42</v>
      </c>
      <c r="Y152" s="2">
        <v>25450.91</v>
      </c>
      <c r="Z152" s="2">
        <v>26132.28</v>
      </c>
      <c r="AA152" s="2">
        <v>34806.17</v>
      </c>
      <c r="AB152" s="2">
        <v>27310.76</v>
      </c>
      <c r="AC152" s="2">
        <v>24278.799999999999</v>
      </c>
      <c r="AD152" s="2">
        <v>31620.58</v>
      </c>
      <c r="AE152" s="2">
        <v>44782.46</v>
      </c>
      <c r="AF152" s="3">
        <v>33340.216899999999</v>
      </c>
      <c r="AG152" s="2">
        <v>58871.56</v>
      </c>
      <c r="AH152" s="2">
        <v>24168.71</v>
      </c>
      <c r="AI152" s="24">
        <f>SUM(E152:AH152)</f>
        <v>876054.99690000014</v>
      </c>
      <c r="AJ152" s="26">
        <v>733762.56450909341</v>
      </c>
      <c r="AK152" s="33">
        <f>$AJ152/$AI152*E152</f>
        <v>25744.386593717754</v>
      </c>
      <c r="AL152" s="33">
        <f>$AJ152/$AI152*F152</f>
        <v>23985.058386921071</v>
      </c>
      <c r="AM152" s="33">
        <f>$AJ152/$AI152*G152</f>
        <v>17931.587355282823</v>
      </c>
      <c r="AN152" s="33">
        <f>$AJ152/$AI152*H152</f>
        <v>22517.114464753045</v>
      </c>
      <c r="AO152" s="33">
        <f>$AJ152/$AI152*I152</f>
        <v>26684.448296255399</v>
      </c>
      <c r="AP152" s="33">
        <f>$AJ152/$AI152*J152</f>
        <v>39781.329707732359</v>
      </c>
      <c r="AQ152" s="33">
        <f>$AJ152/$AI152*K152</f>
        <v>23062.887305900767</v>
      </c>
      <c r="AR152" s="33">
        <f>$AJ152/$AI152*L152</f>
        <v>22040.810169890363</v>
      </c>
      <c r="AS152" s="33">
        <f>$AJ152/$AI152*M152</f>
        <v>19247.5196248674</v>
      </c>
      <c r="AT152" s="33">
        <f>$AJ152/$AI152*N152</f>
        <v>16401.336160892184</v>
      </c>
      <c r="AU152" s="33">
        <f>$AJ152/$AI152*O152</f>
        <v>21245.640724669433</v>
      </c>
      <c r="AV152" s="33">
        <f>$AJ152/$AI152*P152</f>
        <v>24305.548434551958</v>
      </c>
      <c r="AW152" s="33">
        <f>$AJ152/$AI152*Q152</f>
        <v>23219.178971403391</v>
      </c>
      <c r="AX152" s="33">
        <f>$AJ152/$AI152*R152</f>
        <v>21022.46862245521</v>
      </c>
      <c r="AY152" s="33">
        <f>$AJ152/$AI152*S152</f>
        <v>21230.145570265369</v>
      </c>
      <c r="AZ152" s="33">
        <f>$AJ152/$AI152*T152</f>
        <v>21581.374653930267</v>
      </c>
      <c r="BA152" s="33">
        <f>$AJ152/$AI152*U152</f>
        <v>19015.913133201881</v>
      </c>
      <c r="BB152" s="33">
        <f>$AJ152/$AI152*V152</f>
        <v>21169.764722644337</v>
      </c>
      <c r="BC152" s="33">
        <f>$AJ152/$AI152*W152</f>
        <v>19965.782849689345</v>
      </c>
      <c r="BD152" s="33">
        <f>$AJ152/$AI152*X152</f>
        <v>26571.610069157257</v>
      </c>
      <c r="BE152" s="33">
        <f>$AJ152/$AI152*Y152</f>
        <v>21317.069198592602</v>
      </c>
      <c r="BF152" s="33">
        <f>$AJ152/$AI152*Z152</f>
        <v>21887.768298933024</v>
      </c>
      <c r="BG152" s="33">
        <f>$AJ152/$AI152*AA152</f>
        <v>29152.809641304688</v>
      </c>
      <c r="BH152" s="33">
        <f>$AJ152/$AI152*AB152</f>
        <v>22874.834761749378</v>
      </c>
      <c r="BI152" s="33">
        <f>$AJ152/$AI152*AC152</f>
        <v>20335.338094346727</v>
      </c>
      <c r="BJ152" s="33">
        <f>$AJ152/$AI152*AD152</f>
        <v>26484.636186275198</v>
      </c>
      <c r="BK152" s="33">
        <f>$AJ152/$AI152*AE152</f>
        <v>37508.709853722532</v>
      </c>
      <c r="BL152" s="33">
        <f>$AJ152/$AI152*AF152</f>
        <v>27924.962634082105</v>
      </c>
      <c r="BM152" s="33">
        <f>$AJ152/$AI152*AG152</f>
        <v>49309.400659901599</v>
      </c>
      <c r="BN152" s="33">
        <f>$AJ152/$AI152*AH152</f>
        <v>20243.129362003834</v>
      </c>
    </row>
    <row r="153" spans="1:66" x14ac:dyDescent="0.25">
      <c r="A153" s="4" t="s">
        <v>10</v>
      </c>
      <c r="B153" s="4">
        <v>7</v>
      </c>
      <c r="C153" s="4" t="s">
        <v>2</v>
      </c>
      <c r="D153" s="4" t="str">
        <f>A153&amp;C153</f>
        <v>RUIRUDELI</v>
      </c>
      <c r="E153" s="2">
        <v>76022.92</v>
      </c>
      <c r="F153" s="2">
        <v>70771.28</v>
      </c>
      <c r="G153" s="2">
        <v>60236.27</v>
      </c>
      <c r="H153" s="2">
        <v>71916.69</v>
      </c>
      <c r="I153" s="2">
        <v>94127.14</v>
      </c>
      <c r="J153" s="2">
        <v>85348.160000000003</v>
      </c>
      <c r="K153" s="2">
        <v>68892.67</v>
      </c>
      <c r="L153" s="2">
        <v>64792.72</v>
      </c>
      <c r="M153" s="2">
        <v>66001.02</v>
      </c>
      <c r="N153" s="2">
        <v>65441.56</v>
      </c>
      <c r="O153" s="2">
        <v>67241.69</v>
      </c>
      <c r="P153" s="2">
        <v>74332.14</v>
      </c>
      <c r="Q153" s="2">
        <v>84035.21</v>
      </c>
      <c r="R153" s="2">
        <v>73187.509999999995</v>
      </c>
      <c r="S153" s="2">
        <v>64122.73</v>
      </c>
      <c r="T153" s="2">
        <v>65497.34</v>
      </c>
      <c r="U153" s="2">
        <v>67139.960000000006</v>
      </c>
      <c r="V153" s="2">
        <v>71768.28</v>
      </c>
      <c r="W153" s="2">
        <v>74889.679999999993</v>
      </c>
      <c r="X153" s="2">
        <v>89509.88</v>
      </c>
      <c r="Y153" s="2">
        <v>74829.77</v>
      </c>
      <c r="Z153" s="2">
        <v>90272.46</v>
      </c>
      <c r="AA153" s="2">
        <v>80988.009999999995</v>
      </c>
      <c r="AB153" s="2">
        <v>58210.64</v>
      </c>
      <c r="AC153" s="2">
        <v>73572.460000000006</v>
      </c>
      <c r="AD153" s="2">
        <v>72773.41</v>
      </c>
      <c r="AE153" s="2">
        <v>96533.93</v>
      </c>
      <c r="AF153" s="3">
        <v>86853.933430000005</v>
      </c>
      <c r="AG153" s="2">
        <v>90801.62</v>
      </c>
      <c r="AH153" s="2">
        <v>73748.55</v>
      </c>
      <c r="AI153" s="24">
        <f>SUM(E153:AH153)</f>
        <v>2253859.6334299995</v>
      </c>
      <c r="AJ153" s="26">
        <v>1767783.9258355002</v>
      </c>
      <c r="AK153" s="33">
        <f>$AJ153/$AI153*E153</f>
        <v>59627.535795809854</v>
      </c>
      <c r="AL153" s="33">
        <f>$AJ153/$AI153*F153</f>
        <v>55508.483908738075</v>
      </c>
      <c r="AM153" s="33">
        <f>$AJ153/$AI153*G153</f>
        <v>47245.493143792257</v>
      </c>
      <c r="AN153" s="33">
        <f>$AJ153/$AI153*H153</f>
        <v>56406.870550238804</v>
      </c>
      <c r="AO153" s="33">
        <f>$AJ153/$AI153*I153</f>
        <v>73827.332726856665</v>
      </c>
      <c r="AP153" s="33">
        <f>$AJ153/$AI153*J153</f>
        <v>66941.660034980334</v>
      </c>
      <c r="AQ153" s="33">
        <f>$AJ153/$AI153*K153</f>
        <v>54035.021892001983</v>
      </c>
      <c r="AR153" s="33">
        <f>$AJ153/$AI153*L153</f>
        <v>50819.282278395585</v>
      </c>
      <c r="AS153" s="33">
        <f>$AJ153/$AI153*M153</f>
        <v>51766.995829809777</v>
      </c>
      <c r="AT153" s="33">
        <f>$AJ153/$AI153*N153</f>
        <v>51328.191043354273</v>
      </c>
      <c r="AU153" s="33">
        <f>$AJ153/$AI153*O153</f>
        <v>52740.098347258296</v>
      </c>
      <c r="AV153" s="33">
        <f>$AJ153/$AI153*P153</f>
        <v>58301.395666322074</v>
      </c>
      <c r="AW153" s="33">
        <f>$AJ153/$AI153*Q153</f>
        <v>65911.86568976038</v>
      </c>
      <c r="AX153" s="33">
        <f>$AJ153/$AI153*R153</f>
        <v>57403.620807135419</v>
      </c>
      <c r="AY153" s="33">
        <f>$AJ153/$AI153*S153</f>
        <v>50293.784800689718</v>
      </c>
      <c r="AZ153" s="33">
        <f>$AJ153/$AI153*T153</f>
        <v>51371.941322174003</v>
      </c>
      <c r="BA153" s="33">
        <f>$AJ153/$AI153*U153</f>
        <v>52660.307815448847</v>
      </c>
      <c r="BB153" s="33">
        <f>$AJ153/$AI153*V153</f>
        <v>56290.467199940547</v>
      </c>
      <c r="BC153" s="33">
        <f>$AJ153/$AI153*W153</f>
        <v>58738.694527081374</v>
      </c>
      <c r="BD153" s="33">
        <f>$AJ153/$AI153*X153</f>
        <v>70205.84810184408</v>
      </c>
      <c r="BE153" s="33">
        <f>$AJ153/$AI153*Y153</f>
        <v>58691.70493934222</v>
      </c>
      <c r="BF153" s="33">
        <f>$AJ153/$AI153*Z153</f>
        <v>70803.967277576463</v>
      </c>
      <c r="BG153" s="33">
        <f>$AJ153/$AI153*AA153</f>
        <v>63521.836116087179</v>
      </c>
      <c r="BH153" s="33">
        <f>$AJ153/$AI153*AB153</f>
        <v>45656.718004215058</v>
      </c>
      <c r="BI153" s="33">
        <f>$AJ153/$AI153*AC153</f>
        <v>57705.551065859996</v>
      </c>
      <c r="BJ153" s="33">
        <f>$AJ153/$AI153*AD153</f>
        <v>57078.827145262861</v>
      </c>
      <c r="BK153" s="33">
        <f>$AJ153/$AI153*AE153</f>
        <v>75715.065490581037</v>
      </c>
      <c r="BL153" s="33">
        <f>$AJ153/$AI153*AF153</f>
        <v>68122.692795859606</v>
      </c>
      <c r="BM153" s="33">
        <f>$AJ153/$AI153*AG153</f>
        <v>71219.006674138844</v>
      </c>
      <c r="BN153" s="33">
        <f>$AJ153/$AI153*AH153</f>
        <v>57843.664844945088</v>
      </c>
    </row>
    <row r="154" spans="1:66" x14ac:dyDescent="0.25">
      <c r="A154" s="4" t="s">
        <v>11</v>
      </c>
      <c r="B154" s="4">
        <v>8</v>
      </c>
      <c r="C154" s="4" t="s">
        <v>2</v>
      </c>
      <c r="D154" s="4" t="str">
        <f>A154&amp;C154</f>
        <v>LAVINGTONDELI</v>
      </c>
      <c r="E154" s="2">
        <v>142748.25</v>
      </c>
      <c r="F154" s="2">
        <v>150309.85999999999</v>
      </c>
      <c r="G154" s="2">
        <v>153401.75</v>
      </c>
      <c r="H154" s="2">
        <v>147569.19</v>
      </c>
      <c r="I154" s="2">
        <v>172857.21</v>
      </c>
      <c r="J154" s="2">
        <v>153047.15</v>
      </c>
      <c r="K154" s="2">
        <v>165511.79999999999</v>
      </c>
      <c r="L154" s="2">
        <v>142538.87</v>
      </c>
      <c r="M154" s="2">
        <v>146056.87</v>
      </c>
      <c r="N154" s="2">
        <v>160899.74</v>
      </c>
      <c r="O154" s="2">
        <v>155309.62</v>
      </c>
      <c r="P154" s="2">
        <v>155997.46</v>
      </c>
      <c r="Q154" s="2">
        <v>163858.5</v>
      </c>
      <c r="R154" s="2">
        <v>162298.22</v>
      </c>
      <c r="S154" s="2">
        <v>161190.59</v>
      </c>
      <c r="T154" s="2">
        <v>141000.57999999999</v>
      </c>
      <c r="U154" s="2">
        <v>162196.98000000001</v>
      </c>
      <c r="V154" s="2">
        <v>144966.9</v>
      </c>
      <c r="W154" s="2">
        <v>137150.51999999999</v>
      </c>
      <c r="X154" s="2">
        <v>140430.59</v>
      </c>
      <c r="Y154" s="2">
        <v>156417.66</v>
      </c>
      <c r="Z154" s="2">
        <v>155594.18</v>
      </c>
      <c r="AA154" s="2">
        <v>134222.18</v>
      </c>
      <c r="AB154" s="2">
        <v>143417.66</v>
      </c>
      <c r="AC154" s="2">
        <v>142434.6</v>
      </c>
      <c r="AD154" s="2">
        <v>195454.58</v>
      </c>
      <c r="AE154" s="2">
        <v>170440.66</v>
      </c>
      <c r="AF154" s="3">
        <v>173294.63200000001</v>
      </c>
      <c r="AG154" s="2">
        <v>147275.42000000001</v>
      </c>
      <c r="AH154" s="2">
        <v>178274.25</v>
      </c>
      <c r="AI154" s="24">
        <f>SUM(E154:AH154)</f>
        <v>4656166.472000001</v>
      </c>
      <c r="AJ154" s="26">
        <v>3817445.5538704013</v>
      </c>
      <c r="AK154" s="33">
        <f>$AJ154/$AI154*E154</f>
        <v>117034.83446355618</v>
      </c>
      <c r="AL154" s="33">
        <f>$AJ154/$AI154*F154</f>
        <v>123234.36247617959</v>
      </c>
      <c r="AM154" s="33">
        <f>$AJ154/$AI154*G154</f>
        <v>125769.30657762761</v>
      </c>
      <c r="AN154" s="33">
        <f>$AJ154/$AI154*H154</f>
        <v>120987.37268983031</v>
      </c>
      <c r="AO154" s="33">
        <f>$AJ154/$AI154*I154</f>
        <v>141720.23095331935</v>
      </c>
      <c r="AP154" s="33">
        <f>$AJ154/$AI154*J154</f>
        <v>125478.58110603143</v>
      </c>
      <c r="AQ154" s="33">
        <f>$AJ154/$AI154*K154</f>
        <v>135697.95857227824</v>
      </c>
      <c r="AR154" s="33">
        <f>$AJ154/$AI154*L154</f>
        <v>116863.17033709593</v>
      </c>
      <c r="AS154" s="33">
        <f>$AJ154/$AI154*M154</f>
        <v>119747.4687270432</v>
      </c>
      <c r="AT154" s="33">
        <f>$AJ154/$AI154*N154</f>
        <v>131916.67453807124</v>
      </c>
      <c r="AU154" s="33">
        <f>$AJ154/$AI154*O154</f>
        <v>127333.50963880688</v>
      </c>
      <c r="AV154" s="33">
        <f>$AJ154/$AI154*P154</f>
        <v>127897.44818472539</v>
      </c>
      <c r="AW154" s="33">
        <f>$AJ154/$AI154*Q154</f>
        <v>134342.46950800883</v>
      </c>
      <c r="AX154" s="33">
        <f>$AJ154/$AI154*R154</f>
        <v>133063.24463823426</v>
      </c>
      <c r="AY154" s="33">
        <f>$AJ154/$AI154*S154</f>
        <v>132155.13337454543</v>
      </c>
      <c r="AZ154" s="33">
        <f>$AJ154/$AI154*T154</f>
        <v>115601.97438193049</v>
      </c>
      <c r="BA154" s="33">
        <f>$AJ154/$AI154*U154</f>
        <v>132980.24112231663</v>
      </c>
      <c r="BB154" s="33">
        <f>$AJ154/$AI154*V154</f>
        <v>118853.83634611915</v>
      </c>
      <c r="BC154" s="33">
        <f>$AJ154/$AI154*W154</f>
        <v>112445.43036282861</v>
      </c>
      <c r="BD154" s="33">
        <f>$AJ154/$AI154*X154</f>
        <v>115134.65737246886</v>
      </c>
      <c r="BE154" s="33">
        <f>$AJ154/$AI154*Y154</f>
        <v>128241.95704869807</v>
      </c>
      <c r="BF154" s="33">
        <f>$AJ154/$AI154*Z154</f>
        <v>127566.81150061569</v>
      </c>
      <c r="BG154" s="33">
        <f>$AJ154/$AI154*AA154</f>
        <v>110044.57580136808</v>
      </c>
      <c r="BH154" s="33">
        <f>$AJ154/$AI154*AB154</f>
        <v>117583.66282774453</v>
      </c>
      <c r="BI154" s="33">
        <f>$AJ154/$AI154*AC154</f>
        <v>116777.68261875602</v>
      </c>
      <c r="BJ154" s="33">
        <f>$AJ154/$AI154*AD154</f>
        <v>160247.10926714615</v>
      </c>
      <c r="BK154" s="33">
        <f>$AJ154/$AI154*AE154</f>
        <v>139738.97703796203</v>
      </c>
      <c r="BL154" s="33">
        <f>$AJ154/$AI154*AF154</f>
        <v>142078.85959752844</v>
      </c>
      <c r="BM154" s="33">
        <f>$AJ154/$AI154*AG154</f>
        <v>120746.51983650036</v>
      </c>
      <c r="BN154" s="33">
        <f>$AJ154/$AI154*AH154</f>
        <v>146161.4929630635</v>
      </c>
    </row>
    <row r="155" spans="1:66" x14ac:dyDescent="0.25">
      <c r="A155" s="4" t="s">
        <v>16</v>
      </c>
      <c r="B155" s="4">
        <v>9</v>
      </c>
      <c r="C155" s="4" t="s">
        <v>2</v>
      </c>
      <c r="D155" s="4" t="str">
        <f>A155&amp;C155</f>
        <v>PIPELINEDELI</v>
      </c>
      <c r="E155" s="2">
        <v>1025.8599999999999</v>
      </c>
      <c r="F155" s="2">
        <v>2154.31</v>
      </c>
      <c r="G155" s="2">
        <v>3357.76</v>
      </c>
      <c r="H155" s="2">
        <v>4040.52</v>
      </c>
      <c r="I155" s="2">
        <v>2631.03</v>
      </c>
      <c r="J155" s="2">
        <v>4254.3100000000004</v>
      </c>
      <c r="K155" s="2">
        <v>3171.55</v>
      </c>
      <c r="L155" s="3">
        <v>205.17</v>
      </c>
      <c r="M155" s="2">
        <v>1658.62</v>
      </c>
      <c r="N155" s="2">
        <v>2101.7199999999998</v>
      </c>
      <c r="O155" s="2">
        <v>3006.9</v>
      </c>
      <c r="P155" s="2">
        <v>1785.34</v>
      </c>
      <c r="Q155" s="2">
        <v>4604.3100000000004</v>
      </c>
      <c r="R155" s="2">
        <v>1794.83</v>
      </c>
      <c r="S155" s="2">
        <v>2359.48</v>
      </c>
      <c r="T155" s="3">
        <v>923.28</v>
      </c>
      <c r="U155" s="2">
        <v>1811.21</v>
      </c>
      <c r="V155" s="2">
        <v>2818.96</v>
      </c>
      <c r="W155" s="2">
        <v>2255.17</v>
      </c>
      <c r="X155" s="2">
        <v>3152.59</v>
      </c>
      <c r="Y155" s="2">
        <v>1025.8599999999999</v>
      </c>
      <c r="Z155" s="3">
        <v>923.28</v>
      </c>
      <c r="AA155" s="2">
        <v>1248.28</v>
      </c>
      <c r="AB155" s="2">
        <v>1247.4100000000001</v>
      </c>
      <c r="AC155" s="2">
        <v>2725</v>
      </c>
      <c r="AD155" s="2">
        <v>2443.1</v>
      </c>
      <c r="AE155" s="2">
        <v>2818.96</v>
      </c>
      <c r="AF155" s="3">
        <v>2645.6889500000002</v>
      </c>
      <c r="AG155" s="2">
        <v>2218.96</v>
      </c>
      <c r="AH155" s="2">
        <v>2819.83</v>
      </c>
      <c r="AI155" s="24">
        <f>SUM(E155:AH155)</f>
        <v>69229.288950000002</v>
      </c>
      <c r="AJ155" s="26">
        <v>34202.124018306742</v>
      </c>
      <c r="AK155" s="33">
        <f>$AJ155/$AI155*E155</f>
        <v>506.8171503359078</v>
      </c>
      <c r="AL155" s="33">
        <f>$AJ155/$AI155*F155</f>
        <v>1064.3179918703815</v>
      </c>
      <c r="AM155" s="33">
        <f>$AJ155/$AI155*G155</f>
        <v>1658.8719266877529</v>
      </c>
      <c r="AN155" s="33">
        <f>$AJ155/$AI155*H155</f>
        <v>1996.1835262854993</v>
      </c>
      <c r="AO155" s="33">
        <f>$AJ155/$AI155*I155</f>
        <v>1299.8373336013528</v>
      </c>
      <c r="AP155" s="33">
        <f>$AJ155/$AI155*J155</f>
        <v>2101.8046037915078</v>
      </c>
      <c r="AQ155" s="33">
        <f>$AJ155/$AI155*K155</f>
        <v>1566.8765066849751</v>
      </c>
      <c r="AR155" s="33">
        <f>$AJ155/$AI155*L155</f>
        <v>101.36244198469402</v>
      </c>
      <c r="AS155" s="33">
        <f>$AJ155/$AI155*M155</f>
        <v>819.42668774505626</v>
      </c>
      <c r="AT155" s="33">
        <f>$AJ155/$AI155*N155</f>
        <v>1038.3363628604138</v>
      </c>
      <c r="AU155" s="33">
        <f>$AJ155/$AI155*O155</f>
        <v>1485.5326158979212</v>
      </c>
      <c r="AV155" s="33">
        <f>$AJ155/$AI155*P155</f>
        <v>882.03159415583968</v>
      </c>
      <c r="AW155" s="33">
        <f>$AJ155/$AI155*Q155</f>
        <v>2274.7190391116956</v>
      </c>
      <c r="AX155" s="33">
        <f>$AJ155/$AI155*R155</f>
        <v>886.72004555923559</v>
      </c>
      <c r="AY155" s="33">
        <f>$AJ155/$AI155*S155</f>
        <v>1165.6804338550755</v>
      </c>
      <c r="AZ155" s="33">
        <f>$AJ155/$AI155*T155</f>
        <v>456.13839954977971</v>
      </c>
      <c r="BA155" s="33">
        <f>$AJ155/$AI155*U155</f>
        <v>894.81244113222044</v>
      </c>
      <c r="BB155" s="33">
        <f>$AJ155/$AI155*V155</f>
        <v>1392.682504543418</v>
      </c>
      <c r="BC155" s="33">
        <f>$AJ155/$AI155*W155</f>
        <v>1114.1469917172219</v>
      </c>
      <c r="BD155" s="33">
        <f>$AJ155/$AI155*X155</f>
        <v>1557.5094847030587</v>
      </c>
      <c r="BE155" s="33">
        <f>$AJ155/$AI155*Y155</f>
        <v>506.8171503359078</v>
      </c>
      <c r="BF155" s="33">
        <f>$AJ155/$AI155*Z155</f>
        <v>456.13839954977971</v>
      </c>
      <c r="BG155" s="33">
        <f>$AJ155/$AI155*AA155</f>
        <v>616.70180377566828</v>
      </c>
      <c r="BH155" s="33">
        <f>$AJ155/$AI155*AB155</f>
        <v>616.2719878935867</v>
      </c>
      <c r="BI155" s="33">
        <f>$AJ155/$AI155*AC155</f>
        <v>1346.2623892786041</v>
      </c>
      <c r="BJ155" s="33">
        <f>$AJ155/$AI155*AD155</f>
        <v>1206.9921626592873</v>
      </c>
      <c r="BK155" s="33">
        <f>$AJ155/$AI155*AE155</f>
        <v>1392.682504543418</v>
      </c>
      <c r="BL155" s="33">
        <f>$AJ155/$AI155*AF155</f>
        <v>1307.0794594917438</v>
      </c>
      <c r="BM155" s="33">
        <f>$AJ155/$AI155*AG155</f>
        <v>1096.2577582802392</v>
      </c>
      <c r="BN155" s="33">
        <f>$AJ155/$AI155*AH155</f>
        <v>1393.1123204254995</v>
      </c>
    </row>
    <row r="156" spans="1:66" x14ac:dyDescent="0.25">
      <c r="A156" s="4" t="s">
        <v>17</v>
      </c>
      <c r="B156" s="4">
        <v>10</v>
      </c>
      <c r="C156" s="4" t="s">
        <v>2</v>
      </c>
      <c r="D156" s="4" t="str">
        <f>A156&amp;C156</f>
        <v>DONHOLMDELI</v>
      </c>
      <c r="E156" s="2">
        <v>75672.570000000007</v>
      </c>
      <c r="F156" s="2">
        <v>68444.59</v>
      </c>
      <c r="G156" s="2">
        <v>61035.1</v>
      </c>
      <c r="H156" s="2">
        <v>85329.45</v>
      </c>
      <c r="I156" s="2">
        <v>86769.23</v>
      </c>
      <c r="J156" s="2">
        <v>104197.29</v>
      </c>
      <c r="K156" s="2">
        <v>68041.23</v>
      </c>
      <c r="L156" s="2">
        <v>74632.73</v>
      </c>
      <c r="M156" s="2">
        <v>67650.289999999994</v>
      </c>
      <c r="N156" s="2">
        <v>65944.479999999996</v>
      </c>
      <c r="O156" s="2">
        <v>69427.87</v>
      </c>
      <c r="P156" s="2">
        <v>86880.03</v>
      </c>
      <c r="Q156" s="2">
        <v>87098.94</v>
      </c>
      <c r="R156" s="2">
        <v>68392.88</v>
      </c>
      <c r="S156" s="2">
        <v>72825.58</v>
      </c>
      <c r="T156" s="2">
        <v>63992.55</v>
      </c>
      <c r="U156" s="2">
        <v>65986.59</v>
      </c>
      <c r="V156" s="2">
        <v>69258.75</v>
      </c>
      <c r="W156" s="2">
        <v>73696.509999999995</v>
      </c>
      <c r="X156" s="2">
        <v>89193.91</v>
      </c>
      <c r="Y156" s="2">
        <v>67807.179999999993</v>
      </c>
      <c r="Z156" s="2">
        <v>68219.240000000005</v>
      </c>
      <c r="AA156" s="2">
        <v>73966.2</v>
      </c>
      <c r="AB156" s="2">
        <v>60451.97</v>
      </c>
      <c r="AC156" s="2">
        <v>72899.929999999993</v>
      </c>
      <c r="AD156" s="2">
        <v>86049.69</v>
      </c>
      <c r="AE156" s="2">
        <v>94140.67</v>
      </c>
      <c r="AF156" s="3">
        <v>95925.631659999999</v>
      </c>
      <c r="AG156" s="2">
        <v>97012.85</v>
      </c>
      <c r="AH156" s="2">
        <v>79007.19</v>
      </c>
      <c r="AI156" s="24">
        <f>SUM(E156:AH156)</f>
        <v>2299951.1216600002</v>
      </c>
      <c r="AJ156" s="26">
        <v>1862836.0044198215</v>
      </c>
      <c r="AK156" s="33">
        <f>$AJ156/$AI156*E156</f>
        <v>61290.688578301924</v>
      </c>
      <c r="AL156" s="33">
        <f>$AJ156/$AI156*F156</f>
        <v>55436.415739012926</v>
      </c>
      <c r="AM156" s="33">
        <f>$AJ156/$AI156*G156</f>
        <v>49435.129617581581</v>
      </c>
      <c r="AN156" s="33">
        <f>$AJ156/$AI156*H156</f>
        <v>69112.239038634274</v>
      </c>
      <c r="AO156" s="33">
        <f>$AJ156/$AI156*I156</f>
        <v>70278.382961078925</v>
      </c>
      <c r="AP156" s="33">
        <f>$AJ156/$AI156*J156</f>
        <v>84394.168879066914</v>
      </c>
      <c r="AQ156" s="33">
        <f>$AJ156/$AI156*K156</f>
        <v>55109.715956714746</v>
      </c>
      <c r="AR156" s="33">
        <f>$AJ156/$AI156*L156</f>
        <v>60448.474423142899</v>
      </c>
      <c r="AS156" s="33">
        <f>$AJ156/$AI156*M156</f>
        <v>54793.075702620008</v>
      </c>
      <c r="AT156" s="33">
        <f>$AJ156/$AI156*N156</f>
        <v>53411.461869711296</v>
      </c>
      <c r="AU156" s="33">
        <f>$AJ156/$AI156*O156</f>
        <v>56232.819353496649</v>
      </c>
      <c r="AV156" s="33">
        <f>$AJ156/$AI156*P156</f>
        <v>70368.124967918062</v>
      </c>
      <c r="AW156" s="33">
        <f>$AJ156/$AI156*Q156</f>
        <v>70545.430227098201</v>
      </c>
      <c r="AX156" s="33">
        <f>$AJ156/$AI156*R156</f>
        <v>55394.533436001628</v>
      </c>
      <c r="AY156" s="33">
        <f>$AJ156/$AI156*S156</f>
        <v>58984.78067170459</v>
      </c>
      <c r="AZ156" s="33">
        <f>$AJ156/$AI156*T156</f>
        <v>51830.504149408625</v>
      </c>
      <c r="BA156" s="33">
        <f>$AJ156/$AI156*U156</f>
        <v>53445.568691985631</v>
      </c>
      <c r="BB156" s="33">
        <f>$AJ156/$AI156*V156</f>
        <v>56095.841301180437</v>
      </c>
      <c r="BC156" s="33">
        <f>$AJ156/$AI156*W156</f>
        <v>59690.186863188508</v>
      </c>
      <c r="BD156" s="33">
        <f>$AJ156/$AI156*X156</f>
        <v>72242.242610381669</v>
      </c>
      <c r="BE156" s="33">
        <f>$AJ156/$AI156*Y156</f>
        <v>54920.148116455697</v>
      </c>
      <c r="BF156" s="33">
        <f>$AJ156/$AI156*Z156</f>
        <v>55253.894428171763</v>
      </c>
      <c r="BG156" s="33">
        <f>$AJ156/$AI156*AA156</f>
        <v>59908.62117568354</v>
      </c>
      <c r="BH156" s="33">
        <f>$AJ156/$AI156*AB156</f>
        <v>48962.825859024611</v>
      </c>
      <c r="BI156" s="33">
        <f>$AJ156/$AI156*AC156</f>
        <v>59045.000150120562</v>
      </c>
      <c r="BJ156" s="33">
        <f>$AJ156/$AI156*AD156</f>
        <v>69695.594480925138</v>
      </c>
      <c r="BK156" s="33">
        <f>$AJ156/$AI156*AE156</f>
        <v>76248.850640630946</v>
      </c>
      <c r="BL156" s="33">
        <f>$AJ156/$AI156*AF156</f>
        <v>77694.573036834336</v>
      </c>
      <c r="BM156" s="33">
        <f>$AJ156/$AI156*AG156</f>
        <v>78575.161084703708</v>
      </c>
      <c r="BN156" s="33">
        <f>$AJ156/$AI156*AH156</f>
        <v>63991.550409041607</v>
      </c>
    </row>
    <row r="157" spans="1:66" x14ac:dyDescent="0.25">
      <c r="A157" s="4" t="s">
        <v>19</v>
      </c>
      <c r="B157" s="4">
        <v>11</v>
      </c>
      <c r="C157" s="4" t="s">
        <v>2</v>
      </c>
      <c r="D157" s="4" t="str">
        <f>A157&amp;C157</f>
        <v>OUTERINGDELI</v>
      </c>
      <c r="E157" s="2">
        <v>6436.21</v>
      </c>
      <c r="F157" s="2">
        <v>7073.27</v>
      </c>
      <c r="G157" s="2">
        <v>7262.93</v>
      </c>
      <c r="H157" s="2">
        <v>10842.24</v>
      </c>
      <c r="I157" s="2">
        <v>9091.3799999999992</v>
      </c>
      <c r="J157" s="2">
        <v>9262.93</v>
      </c>
      <c r="K157" s="2">
        <v>5748.1</v>
      </c>
      <c r="L157" s="2">
        <v>6158.19</v>
      </c>
      <c r="M157" s="2">
        <v>4503.1000000000004</v>
      </c>
      <c r="N157" s="2">
        <v>7893.19</v>
      </c>
      <c r="O157" s="2">
        <v>7066.38</v>
      </c>
      <c r="P157" s="2">
        <v>6921.55</v>
      </c>
      <c r="Q157" s="2">
        <v>7250</v>
      </c>
      <c r="R157" s="2">
        <v>7563.79</v>
      </c>
      <c r="S157" s="2">
        <v>5972.41</v>
      </c>
      <c r="T157" s="2">
        <v>7333.62</v>
      </c>
      <c r="U157" s="2">
        <v>6000</v>
      </c>
      <c r="V157" s="2">
        <v>8760.34</v>
      </c>
      <c r="W157" s="2">
        <v>6806.03</v>
      </c>
      <c r="X157" s="2">
        <v>10362.07</v>
      </c>
      <c r="Y157" s="2">
        <v>8232.76</v>
      </c>
      <c r="Z157" s="2">
        <v>7608.62</v>
      </c>
      <c r="AA157" s="2">
        <v>6421.55</v>
      </c>
      <c r="AB157" s="2">
        <v>6739.65</v>
      </c>
      <c r="AC157" s="2">
        <v>7516.38</v>
      </c>
      <c r="AD157" s="2">
        <v>8006.03</v>
      </c>
      <c r="AE157" s="2">
        <v>10406.030000000001</v>
      </c>
      <c r="AF157" s="3">
        <v>11746.548510000001</v>
      </c>
      <c r="AG157" s="2">
        <v>13080.17</v>
      </c>
      <c r="AH157" s="2">
        <v>7963.79</v>
      </c>
      <c r="AI157" s="24">
        <f>SUM(E157:AH157)</f>
        <v>236029.25851000001</v>
      </c>
      <c r="AJ157" s="26">
        <v>166636.1499277796</v>
      </c>
      <c r="AK157" s="33">
        <f>$AJ157/$AI157*E157</f>
        <v>4543.9504462165423</v>
      </c>
      <c r="AL157" s="33">
        <f>$AJ157/$AI157*F157</f>
        <v>4993.7134389198127</v>
      </c>
      <c r="AM157" s="33">
        <f>$AJ157/$AI157*G157</f>
        <v>5127.6129918600409</v>
      </c>
      <c r="AN157" s="33">
        <f>$AJ157/$AI157*H157</f>
        <v>7654.5981697282796</v>
      </c>
      <c r="AO157" s="33">
        <f>$AJ157/$AI157*I157</f>
        <v>6418.4947675299827</v>
      </c>
      <c r="AP157" s="33">
        <f>$AJ157/$AI157*J157</f>
        <v>6539.6086993389899</v>
      </c>
      <c r="AQ157" s="33">
        <f>$AJ157/$AI157*K157</f>
        <v>4058.1462630798733</v>
      </c>
      <c r="AR157" s="33">
        <f>$AJ157/$AI157*L157</f>
        <v>4347.6689229198937</v>
      </c>
      <c r="AS157" s="33">
        <f>$AJ157/$AI157*M157</f>
        <v>3179.1789351742277</v>
      </c>
      <c r="AT157" s="33">
        <f>$AJ157/$AI157*N157</f>
        <v>5572.5751991578818</v>
      </c>
      <c r="AU157" s="33">
        <f>$AJ157/$AI157*O157</f>
        <v>4988.8491137075471</v>
      </c>
      <c r="AV157" s="33">
        <f>$AJ157/$AI157*P157</f>
        <v>4886.5994445504593</v>
      </c>
      <c r="AW157" s="33">
        <f>$AJ157/$AI157*Q157</f>
        <v>5118.4844396111894</v>
      </c>
      <c r="AX157" s="33">
        <f>$AJ157/$AI157*R157</f>
        <v>5340.0195061360992</v>
      </c>
      <c r="AY157" s="33">
        <f>$AJ157/$AI157*S157</f>
        <v>4216.5086416521744</v>
      </c>
      <c r="AZ157" s="33">
        <f>$AJ157/$AI157*T157</f>
        <v>5177.5199801408844</v>
      </c>
      <c r="BA157" s="33">
        <f>$AJ157/$AI157*U157</f>
        <v>4235.9871224368462</v>
      </c>
      <c r="BB157" s="33">
        <f>$AJ157/$AI157*V157</f>
        <v>6184.7812380280675</v>
      </c>
      <c r="BC157" s="33">
        <f>$AJ157/$AI157*W157</f>
        <v>4805.0425724864754</v>
      </c>
      <c r="BD157" s="33">
        <f>$AJ157/$AI157*X157</f>
        <v>7315.5991802981953</v>
      </c>
      <c r="BE157" s="33">
        <f>$AJ157/$AI157*Y157</f>
        <v>5812.3108903521961</v>
      </c>
      <c r="BF157" s="33">
        <f>$AJ157/$AI157*Z157</f>
        <v>5371.6693899192396</v>
      </c>
      <c r="BG157" s="33">
        <f>$AJ157/$AI157*AA157</f>
        <v>4533.6005176807221</v>
      </c>
      <c r="BH157" s="33">
        <f>$AJ157/$AI157*AB157</f>
        <v>4758.178434955249</v>
      </c>
      <c r="BI157" s="33">
        <f>$AJ157/$AI157*AC157</f>
        <v>5306.5481478903112</v>
      </c>
      <c r="BJ157" s="33">
        <f>$AJ157/$AI157*AD157</f>
        <v>5652.2399969738444</v>
      </c>
      <c r="BK157" s="33">
        <f>$AJ157/$AI157*AE157</f>
        <v>7346.6348459485835</v>
      </c>
      <c r="BL157" s="33">
        <f>$AJ157/$AI157*AF157</f>
        <v>8293.0380369066224</v>
      </c>
      <c r="BM157" s="33">
        <f>$AJ157/$AI157*AG157</f>
        <v>9234.5719465474613</v>
      </c>
      <c r="BN157" s="33">
        <f>$AJ157/$AI157*AH157</f>
        <v>5622.4186476318891</v>
      </c>
    </row>
    <row r="158" spans="1:66" x14ac:dyDescent="0.25">
      <c r="A158" s="4" t="s">
        <v>20</v>
      </c>
      <c r="B158" s="4">
        <v>12</v>
      </c>
      <c r="C158" s="4" t="s">
        <v>2</v>
      </c>
      <c r="D158" s="4" t="str">
        <f>A158&amp;C158</f>
        <v>FEDHADELI</v>
      </c>
      <c r="E158" s="2">
        <v>63357.04</v>
      </c>
      <c r="F158" s="2">
        <v>60596.72</v>
      </c>
      <c r="G158" s="2">
        <v>59753.15</v>
      </c>
      <c r="H158" s="2">
        <v>64134.83</v>
      </c>
      <c r="I158" s="2">
        <v>78837</v>
      </c>
      <c r="J158" s="2">
        <v>81860.47</v>
      </c>
      <c r="K158" s="2">
        <v>60818.73</v>
      </c>
      <c r="L158" s="2">
        <v>56005.4</v>
      </c>
      <c r="M158" s="2">
        <v>60230.74</v>
      </c>
      <c r="N158" s="2">
        <v>57504.36</v>
      </c>
      <c r="O158" s="2">
        <v>65755.89</v>
      </c>
      <c r="P158" s="2">
        <v>67848.850000000006</v>
      </c>
      <c r="Q158" s="2">
        <v>76993.86</v>
      </c>
      <c r="R158" s="2">
        <v>54701.46</v>
      </c>
      <c r="S158" s="2">
        <v>61229.34</v>
      </c>
      <c r="T158" s="2">
        <v>57920.84</v>
      </c>
      <c r="U158" s="2">
        <v>54604.4</v>
      </c>
      <c r="V158" s="2">
        <v>60606.07</v>
      </c>
      <c r="W158" s="2">
        <v>68886.62</v>
      </c>
      <c r="X158" s="2">
        <v>67645.88</v>
      </c>
      <c r="Y158" s="2">
        <v>60200.19</v>
      </c>
      <c r="Z158" s="2">
        <v>59971.35</v>
      </c>
      <c r="AA158" s="2">
        <v>56741.19</v>
      </c>
      <c r="AB158" s="2">
        <v>62667.47</v>
      </c>
      <c r="AC158" s="2">
        <v>58515.27</v>
      </c>
      <c r="AD158" s="2">
        <v>75881.16</v>
      </c>
      <c r="AE158" s="2">
        <v>72610.45</v>
      </c>
      <c r="AF158" s="3">
        <v>75321.197339999999</v>
      </c>
      <c r="AG158" s="2">
        <v>82504.5</v>
      </c>
      <c r="AH158" s="2">
        <v>55968.33</v>
      </c>
      <c r="AI158" s="24">
        <f>SUM(E158:AH158)</f>
        <v>1939672.7573399998</v>
      </c>
      <c r="AJ158" s="26">
        <v>1720913.7417863728</v>
      </c>
      <c r="AK158" s="33">
        <f>$AJ158/$AI158*E158</f>
        <v>56211.544118623191</v>
      </c>
      <c r="AL158" s="33">
        <f>$AJ158/$AI158*F158</f>
        <v>53762.536881834385</v>
      </c>
      <c r="AM158" s="33">
        <f>$AJ158/$AI158*G158</f>
        <v>53014.105890232713</v>
      </c>
      <c r="AN158" s="33">
        <f>$AJ158/$AI158*H158</f>
        <v>56901.613870935231</v>
      </c>
      <c r="AO158" s="33">
        <f>$AJ158/$AI158*I158</f>
        <v>69945.652506491722</v>
      </c>
      <c r="AP158" s="33">
        <f>$AJ158/$AI158*J158</f>
        <v>72628.13131699698</v>
      </c>
      <c r="AQ158" s="33">
        <f>$AJ158/$AI158*K158</f>
        <v>53959.508282483403</v>
      </c>
      <c r="AR158" s="33">
        <f>$AJ158/$AI158*L158</f>
        <v>49689.032394523791</v>
      </c>
      <c r="AS158" s="33">
        <f>$AJ158/$AI158*M158</f>
        <v>53437.832619821296</v>
      </c>
      <c r="AT158" s="33">
        <f>$AJ158/$AI158*N158</f>
        <v>51018.93758220382</v>
      </c>
      <c r="AU158" s="33">
        <f>$AJ158/$AI158*O158</f>
        <v>58339.848449269943</v>
      </c>
      <c r="AV158" s="33">
        <f>$AJ158/$AI158*P158</f>
        <v>60196.761483378126</v>
      </c>
      <c r="AW158" s="33">
        <f>$AJ158/$AI158*Q158</f>
        <v>68310.384422206233</v>
      </c>
      <c r="AX158" s="33">
        <f>$AJ158/$AI158*R158</f>
        <v>48532.152577568362</v>
      </c>
      <c r="AY158" s="33">
        <f>$AJ158/$AI158*S158</f>
        <v>54323.809110466325</v>
      </c>
      <c r="AZ158" s="33">
        <f>$AJ158/$AI158*T158</f>
        <v>51388.446383349263</v>
      </c>
      <c r="BA158" s="33">
        <f>$AJ158/$AI158*U158</f>
        <v>48446.039140574561</v>
      </c>
      <c r="BB158" s="33">
        <f>$AJ158/$AI158*V158</f>
        <v>53770.832375713348</v>
      </c>
      <c r="BC158" s="33">
        <f>$AJ158/$AI158*W158</f>
        <v>61117.490326455125</v>
      </c>
      <c r="BD158" s="33">
        <f>$AJ158/$AI158*X158</f>
        <v>60016.682724809907</v>
      </c>
      <c r="BE158" s="33">
        <f>$AJ158/$AI158*Y158</f>
        <v>53410.728091692712</v>
      </c>
      <c r="BF158" s="33">
        <f>$AJ158/$AI158*Z158</f>
        <v>53207.696988028365</v>
      </c>
      <c r="BG158" s="33">
        <f>$AJ158/$AI158*AA158</f>
        <v>50341.838965775249</v>
      </c>
      <c r="BH158" s="33">
        <f>$AJ158/$AI158*AB158</f>
        <v>55599.744790910299</v>
      </c>
      <c r="BI158" s="33">
        <f>$AJ158/$AI158*AC158</f>
        <v>51915.835733773987</v>
      </c>
      <c r="BJ158" s="33">
        <f>$AJ158/$AI158*AD158</f>
        <v>67323.176289679977</v>
      </c>
      <c r="BK158" s="33">
        <f>$AJ158/$AI158*AE158</f>
        <v>64421.341553331455</v>
      </c>
      <c r="BL158" s="33">
        <f>$AJ158/$AI158*AF158</f>
        <v>66826.367004281346</v>
      </c>
      <c r="BM158" s="33">
        <f>$AJ158/$AI158*AG158</f>
        <v>73199.526709817044</v>
      </c>
      <c r="BN158" s="33">
        <f>$AJ158/$AI158*AH158</f>
        <v>49656.143201144849</v>
      </c>
    </row>
    <row r="159" spans="1:66" x14ac:dyDescent="0.25">
      <c r="A159" s="4" t="s">
        <v>21</v>
      </c>
      <c r="B159" s="4">
        <v>13</v>
      </c>
      <c r="C159" s="4" t="s">
        <v>2</v>
      </c>
      <c r="D159" s="4" t="str">
        <f>A159&amp;C159</f>
        <v>RONGAI EXPRESSDELI</v>
      </c>
      <c r="E159" s="2">
        <v>58377.13</v>
      </c>
      <c r="F159" s="2">
        <v>52272.87</v>
      </c>
      <c r="G159" s="2">
        <v>55218.44</v>
      </c>
      <c r="H159" s="2">
        <v>57690.45</v>
      </c>
      <c r="I159" s="2">
        <v>74742.53</v>
      </c>
      <c r="J159" s="2">
        <v>95405.68</v>
      </c>
      <c r="K159" s="2">
        <v>58705.36</v>
      </c>
      <c r="L159" s="2">
        <v>47076.38</v>
      </c>
      <c r="M159" s="2">
        <v>54761.97</v>
      </c>
      <c r="N159" s="2">
        <v>46996.26</v>
      </c>
      <c r="O159" s="2">
        <v>58879.39</v>
      </c>
      <c r="P159" s="2">
        <v>62675.29</v>
      </c>
      <c r="Q159" s="2">
        <v>73139.240000000005</v>
      </c>
      <c r="R159" s="2">
        <v>55560.77</v>
      </c>
      <c r="S159" s="2">
        <v>44796.06</v>
      </c>
      <c r="T159" s="2">
        <v>46200.11</v>
      </c>
      <c r="U159" s="2">
        <v>44055.82</v>
      </c>
      <c r="V159" s="2">
        <v>56438.65</v>
      </c>
      <c r="W159" s="2">
        <v>61439.65</v>
      </c>
      <c r="X159" s="2">
        <v>65186.1</v>
      </c>
      <c r="Y159" s="2">
        <v>58896.76</v>
      </c>
      <c r="Z159" s="2">
        <v>44854.400000000001</v>
      </c>
      <c r="AA159" s="2">
        <v>56576.06</v>
      </c>
      <c r="AB159" s="2">
        <v>49855.49</v>
      </c>
      <c r="AC159" s="2">
        <v>54907.5</v>
      </c>
      <c r="AD159" s="2">
        <v>64045.42</v>
      </c>
      <c r="AE159" s="2">
        <v>77286.789999999994</v>
      </c>
      <c r="AF159" s="3">
        <v>78710.722680000006</v>
      </c>
      <c r="AG159" s="2">
        <v>87432.95</v>
      </c>
      <c r="AH159" s="2">
        <v>54436.4</v>
      </c>
      <c r="AI159" s="24">
        <f>SUM(E159:AH159)</f>
        <v>1796620.6426799998</v>
      </c>
      <c r="AJ159" s="26">
        <v>1284498.5901448687</v>
      </c>
      <c r="AK159" s="33">
        <f>$AJ159/$AI159*E159</f>
        <v>41736.880563639126</v>
      </c>
      <c r="AL159" s="33">
        <f>$AJ159/$AI159*F159</f>
        <v>37372.62403802028</v>
      </c>
      <c r="AM159" s="33">
        <f>$AJ159/$AI159*G159</f>
        <v>39478.566952340298</v>
      </c>
      <c r="AN159" s="33">
        <f>$AJ159/$AI159*H159</f>
        <v>41245.936915922292</v>
      </c>
      <c r="AO159" s="33">
        <f>$AJ159/$AI159*I159</f>
        <v>53437.36575666214</v>
      </c>
      <c r="AP159" s="33">
        <f>$AJ159/$AI159*J159</f>
        <v>68210.538463483448</v>
      </c>
      <c r="AQ159" s="33">
        <f>$AJ159/$AI159*K159</f>
        <v>41971.549453791886</v>
      </c>
      <c r="AR159" s="33">
        <f>$AJ159/$AI159*L159</f>
        <v>33657.380029276697</v>
      </c>
      <c r="AS159" s="33">
        <f>$AJ159/$AI159*M159</f>
        <v>39152.212541445406</v>
      </c>
      <c r="AT159" s="33">
        <f>$AJ159/$AI159*N159</f>
        <v>33600.098027390712</v>
      </c>
      <c r="AU159" s="33">
        <f>$AJ159/$AI159*O159</f>
        <v>42095.972653844539</v>
      </c>
      <c r="AV159" s="33">
        <f>$AJ159/$AI159*P159</f>
        <v>44809.861208001246</v>
      </c>
      <c r="AW159" s="33">
        <f>$AJ159/$AI159*Q159</f>
        <v>52291.089411133049</v>
      </c>
      <c r="AX159" s="33">
        <f>$AJ159/$AI159*R159</f>
        <v>39723.31667407808</v>
      </c>
      <c r="AY159" s="33">
        <f>$AJ159/$AI159*S159</f>
        <v>32027.059328569459</v>
      </c>
      <c r="AZ159" s="33">
        <f>$AJ159/$AI159*T159</f>
        <v>33030.888519133943</v>
      </c>
      <c r="BA159" s="33">
        <f>$AJ159/$AI159*U159</f>
        <v>31497.822819881414</v>
      </c>
      <c r="BB159" s="33">
        <f>$AJ159/$AI159*V159</f>
        <v>40350.959257898277</v>
      </c>
      <c r="BC159" s="33">
        <f>$AJ159/$AI159*W159</f>
        <v>43926.437183907306</v>
      </c>
      <c r="BD159" s="33">
        <f>$AJ159/$AI159*X159</f>
        <v>46604.971332256937</v>
      </c>
      <c r="BE159" s="33">
        <f>$AJ159/$AI159*Y159</f>
        <v>42108.391380414185</v>
      </c>
      <c r="BF159" s="33">
        <f>$AJ159/$AI159*Z159</f>
        <v>32068.769662943261</v>
      </c>
      <c r="BG159" s="33">
        <f>$AJ159/$AI159*AA159</f>
        <v>40449.200893933652</v>
      </c>
      <c r="BH159" s="33">
        <f>$AJ159/$AI159*AB159</f>
        <v>35644.311934685808</v>
      </c>
      <c r="BI159" s="33">
        <f>$AJ159/$AI159*AC159</f>
        <v>39256.259592549606</v>
      </c>
      <c r="BJ159" s="33">
        <f>$AJ159/$AI159*AD159</f>
        <v>45789.439206554081</v>
      </c>
      <c r="BK159" s="33">
        <f>$AJ159/$AI159*AE159</f>
        <v>55256.391045209974</v>
      </c>
      <c r="BL159" s="33">
        <f>$AJ159/$AI159*AF159</f>
        <v>56274.435409429716</v>
      </c>
      <c r="BM159" s="33">
        <f>$AJ159/$AI159*AG159</f>
        <v>62510.414463277506</v>
      </c>
      <c r="BN159" s="33">
        <f>$AJ159/$AI159*AH159</f>
        <v>38919.445425194506</v>
      </c>
    </row>
    <row r="160" spans="1:66" x14ac:dyDescent="0.25">
      <c r="A160" s="4" t="s">
        <v>22</v>
      </c>
      <c r="B160" s="4">
        <v>14</v>
      </c>
      <c r="C160" s="4" t="s">
        <v>2</v>
      </c>
      <c r="D160" s="4" t="str">
        <f>A160&amp;C160</f>
        <v>UTAWALA MAINDELI</v>
      </c>
      <c r="E160" s="2">
        <v>73570.66</v>
      </c>
      <c r="F160" s="2">
        <v>63156.07</v>
      </c>
      <c r="G160" s="2">
        <v>62570.75</v>
      </c>
      <c r="H160" s="2">
        <v>74316.08</v>
      </c>
      <c r="I160" s="2">
        <v>88103.85</v>
      </c>
      <c r="J160" s="2">
        <v>97416.63</v>
      </c>
      <c r="K160" s="2">
        <v>69058.39</v>
      </c>
      <c r="L160" s="2">
        <v>77064.03</v>
      </c>
      <c r="M160" s="2">
        <v>74923.19</v>
      </c>
      <c r="N160" s="2">
        <v>65711.78</v>
      </c>
      <c r="O160" s="2">
        <v>80018.47</v>
      </c>
      <c r="P160" s="2">
        <v>77289.070000000007</v>
      </c>
      <c r="Q160" s="2">
        <v>99607.98</v>
      </c>
      <c r="R160" s="2">
        <v>71708.83</v>
      </c>
      <c r="S160" s="2">
        <v>67055.38</v>
      </c>
      <c r="T160" s="2">
        <v>69198.880000000005</v>
      </c>
      <c r="U160" s="2">
        <v>63073.39</v>
      </c>
      <c r="V160" s="2">
        <v>67811.3</v>
      </c>
      <c r="W160" s="2">
        <v>87414.73</v>
      </c>
      <c r="X160" s="2">
        <v>85401.09</v>
      </c>
      <c r="Y160" s="2">
        <v>80245.320000000007</v>
      </c>
      <c r="Z160" s="2">
        <v>78144.289999999994</v>
      </c>
      <c r="AA160" s="2">
        <v>70610.039999999994</v>
      </c>
      <c r="AB160" s="2">
        <v>64464.639999999999</v>
      </c>
      <c r="AC160" s="2">
        <v>69211.38</v>
      </c>
      <c r="AD160" s="2">
        <v>82008.22</v>
      </c>
      <c r="AE160" s="2">
        <v>89389</v>
      </c>
      <c r="AF160" s="3">
        <v>85765.167019999993</v>
      </c>
      <c r="AG160" s="2">
        <v>95341.04</v>
      </c>
      <c r="AH160" s="2">
        <v>81624.92</v>
      </c>
      <c r="AI160" s="24">
        <f>SUM(E160:AH160)</f>
        <v>2311274.56702</v>
      </c>
      <c r="AJ160" s="26">
        <v>1732409.9140846892</v>
      </c>
      <c r="AK160" s="33">
        <f>$AJ160/$AI160*E160</f>
        <v>55144.699201222596</v>
      </c>
      <c r="AL160" s="33">
        <f>$AJ160/$AI160*F160</f>
        <v>47338.470021627618</v>
      </c>
      <c r="AM160" s="33">
        <f>$AJ160/$AI160*G160</f>
        <v>46899.744919304765</v>
      </c>
      <c r="AN160" s="33">
        <f>$AJ160/$AI160*H160</f>
        <v>55703.426847251263</v>
      </c>
      <c r="AO160" s="33">
        <f>$AJ160/$AI160*I160</f>
        <v>66038.014430204043</v>
      </c>
      <c r="AP160" s="33">
        <f>$AJ160/$AI160*J160</f>
        <v>73018.384754830215</v>
      </c>
      <c r="AQ160" s="33">
        <f>$AJ160/$AI160*K160</f>
        <v>51762.538814667671</v>
      </c>
      <c r="AR160" s="33">
        <f>$AJ160/$AI160*L160</f>
        <v>57763.145710314326</v>
      </c>
      <c r="AS160" s="33">
        <f>$AJ160/$AI160*M160</f>
        <v>56158.484588095969</v>
      </c>
      <c r="AT160" s="33">
        <f>$AJ160/$AI160*N160</f>
        <v>49254.095886551986</v>
      </c>
      <c r="AU160" s="33">
        <f>$AJ160/$AI160*O160</f>
        <v>59977.638622408092</v>
      </c>
      <c r="AV160" s="33">
        <f>$AJ160/$AI160*P160</f>
        <v>57931.823864190388</v>
      </c>
      <c r="AW160" s="33">
        <f>$AJ160/$AI160*Q160</f>
        <v>74660.90551778923</v>
      </c>
      <c r="AX160" s="33">
        <f>$AJ160/$AI160*R160</f>
        <v>53749.169307732278</v>
      </c>
      <c r="AY160" s="33">
        <f>$AJ160/$AI160*S160</f>
        <v>50261.187814866382</v>
      </c>
      <c r="AZ160" s="33">
        <f>$AJ160/$AI160*T160</f>
        <v>51867.842733251251</v>
      </c>
      <c r="BA160" s="33">
        <f>$AJ160/$AI160*U160</f>
        <v>47276.497440031133</v>
      </c>
      <c r="BB160" s="33">
        <f>$AJ160/$AI160*V160</f>
        <v>50827.785708920725</v>
      </c>
      <c r="BC160" s="33">
        <f>$AJ160/$AI160*W160</f>
        <v>65521.486304541628</v>
      </c>
      <c r="BD160" s="33">
        <f>$AJ160/$AI160*X160</f>
        <v>64012.167615548628</v>
      </c>
      <c r="BE160" s="33">
        <f>$AJ160/$AI160*Y160</f>
        <v>60147.673457134297</v>
      </c>
      <c r="BF160" s="33">
        <f>$AJ160/$AI160*Z160</f>
        <v>58572.851818144707</v>
      </c>
      <c r="BG160" s="33">
        <f>$AJ160/$AI160*AA160</f>
        <v>52925.574086005137</v>
      </c>
      <c r="BH160" s="33">
        <f>$AJ160/$AI160*AB160</f>
        <v>48319.305303433488</v>
      </c>
      <c r="BI160" s="33">
        <f>$AJ160/$AI160*AC160</f>
        <v>51877.21207613896</v>
      </c>
      <c r="BJ160" s="33">
        <f>$AJ160/$AI160*AD160</f>
        <v>61469.050623274095</v>
      </c>
      <c r="BK160" s="33">
        <f>$AJ160/$AI160*AE160</f>
        <v>67001.29531117549</v>
      </c>
      <c r="BL160" s="33">
        <f>$AJ160/$AI160*AF160</f>
        <v>64285.060610581932</v>
      </c>
      <c r="BM160" s="33">
        <f>$AJ160/$AI160*AG160</f>
        <v>71462.631602485708</v>
      </c>
      <c r="BN160" s="33">
        <f>$AJ160/$AI160*AH160</f>
        <v>61181.749092965292</v>
      </c>
    </row>
    <row r="161" spans="1:66" x14ac:dyDescent="0.25">
      <c r="A161" s="4" t="s">
        <v>23</v>
      </c>
      <c r="B161" s="4">
        <v>15</v>
      </c>
      <c r="C161" s="4" t="s">
        <v>2</v>
      </c>
      <c r="D161" s="4" t="str">
        <f>A161&amp;C161</f>
        <v>KONDELEDELI</v>
      </c>
      <c r="E161" s="2">
        <v>44965.1</v>
      </c>
      <c r="F161" s="2">
        <v>43564.76</v>
      </c>
      <c r="G161" s="2">
        <v>46583.58</v>
      </c>
      <c r="H161" s="2">
        <v>40644.959999999999</v>
      </c>
      <c r="I161" s="2">
        <v>48462.54</v>
      </c>
      <c r="J161" s="2">
        <v>55058.8</v>
      </c>
      <c r="K161" s="2">
        <v>43089.25</v>
      </c>
      <c r="L161" s="2">
        <v>37652.449999999997</v>
      </c>
      <c r="M161" s="2">
        <v>38017.440000000002</v>
      </c>
      <c r="N161" s="2">
        <v>44413.24</v>
      </c>
      <c r="O161" s="2">
        <v>46807.09</v>
      </c>
      <c r="P161" s="2">
        <v>46451.1</v>
      </c>
      <c r="Q161" s="2">
        <v>52557.68</v>
      </c>
      <c r="R161" s="2">
        <v>46251.1</v>
      </c>
      <c r="S161" s="2">
        <v>37305.97</v>
      </c>
      <c r="T161" s="2">
        <v>41054.589999999997</v>
      </c>
      <c r="U161" s="2">
        <v>45052.92</v>
      </c>
      <c r="V161" s="2">
        <v>39612.86</v>
      </c>
      <c r="W161" s="2">
        <v>53353.279999999999</v>
      </c>
      <c r="X161" s="2">
        <v>59571.73</v>
      </c>
      <c r="Y161" s="2">
        <v>41313.46</v>
      </c>
      <c r="Z161" s="2">
        <v>35809.19</v>
      </c>
      <c r="AA161" s="2">
        <v>40627.279999999999</v>
      </c>
      <c r="AB161" s="2">
        <v>38146.9</v>
      </c>
      <c r="AC161" s="2">
        <v>37483.72</v>
      </c>
      <c r="AD161" s="2">
        <v>46515.9</v>
      </c>
      <c r="AE161" s="2">
        <v>48874.35</v>
      </c>
      <c r="AF161" s="3">
        <v>48253.392310000003</v>
      </c>
      <c r="AG161" s="2">
        <v>67256.94</v>
      </c>
      <c r="AH161" s="2">
        <v>46964.39</v>
      </c>
      <c r="AI161" s="24">
        <f>SUM(E161:AH161)</f>
        <v>1361715.9623099996</v>
      </c>
      <c r="AJ161" s="26">
        <v>703969.19485529</v>
      </c>
      <c r="AK161" s="33">
        <f>$AJ161/$AI161*E161</f>
        <v>23245.703303565624</v>
      </c>
      <c r="AL161" s="33">
        <f>$AJ161/$AI161*F161</f>
        <v>22521.766557864736</v>
      </c>
      <c r="AM161" s="33">
        <f>$AJ161/$AI161*G161</f>
        <v>24082.412348641803</v>
      </c>
      <c r="AN161" s="33">
        <f>$AJ161/$AI161*H161</f>
        <v>21012.311346917777</v>
      </c>
      <c r="AO161" s="33">
        <f>$AJ161/$AI161*I161</f>
        <v>25053.782292871165</v>
      </c>
      <c r="AP161" s="33">
        <f>$AJ161/$AI161*J161</f>
        <v>28463.864842963965</v>
      </c>
      <c r="AQ161" s="33">
        <f>$AJ161/$AI161*K161</f>
        <v>22275.94114264541</v>
      </c>
      <c r="AR161" s="33">
        <f>$AJ161/$AI161*L161</f>
        <v>19465.267092752809</v>
      </c>
      <c r="AS161" s="33">
        <f>$AJ161/$AI161*M161</f>
        <v>19653.956748703058</v>
      </c>
      <c r="AT161" s="33">
        <f>$AJ161/$AI161*N161</f>
        <v>22960.407066592819</v>
      </c>
      <c r="AU161" s="33">
        <f>$AJ161/$AI161*O161</f>
        <v>24197.960788329023</v>
      </c>
      <c r="AV161" s="33">
        <f>$AJ161/$AI161*P161</f>
        <v>24013.923881504925</v>
      </c>
      <c r="AW161" s="33">
        <f>$AJ161/$AI161*Q161</f>
        <v>27170.855521365345</v>
      </c>
      <c r="AX161" s="33">
        <f>$AJ161/$AI161*R161</f>
        <v>23910.529456479446</v>
      </c>
      <c r="AY161" s="33">
        <f>$AJ161/$AI161*S161</f>
        <v>19286.146590838674</v>
      </c>
      <c r="AZ161" s="33">
        <f>$AJ161/$AI161*T161</f>
        <v>21224.078638533709</v>
      </c>
      <c r="BA161" s="33">
        <f>$AJ161/$AI161*U161</f>
        <v>23291.10379559431</v>
      </c>
      <c r="BB161" s="33">
        <f>$AJ161/$AI161*V161</f>
        <v>20478.744416573802</v>
      </c>
      <c r="BC161" s="33">
        <f>$AJ161/$AI161*W161</f>
        <v>27582.158544116697</v>
      </c>
      <c r="BD161" s="33">
        <f>$AJ161/$AI161*X161</f>
        <v>30796.923855615121</v>
      </c>
      <c r="BE161" s="33">
        <f>$AJ161/$AI161*Y161</f>
        <v>21357.907212565438</v>
      </c>
      <c r="BF161" s="33">
        <f>$AJ161/$AI161*Z161</f>
        <v>18512.3530533905</v>
      </c>
      <c r="BG161" s="33">
        <f>$AJ161/$AI161*AA161</f>
        <v>21003.171279745526</v>
      </c>
      <c r="BH161" s="33">
        <f>$AJ161/$AI161*AB161</f>
        <v>19720.883960022053</v>
      </c>
      <c r="BI161" s="33">
        <f>$AJ161/$AI161*AC161</f>
        <v>19378.038386080068</v>
      </c>
      <c r="BJ161" s="33">
        <f>$AJ161/$AI161*AD161</f>
        <v>24047.42367521318</v>
      </c>
      <c r="BK161" s="33">
        <f>$AJ161/$AI161*AE161</f>
        <v>25266.676583719873</v>
      </c>
      <c r="BL161" s="33">
        <f>$AJ161/$AI161*AF161</f>
        <v>24945.658767106383</v>
      </c>
      <c r="BM161" s="33">
        <f>$AJ161/$AI161*AG161</f>
        <v>34769.96320136539</v>
      </c>
      <c r="BN161" s="33">
        <f>$AJ161/$AI161*AH161</f>
        <v>24279.280503611564</v>
      </c>
    </row>
    <row r="162" spans="1:66" x14ac:dyDescent="0.25">
      <c r="A162" s="4" t="s">
        <v>24</v>
      </c>
      <c r="B162" s="4">
        <v>16</v>
      </c>
      <c r="C162" s="4" t="s">
        <v>2</v>
      </c>
      <c r="D162" s="4" t="str">
        <f>A162&amp;C162</f>
        <v>NYALENDADELI</v>
      </c>
      <c r="E162" s="2">
        <v>22524.48</v>
      </c>
      <c r="F162" s="2">
        <v>22570.02</v>
      </c>
      <c r="G162" s="2">
        <v>34706.980000000003</v>
      </c>
      <c r="H162" s="2">
        <v>60754.73</v>
      </c>
      <c r="I162" s="2">
        <v>24801.21</v>
      </c>
      <c r="J162" s="2">
        <v>24233.18</v>
      </c>
      <c r="K162" s="2">
        <v>23011.94</v>
      </c>
      <c r="L162" s="2">
        <v>21489.47</v>
      </c>
      <c r="M162" s="2">
        <v>22035.439999999999</v>
      </c>
      <c r="N162" s="2">
        <v>20457.57</v>
      </c>
      <c r="O162" s="2">
        <v>55595.72</v>
      </c>
      <c r="P162" s="2">
        <v>22989.41</v>
      </c>
      <c r="Q162" s="2">
        <v>28126.66</v>
      </c>
      <c r="R162" s="2">
        <v>18886.48</v>
      </c>
      <c r="S162" s="2">
        <v>21879.82</v>
      </c>
      <c r="T162" s="2">
        <v>20746.419999999998</v>
      </c>
      <c r="U162" s="2">
        <v>57688.59</v>
      </c>
      <c r="V162" s="2">
        <v>20868.59</v>
      </c>
      <c r="W162" s="2">
        <v>26667.32</v>
      </c>
      <c r="X162" s="2">
        <v>25178.58</v>
      </c>
      <c r="Y162" s="2">
        <v>21766.16</v>
      </c>
      <c r="Z162" s="2">
        <v>56987.519999999997</v>
      </c>
      <c r="AA162" s="2">
        <v>24519.57</v>
      </c>
      <c r="AB162" s="2">
        <v>20627.62</v>
      </c>
      <c r="AC162" s="2">
        <v>21416.14</v>
      </c>
      <c r="AD162" s="2">
        <v>22567.3</v>
      </c>
      <c r="AE162" s="2">
        <v>27396.3</v>
      </c>
      <c r="AF162" s="3">
        <v>24345.025819999999</v>
      </c>
      <c r="AG162" s="2">
        <v>22228.09</v>
      </c>
      <c r="AH162" s="2">
        <v>22701.55</v>
      </c>
      <c r="AI162" s="24">
        <f>SUM(E162:AH162)</f>
        <v>839767.88581999997</v>
      </c>
      <c r="AJ162" s="26">
        <v>819856.19350869826</v>
      </c>
      <c r="AK162" s="33">
        <f>$AJ162/$AI162*E162</f>
        <v>21990.403235687769</v>
      </c>
      <c r="AL162" s="33">
        <f>$AJ162/$AI162*F162</f>
        <v>22034.86343913545</v>
      </c>
      <c r="AM162" s="33">
        <f>$AJ162/$AI162*G162</f>
        <v>33884.044616921266</v>
      </c>
      <c r="AN162" s="33">
        <f>$AJ162/$AI162*H162</f>
        <v>59314.177782365536</v>
      </c>
      <c r="AO162" s="33">
        <f>$AJ162/$AI162*I162</f>
        <v>24213.149810027659</v>
      </c>
      <c r="AP162" s="33">
        <f>$AJ162/$AI162*J162</f>
        <v>23658.588339575614</v>
      </c>
      <c r="AQ162" s="33">
        <f>$AJ162/$AI162*K162</f>
        <v>22466.305097185497</v>
      </c>
      <c r="AR162" s="33">
        <f>$AJ162/$AI162*L162</f>
        <v>20979.934303531769</v>
      </c>
      <c r="AS162" s="33">
        <f>$AJ162/$AI162*M162</f>
        <v>21512.9588374872</v>
      </c>
      <c r="AT162" s="33">
        <f>$AJ162/$AI162*N162</f>
        <v>19972.501630328825</v>
      </c>
      <c r="AU162" s="33">
        <f>$AJ162/$AI162*O162</f>
        <v>54277.49279798651</v>
      </c>
      <c r="AV162" s="33">
        <f>$AJ162/$AI162*P162</f>
        <v>22444.309304834238</v>
      </c>
      <c r="AW162" s="33">
        <f>$AJ162/$AI162*Q162</f>
        <v>27459.750239432375</v>
      </c>
      <c r="AX162" s="33">
        <f>$AJ162/$AI162*R162</f>
        <v>18438.663662945928</v>
      </c>
      <c r="AY162" s="33">
        <f>$AJ162/$AI162*S162</f>
        <v>21361.028735147978</v>
      </c>
      <c r="AZ162" s="33">
        <f>$AJ162/$AI162*T162</f>
        <v>20254.502723123347</v>
      </c>
      <c r="BA162" s="33">
        <f>$AJ162/$AI162*U162</f>
        <v>56320.738867146545</v>
      </c>
      <c r="BB162" s="33">
        <f>$AJ162/$AI162*V162</f>
        <v>20373.775956658774</v>
      </c>
      <c r="BC162" s="33">
        <f>$AJ162/$AI162*W162</f>
        <v>26035.012573658576</v>
      </c>
      <c r="BD162" s="33">
        <f>$AJ162/$AI162*X162</f>
        <v>24581.572009743326</v>
      </c>
      <c r="BE162" s="33">
        <f>$AJ162/$AI162*Y162</f>
        <v>21250.06372144874</v>
      </c>
      <c r="BF162" s="33">
        <f>$AJ162/$AI162*Z162</f>
        <v>55636.291901159151</v>
      </c>
      <c r="BG162" s="33">
        <f>$AJ162/$AI162*AA162</f>
        <v>23938.18776130116</v>
      </c>
      <c r="BH162" s="33">
        <f>$AJ162/$AI162*AB162</f>
        <v>20138.519583694615</v>
      </c>
      <c r="BI162" s="33">
        <f>$AJ162/$AI162*AC162</f>
        <v>20908.343027317045</v>
      </c>
      <c r="BJ162" s="33">
        <f>$AJ162/$AI162*AD162</f>
        <v>22032.207932912839</v>
      </c>
      <c r="BK162" s="33">
        <f>$AJ162/$AI162*AE162</f>
        <v>26746.707767099299</v>
      </c>
      <c r="BL162" s="33">
        <f>$AJ162/$AI162*AF162</f>
        <v>23767.782189201716</v>
      </c>
      <c r="BM162" s="33">
        <f>$AJ162/$AI162*AG162</f>
        <v>21701.040923437919</v>
      </c>
      <c r="BN162" s="33">
        <f>$AJ162/$AI162*AH162</f>
        <v>22163.27473820162</v>
      </c>
    </row>
    <row r="163" spans="1:66" x14ac:dyDescent="0.25">
      <c r="A163" s="4" t="s">
        <v>25</v>
      </c>
      <c r="B163" s="4">
        <v>17</v>
      </c>
      <c r="C163" s="4" t="s">
        <v>2</v>
      </c>
      <c r="D163" s="4" t="str">
        <f>A163&amp;C163</f>
        <v>MAYFAIRDELI</v>
      </c>
      <c r="E163" s="2">
        <v>44872.800000000003</v>
      </c>
      <c r="F163" s="2">
        <v>51171.29</v>
      </c>
      <c r="G163" s="2">
        <v>40802.44</v>
      </c>
      <c r="H163" s="2">
        <v>55876.53</v>
      </c>
      <c r="I163" s="2">
        <v>41823.339999999997</v>
      </c>
      <c r="J163" s="2">
        <v>39224.75</v>
      </c>
      <c r="K163" s="2">
        <v>40686.85</v>
      </c>
      <c r="L163" s="2">
        <v>37918.65</v>
      </c>
      <c r="M163" s="2">
        <v>37872.800000000003</v>
      </c>
      <c r="N163" s="2">
        <v>37269.82</v>
      </c>
      <c r="O163" s="2">
        <v>47141.34</v>
      </c>
      <c r="P163" s="2">
        <v>42376.7</v>
      </c>
      <c r="Q163" s="2">
        <v>39992.25</v>
      </c>
      <c r="R163" s="2">
        <v>54757.56</v>
      </c>
      <c r="S163" s="2">
        <v>43537.78</v>
      </c>
      <c r="T163" s="2">
        <v>45787.16</v>
      </c>
      <c r="U163" s="2">
        <v>41185.96</v>
      </c>
      <c r="V163" s="2">
        <v>47967.93</v>
      </c>
      <c r="W163" s="2">
        <v>40195.589999999997</v>
      </c>
      <c r="X163" s="2">
        <v>46341.77</v>
      </c>
      <c r="Y163" s="2">
        <v>47108.17</v>
      </c>
      <c r="Z163" s="2">
        <v>51115.83</v>
      </c>
      <c r="AA163" s="2">
        <v>47816.38</v>
      </c>
      <c r="AB163" s="2">
        <v>42007.12</v>
      </c>
      <c r="AC163" s="2">
        <v>47957.97</v>
      </c>
      <c r="AD163" s="2">
        <v>37807.629999999997</v>
      </c>
      <c r="AE163" s="2">
        <v>41370.53</v>
      </c>
      <c r="AF163" s="3">
        <v>47579.427600000003</v>
      </c>
      <c r="AG163" s="2">
        <v>40650.660000000003</v>
      </c>
      <c r="AH163" s="2">
        <v>44098.75</v>
      </c>
      <c r="AI163" s="24">
        <f>SUM(E163:AH163)</f>
        <v>1324315.7776000001</v>
      </c>
      <c r="AJ163" s="26">
        <v>989890.57602250599</v>
      </c>
      <c r="AK163" s="33">
        <f>$AJ163/$AI163*E163</f>
        <v>33541.216219776245</v>
      </c>
      <c r="AL163" s="33">
        <f>$AJ163/$AI163*F163</f>
        <v>38249.168809053008</v>
      </c>
      <c r="AM163" s="33">
        <f>$AJ163/$AI163*G163</f>
        <v>30498.731131876033</v>
      </c>
      <c r="AN163" s="33">
        <f>$AJ163/$AI163*H163</f>
        <v>41766.209693640994</v>
      </c>
      <c r="AO163" s="33">
        <f>$AJ163/$AI163*I163</f>
        <v>31261.826540202892</v>
      </c>
      <c r="AP163" s="33">
        <f>$AJ163/$AI163*J163</f>
        <v>29319.450110460413</v>
      </c>
      <c r="AQ163" s="33">
        <f>$AJ163/$AI163*K163</f>
        <v>30412.330702599411</v>
      </c>
      <c r="AR163" s="33">
        <f>$AJ163/$AI163*L163</f>
        <v>28343.175340340214</v>
      </c>
      <c r="AS163" s="33">
        <f>$AJ163/$AI163*M163</f>
        <v>28308.903693291741</v>
      </c>
      <c r="AT163" s="33">
        <f>$AJ163/$AI163*N163</f>
        <v>27858.192292260363</v>
      </c>
      <c r="AU163" s="33">
        <f>$AJ163/$AI163*O163</f>
        <v>35236.889113894969</v>
      </c>
      <c r="AV163" s="33">
        <f>$AJ163/$AI163*P163</f>
        <v>31675.448320153671</v>
      </c>
      <c r="AW163" s="33">
        <f>$AJ163/$AI163*Q163</f>
        <v>29893.135805328537</v>
      </c>
      <c r="AX163" s="33">
        <f>$AJ163/$AI163*R163</f>
        <v>40929.809586818083</v>
      </c>
      <c r="AY163" s="33">
        <f>$AJ163/$AI163*S163</f>
        <v>32543.324524189477</v>
      </c>
      <c r="AZ163" s="33">
        <f>$AJ163/$AI163*T163</f>
        <v>34224.675831450011</v>
      </c>
      <c r="BA163" s="33">
        <f>$AJ163/$AI163*U163</f>
        <v>30785.402060469936</v>
      </c>
      <c r="BB163" s="33">
        <f>$AJ163/$AI163*V163</f>
        <v>35854.743001218805</v>
      </c>
      <c r="BC163" s="33">
        <f>$AJ163/$AI163*W163</f>
        <v>30045.127009490727</v>
      </c>
      <c r="BD163" s="33">
        <f>$AJ163/$AI163*X163</f>
        <v>34639.231952923372</v>
      </c>
      <c r="BE163" s="33">
        <f>$AJ163/$AI163*Y163</f>
        <v>35212.095427251617</v>
      </c>
      <c r="BF163" s="33">
        <f>$AJ163/$AI163*Z163</f>
        <v>38207.713944378891</v>
      </c>
      <c r="BG163" s="33">
        <f>$AJ163/$AI163*AA163</f>
        <v>35741.463435020414</v>
      </c>
      <c r="BH163" s="33">
        <f>$AJ163/$AI163*AB163</f>
        <v>31399.197168219656</v>
      </c>
      <c r="BI163" s="33">
        <f>$AJ163/$AI163*AC163</f>
        <v>35847.298167966837</v>
      </c>
      <c r="BJ163" s="33">
        <f>$AJ163/$AI163*AD163</f>
        <v>28260.190863670166</v>
      </c>
      <c r="BK163" s="33">
        <f>$AJ163/$AI163*AE163</f>
        <v>30923.363192328972</v>
      </c>
      <c r="BL163" s="33">
        <f>$AJ163/$AI163*AF163</f>
        <v>35564.347862063194</v>
      </c>
      <c r="BM163" s="33">
        <f>$AJ163/$AI163*AG163</f>
        <v>30385.279646837491</v>
      </c>
      <c r="BN163" s="33">
        <f>$AJ163/$AI163*AH163</f>
        <v>32962.634575329765</v>
      </c>
    </row>
    <row r="164" spans="1:66" x14ac:dyDescent="0.25">
      <c r="A164" s="4" t="s">
        <v>80</v>
      </c>
      <c r="B164" s="4">
        <v>18</v>
      </c>
      <c r="C164" s="4" t="s">
        <v>2</v>
      </c>
      <c r="D164" s="4" t="str">
        <f>A164&amp;C164</f>
        <v>WAIYAKI WAYDELI</v>
      </c>
      <c r="E164" s="2">
        <v>72703.740000000005</v>
      </c>
      <c r="F164" s="2">
        <v>57571.45</v>
      </c>
      <c r="G164" s="2">
        <v>74462.17</v>
      </c>
      <c r="H164" s="2">
        <v>64499.43</v>
      </c>
      <c r="I164" s="2">
        <v>50494.22</v>
      </c>
      <c r="J164" s="2">
        <v>48802.62</v>
      </c>
      <c r="K164" s="2">
        <v>67849.64</v>
      </c>
      <c r="L164" s="2">
        <v>65315.54</v>
      </c>
      <c r="M164" s="2">
        <v>61308.75</v>
      </c>
      <c r="N164" s="2">
        <v>63404.1</v>
      </c>
      <c r="O164" s="2">
        <v>61009.68</v>
      </c>
      <c r="P164" s="2">
        <v>50424.49</v>
      </c>
      <c r="Q164" s="2">
        <v>54410.76</v>
      </c>
      <c r="R164" s="2">
        <v>60200.06</v>
      </c>
      <c r="S164" s="2">
        <v>54961.2</v>
      </c>
      <c r="T164" s="2">
        <v>65349.22</v>
      </c>
      <c r="U164" s="2">
        <v>59487.3</v>
      </c>
      <c r="V164" s="2">
        <v>62083.61</v>
      </c>
      <c r="W164" s="2">
        <v>46302.94</v>
      </c>
      <c r="X164" s="2">
        <v>52224.77</v>
      </c>
      <c r="Y164" s="2">
        <v>65828.83</v>
      </c>
      <c r="Z164" s="2">
        <v>69282.17</v>
      </c>
      <c r="AA164" s="2">
        <v>67010.490000000005</v>
      </c>
      <c r="AB164" s="2">
        <v>63244.57</v>
      </c>
      <c r="AC164" s="2">
        <v>66320.899999999994</v>
      </c>
      <c r="AD164" s="2">
        <v>59287.83</v>
      </c>
      <c r="AE164" s="2">
        <v>52569.73</v>
      </c>
      <c r="AF164" s="3">
        <v>56007.460039999998</v>
      </c>
      <c r="AG164" s="2">
        <v>50972.6</v>
      </c>
      <c r="AH164" s="2">
        <v>60571.21</v>
      </c>
      <c r="AI164" s="24">
        <f>SUM(E164:AH164)</f>
        <v>1803961.4800400003</v>
      </c>
      <c r="AJ164" s="26">
        <v>1822572.2276590343</v>
      </c>
      <c r="AK164" s="33">
        <f>$AJ164/$AI164*E164</f>
        <v>73453.795348227213</v>
      </c>
      <c r="AL164" s="33">
        <f>$AJ164/$AI164*F164</f>
        <v>58165.391576839029</v>
      </c>
      <c r="AM164" s="33">
        <f>$AJ164/$AI164*G164</f>
        <v>75230.366365814232</v>
      </c>
      <c r="AN164" s="33">
        <f>$AJ164/$AI164*H164</f>
        <v>65164.844769984411</v>
      </c>
      <c r="AO164" s="33">
        <f>$AJ164/$AI164*I164</f>
        <v>51015.148631258322</v>
      </c>
      <c r="AP164" s="33">
        <f>$AJ164/$AI164*J164</f>
        <v>49306.097071997945</v>
      </c>
      <c r="AQ164" s="33">
        <f>$AJ164/$AI164*K164</f>
        <v>68549.617543896515</v>
      </c>
      <c r="AR164" s="33">
        <f>$AJ164/$AI164*L164</f>
        <v>65989.374249783403</v>
      </c>
      <c r="AS164" s="33">
        <f>$AJ164/$AI164*M164</f>
        <v>61941.247803147744</v>
      </c>
      <c r="AT164" s="33">
        <f>$AJ164/$AI164*N164</f>
        <v>64058.214689347922</v>
      </c>
      <c r="AU164" s="33">
        <f>$AJ164/$AI164*O164</f>
        <v>61639.092417815511</v>
      </c>
      <c r="AV164" s="33">
        <f>$AJ164/$AI164*P164</f>
        <v>50944.699254793893</v>
      </c>
      <c r="AW164" s="33">
        <f>$AJ164/$AI164*Q164</f>
        <v>54972.094004813327</v>
      </c>
      <c r="AX164" s="33">
        <f>$AJ164/$AI164*R164</f>
        <v>60821.119892745526</v>
      </c>
      <c r="AY164" s="33">
        <f>$AJ164/$AI164*S164</f>
        <v>55528.212673694434</v>
      </c>
      <c r="AZ164" s="33">
        <f>$AJ164/$AI164*T164</f>
        <v>66023.401712845531</v>
      </c>
      <c r="BA164" s="33">
        <f>$AJ164/$AI164*U164</f>
        <v>60101.006633477125</v>
      </c>
      <c r="BB164" s="33">
        <f>$AJ164/$AI164*V164</f>
        <v>62724.101723228436</v>
      </c>
      <c r="BC164" s="33">
        <f>$AJ164/$AI164*W164</f>
        <v>46780.628875230403</v>
      </c>
      <c r="BD164" s="33">
        <f>$AJ164/$AI164*X164</f>
        <v>52763.552022058771</v>
      </c>
      <c r="BE164" s="33">
        <f>$AJ164/$AI164*Y164</f>
        <v>66507.959657003055</v>
      </c>
      <c r="BF164" s="33">
        <f>$AJ164/$AI164*Z164</f>
        <v>69996.926381793921</v>
      </c>
      <c r="BG164" s="33">
        <f>$AJ164/$AI164*AA164</f>
        <v>67701.810369651212</v>
      </c>
      <c r="BH164" s="33">
        <f>$AJ164/$AI164*AB164</f>
        <v>63897.038882272493</v>
      </c>
      <c r="BI164" s="33">
        <f>$AJ164/$AI164*AC164</f>
        <v>67005.106145987011</v>
      </c>
      <c r="BJ164" s="33">
        <f>$AJ164/$AI164*AD164</f>
        <v>59899.478781428377</v>
      </c>
      <c r="BK164" s="33">
        <f>$AJ164/$AI164*AE164</f>
        <v>53112.070836129758</v>
      </c>
      <c r="BL164" s="33">
        <f>$AJ164/$AI164*AF164</f>
        <v>56585.266559219279</v>
      </c>
      <c r="BM164" s="33">
        <f>$AJ164/$AI164*AG164</f>
        <v>51498.46388599879</v>
      </c>
      <c r="BN164" s="33">
        <f>$AJ164/$AI164*AH164</f>
        <v>61196.098898550379</v>
      </c>
    </row>
    <row r="165" spans="1:66" x14ac:dyDescent="0.25">
      <c r="A165" s="4" t="s">
        <v>12</v>
      </c>
      <c r="B165" s="4">
        <v>19</v>
      </c>
      <c r="C165" s="4" t="s">
        <v>2</v>
      </c>
      <c r="D165" s="4" t="str">
        <f>A165&amp;C165</f>
        <v>JIPANGEDELI</v>
      </c>
      <c r="E165" s="2">
        <v>103886.86</v>
      </c>
      <c r="F165" s="2">
        <v>113317.16</v>
      </c>
      <c r="G165" s="2">
        <v>120835.9</v>
      </c>
      <c r="H165" s="2">
        <v>151720.51</v>
      </c>
      <c r="I165" s="2">
        <v>161628.07999999999</v>
      </c>
      <c r="J165" s="2">
        <v>155648.29</v>
      </c>
      <c r="K165" s="2">
        <v>127155.8</v>
      </c>
      <c r="L165" s="2">
        <v>102205.98</v>
      </c>
      <c r="M165" s="2">
        <v>120893.64</v>
      </c>
      <c r="N165" s="2">
        <v>107902.76</v>
      </c>
      <c r="O165" s="2">
        <v>130891.85</v>
      </c>
      <c r="P165" s="2">
        <v>147505.22</v>
      </c>
      <c r="Q165" s="2">
        <v>153899.73000000001</v>
      </c>
      <c r="R165" s="2">
        <v>115822.24</v>
      </c>
      <c r="S165" s="2">
        <v>112378.12</v>
      </c>
      <c r="T165" s="2">
        <v>111405.13</v>
      </c>
      <c r="U165" s="2">
        <v>121386.64</v>
      </c>
      <c r="V165" s="2">
        <v>172268.29</v>
      </c>
      <c r="W165" s="2">
        <v>163244.53</v>
      </c>
      <c r="X165" s="2">
        <v>171176.63</v>
      </c>
      <c r="Y165" s="2">
        <v>116758.91</v>
      </c>
      <c r="Z165" s="2">
        <v>105770.03</v>
      </c>
      <c r="AA165" s="2">
        <v>130872.17</v>
      </c>
      <c r="AB165" s="2">
        <v>113821.43</v>
      </c>
      <c r="AC165" s="2">
        <v>143547.66</v>
      </c>
      <c r="AD165" s="2">
        <v>129880.9</v>
      </c>
      <c r="AE165" s="2">
        <v>161152.73000000001</v>
      </c>
      <c r="AF165" s="3">
        <v>147470.413</v>
      </c>
      <c r="AG165" s="2">
        <v>180529.24</v>
      </c>
      <c r="AH165" s="2">
        <v>114957.86</v>
      </c>
      <c r="AI165" s="24">
        <f>SUM(E165:AH165)</f>
        <v>4009934.7030000002</v>
      </c>
      <c r="AJ165" s="26">
        <v>3413665.5543773924</v>
      </c>
      <c r="AK165" s="33">
        <f>$AJ165/$AI165*E165</f>
        <v>88439.094848379769</v>
      </c>
      <c r="AL165" s="33">
        <f>$AJ165/$AI165*F165</f>
        <v>96467.128385524658</v>
      </c>
      <c r="AM165" s="33">
        <f>$AJ165/$AI165*G165</f>
        <v>102867.84701346573</v>
      </c>
      <c r="AN165" s="33">
        <f>$AJ165/$AI165*H165</f>
        <v>129159.97821413171</v>
      </c>
      <c r="AO165" s="33">
        <f>$AJ165/$AI165*I165</f>
        <v>137594.31267131871</v>
      </c>
      <c r="AP165" s="33">
        <f>$AJ165/$AI165*J165</f>
        <v>132503.70530303949</v>
      </c>
      <c r="AQ165" s="33">
        <f>$AJ165/$AI165*K165</f>
        <v>108247.9907152994</v>
      </c>
      <c r="AR165" s="33">
        <f>$AJ165/$AI165*L165</f>
        <v>87008.158291545289</v>
      </c>
      <c r="AS165" s="33">
        <f>$AJ165/$AI165*M165</f>
        <v>102917.00119270019</v>
      </c>
      <c r="AT165" s="33">
        <f>$AJ165/$AI165*N165</f>
        <v>91857.838672205107</v>
      </c>
      <c r="AU165" s="33">
        <f>$AJ165/$AI165*O165</f>
        <v>111428.49766592134</v>
      </c>
      <c r="AV165" s="33">
        <f>$AJ165/$AI165*P165</f>
        <v>125571.49327846779</v>
      </c>
      <c r="AW165" s="33">
        <f>$AJ165/$AI165*Q165</f>
        <v>131015.15262478852</v>
      </c>
      <c r="AX165" s="33">
        <f>$AJ165/$AI165*R165</f>
        <v>98599.708075802904</v>
      </c>
      <c r="AY165" s="33">
        <f>$AJ165/$AI165*S165</f>
        <v>95667.721726911404</v>
      </c>
      <c r="AZ165" s="33">
        <f>$AJ165/$AI165*T165</f>
        <v>94839.41336436657</v>
      </c>
      <c r="BA165" s="33">
        <f>$AJ165/$AI165*U165</f>
        <v>103336.69309368027</v>
      </c>
      <c r="BB165" s="33">
        <f>$AJ165/$AI165*V165</f>
        <v>146652.3450480474</v>
      </c>
      <c r="BC165" s="33">
        <f>$AJ165/$AI165*W165</f>
        <v>138970.39983833543</v>
      </c>
      <c r="BD165" s="33">
        <f>$AJ165/$AI165*X165</f>
        <v>145723.01267355669</v>
      </c>
      <c r="BE165" s="33">
        <f>$AJ165/$AI165*Y165</f>
        <v>99397.097148604138</v>
      </c>
      <c r="BF165" s="33">
        <f>$AJ165/$AI165*Z165</f>
        <v>90042.241292940933</v>
      </c>
      <c r="BG165" s="33">
        <f>$AJ165/$AI165*AA165</f>
        <v>111411.74404196335</v>
      </c>
      <c r="BH165" s="33">
        <f>$AJ165/$AI165*AB165</f>
        <v>96896.414460387168</v>
      </c>
      <c r="BI165" s="33">
        <f>$AJ165/$AI165*AC165</f>
        <v>122202.41441509515</v>
      </c>
      <c r="BJ165" s="33">
        <f>$AJ165/$AI165*AD165</f>
        <v>110567.87387830306</v>
      </c>
      <c r="BK165" s="33">
        <f>$AJ165/$AI165*AE165</f>
        <v>137189.64625117494</v>
      </c>
      <c r="BL165" s="33">
        <f>$AJ165/$AI165*AF165</f>
        <v>125541.86200869616</v>
      </c>
      <c r="BM165" s="33">
        <f>$AJ165/$AI165*AG165</f>
        <v>153684.90855596092</v>
      </c>
      <c r="BN165" s="33">
        <f>$AJ165/$AI165*AH165</f>
        <v>97863.859626778227</v>
      </c>
    </row>
    <row r="166" spans="1:66" x14ac:dyDescent="0.25">
      <c r="A166" s="4" t="s">
        <v>68</v>
      </c>
      <c r="B166" s="4">
        <v>20</v>
      </c>
      <c r="C166" s="4" t="s">
        <v>2</v>
      </c>
      <c r="D166" s="4" t="str">
        <f>A166&amp;C166</f>
        <v>RONGAI MAINDELI</v>
      </c>
      <c r="E166" s="2">
        <v>47243.78</v>
      </c>
      <c r="F166" s="2">
        <v>49149.95</v>
      </c>
      <c r="G166" s="2">
        <v>45224.31</v>
      </c>
      <c r="H166" s="2">
        <v>41588.519999999997</v>
      </c>
      <c r="I166" s="2">
        <v>53090.96</v>
      </c>
      <c r="J166" s="2">
        <v>53853.94</v>
      </c>
      <c r="K166" s="2">
        <v>36230.04</v>
      </c>
      <c r="L166" s="2">
        <v>39416.54</v>
      </c>
      <c r="M166" s="2">
        <v>38575.4</v>
      </c>
      <c r="N166" s="2">
        <v>39887.42</v>
      </c>
      <c r="O166" s="2">
        <v>41971.95</v>
      </c>
      <c r="P166" s="2">
        <v>50435.14</v>
      </c>
      <c r="Q166" s="2">
        <v>62648.93</v>
      </c>
      <c r="R166" s="2">
        <v>37518.26</v>
      </c>
      <c r="S166" s="2">
        <v>37084.26</v>
      </c>
      <c r="T166" s="2">
        <v>41943.64</v>
      </c>
      <c r="U166" s="2">
        <v>42011.33</v>
      </c>
      <c r="V166" s="2">
        <v>41308.67</v>
      </c>
      <c r="W166" s="2">
        <v>53666.37</v>
      </c>
      <c r="X166" s="2">
        <v>56683.77</v>
      </c>
      <c r="Y166" s="2">
        <v>45175.09</v>
      </c>
      <c r="Z166" s="2">
        <v>56046.720000000001</v>
      </c>
      <c r="AA166" s="2">
        <v>52166.61</v>
      </c>
      <c r="AB166" s="2">
        <v>43696.49</v>
      </c>
      <c r="AC166" s="2">
        <v>46687.63</v>
      </c>
      <c r="AD166" s="2">
        <v>54606.99</v>
      </c>
      <c r="AE166" s="2">
        <v>63419.81</v>
      </c>
      <c r="AF166" s="3">
        <v>60000.079890000001</v>
      </c>
      <c r="AG166" s="2">
        <v>66303.44</v>
      </c>
      <c r="AH166" s="2">
        <v>44700.75</v>
      </c>
      <c r="AI166" s="24">
        <f>SUM(E166:AH166)</f>
        <v>1442336.7898899999</v>
      </c>
      <c r="AJ166" s="26">
        <v>1154641.4909345401</v>
      </c>
      <c r="AK166" s="33">
        <f>$AJ166/$AI166*E166</f>
        <v>37820.312813863427</v>
      </c>
      <c r="AL166" s="33">
        <f>$AJ166/$AI166*F166</f>
        <v>39346.269155129979</v>
      </c>
      <c r="AM166" s="33">
        <f>$AJ166/$AI166*G166</f>
        <v>36203.65582498123</v>
      </c>
      <c r="AN166" s="33">
        <f>$AJ166/$AI166*H166</f>
        <v>33293.077646742393</v>
      </c>
      <c r="AO166" s="33">
        <f>$AJ166/$AI166*I166</f>
        <v>42501.186712585455</v>
      </c>
      <c r="AP166" s="33">
        <f>$AJ166/$AI166*J166</f>
        <v>43111.979123157209</v>
      </c>
      <c r="AQ166" s="33">
        <f>$AJ166/$AI166*K166</f>
        <v>29003.425341045626</v>
      </c>
      <c r="AR166" s="33">
        <f>$AJ166/$AI166*L166</f>
        <v>31554.331021780228</v>
      </c>
      <c r="AS166" s="33">
        <f>$AJ166/$AI166*M166</f>
        <v>30880.968773453504</v>
      </c>
      <c r="AT166" s="33">
        <f>$AJ166/$AI166*N166</f>
        <v>31931.28707605429</v>
      </c>
      <c r="AU166" s="33">
        <f>$AJ166/$AI166*O166</f>
        <v>33600.02689047817</v>
      </c>
      <c r="AV166" s="33">
        <f>$AJ166/$AI166*P166</f>
        <v>40375.109096075626</v>
      </c>
      <c r="AW166" s="33">
        <f>$AJ166/$AI166*Q166</f>
        <v>50152.678935805576</v>
      </c>
      <c r="AX166" s="33">
        <f>$AJ166/$AI166*R166</f>
        <v>30034.690903900148</v>
      </c>
      <c r="AY166" s="33">
        <f>$AJ166/$AI166*S166</f>
        <v>29687.258590879963</v>
      </c>
      <c r="AZ166" s="33">
        <f>$AJ166/$AI166*T166</f>
        <v>33577.363736603518</v>
      </c>
      <c r="BA166" s="33">
        <f>$AJ166/$AI166*U166</f>
        <v>33631.551969940701</v>
      </c>
      <c r="BB166" s="33">
        <f>$AJ166/$AI166*V166</f>
        <v>33069.047847667047</v>
      </c>
      <c r="BC166" s="33">
        <f>$AJ166/$AI166*W166</f>
        <v>42961.82272003925</v>
      </c>
      <c r="BD166" s="33">
        <f>$AJ166/$AI166*X166</f>
        <v>45377.357884341327</v>
      </c>
      <c r="BE166" s="33">
        <f>$AJ166/$AI166*Y166</f>
        <v>36164.25347832949</v>
      </c>
      <c r="BF166" s="33">
        <f>$AJ166/$AI166*Z166</f>
        <v>44867.376882015276</v>
      </c>
      <c r="BG166" s="33">
        <f>$AJ166/$AI166*AA166</f>
        <v>41761.211923322306</v>
      </c>
      <c r="BH166" s="33">
        <f>$AJ166/$AI166*AB166</f>
        <v>34980.582008210498</v>
      </c>
      <c r="BI166" s="33">
        <f>$AJ166/$AI166*AC166</f>
        <v>37375.095115969008</v>
      </c>
      <c r="BJ166" s="33">
        <f>$AJ166/$AI166*AD166</f>
        <v>43714.822218364236</v>
      </c>
      <c r="BK166" s="33">
        <f>$AJ166/$AI166*AE166</f>
        <v>50769.79557511663</v>
      </c>
      <c r="BL166" s="33">
        <f>$AJ166/$AI166*AF166</f>
        <v>48032.180962162558</v>
      </c>
      <c r="BM166" s="33">
        <f>$AJ166/$AI166*AG166</f>
        <v>53078.243134550728</v>
      </c>
      <c r="BN166" s="33">
        <f>$AJ166/$AI166*AH166</f>
        <v>35784.527571974671</v>
      </c>
    </row>
    <row r="167" spans="1:66" x14ac:dyDescent="0.25">
      <c r="A167" s="4" t="s">
        <v>13</v>
      </c>
      <c r="B167" s="4">
        <v>21</v>
      </c>
      <c r="C167" s="4" t="s">
        <v>2</v>
      </c>
      <c r="D167" s="4" t="str">
        <f>A167&amp;C167</f>
        <v>CHAKADELI</v>
      </c>
      <c r="E167" s="2">
        <v>106691.64</v>
      </c>
      <c r="F167" s="2">
        <v>99306.07</v>
      </c>
      <c r="G167" s="2">
        <v>107349.15</v>
      </c>
      <c r="H167" s="2">
        <v>95101.35</v>
      </c>
      <c r="I167" s="2">
        <v>86404.69</v>
      </c>
      <c r="J167" s="2">
        <v>83396.649999999994</v>
      </c>
      <c r="K167" s="2">
        <v>104451.36</v>
      </c>
      <c r="L167" s="2">
        <v>86886.07</v>
      </c>
      <c r="M167" s="2">
        <v>87065.63</v>
      </c>
      <c r="N167" s="2">
        <v>107611.22</v>
      </c>
      <c r="O167" s="2">
        <v>169685.36</v>
      </c>
      <c r="P167" s="2">
        <v>82008.89</v>
      </c>
      <c r="Q167" s="2">
        <v>79233.39</v>
      </c>
      <c r="R167" s="2">
        <v>116416.55</v>
      </c>
      <c r="S167" s="2">
        <v>96041.86</v>
      </c>
      <c r="T167" s="2">
        <v>111923.85</v>
      </c>
      <c r="U167" s="2">
        <v>98672.68</v>
      </c>
      <c r="V167" s="2">
        <v>105045.65</v>
      </c>
      <c r="W167" s="2">
        <v>80915.210000000006</v>
      </c>
      <c r="X167" s="2">
        <v>73740.59</v>
      </c>
      <c r="Y167" s="2">
        <v>104040.71</v>
      </c>
      <c r="Z167" s="2">
        <v>100409.62</v>
      </c>
      <c r="AA167" s="2">
        <v>101722.65</v>
      </c>
      <c r="AB167" s="2">
        <v>108798.32</v>
      </c>
      <c r="AC167" s="2">
        <v>108604.06</v>
      </c>
      <c r="AD167" s="2">
        <v>85968.07</v>
      </c>
      <c r="AE167" s="2">
        <v>77256.039999999994</v>
      </c>
      <c r="AF167" s="3">
        <v>77726.268679999994</v>
      </c>
      <c r="AG167" s="2">
        <v>81869.45</v>
      </c>
      <c r="AH167" s="2">
        <v>113377.92</v>
      </c>
      <c r="AI167" s="24">
        <f>SUM(E167:AH167)</f>
        <v>2937720.9686799999</v>
      </c>
      <c r="AJ167" s="26">
        <v>2395653.9559272984</v>
      </c>
      <c r="AK167" s="33">
        <f>$AJ167/$AI167*E167</f>
        <v>87004.944361757312</v>
      </c>
      <c r="AL167" s="33">
        <f>$AJ167/$AI167*F167</f>
        <v>80982.156569481711</v>
      </c>
      <c r="AM167" s="33">
        <f>$AJ167/$AI167*G167</f>
        <v>87541.130898652773</v>
      </c>
      <c r="AN167" s="33">
        <f>$AJ167/$AI167*H167</f>
        <v>77553.289699905348</v>
      </c>
      <c r="AO167" s="33">
        <f>$AJ167/$AI167*I167</f>
        <v>70461.333671924891</v>
      </c>
      <c r="AP167" s="33">
        <f>$AJ167/$AI167*J167</f>
        <v>68008.335922167345</v>
      </c>
      <c r="AQ167" s="33">
        <f>$AJ167/$AI167*K167</f>
        <v>85178.039866196472</v>
      </c>
      <c r="AR167" s="33">
        <f>$AJ167/$AI167*L167</f>
        <v>70853.88964085425</v>
      </c>
      <c r="AS167" s="33">
        <f>$AJ167/$AI167*M167</f>
        <v>71000.317306691955</v>
      </c>
      <c r="AT167" s="33">
        <f>$AJ167/$AI167*N167</f>
        <v>87754.843854690262</v>
      </c>
      <c r="AU167" s="33">
        <f>$AJ167/$AI167*O167</f>
        <v>138375.09017393264</v>
      </c>
      <c r="AV167" s="33">
        <f>$AJ167/$AI167*P167</f>
        <v>66876.644801968316</v>
      </c>
      <c r="AW167" s="33">
        <f>$AJ167/$AI167*Q167</f>
        <v>64613.278871178823</v>
      </c>
      <c r="AX167" s="33">
        <f>$AJ167/$AI167*R167</f>
        <v>94935.418140894049</v>
      </c>
      <c r="AY167" s="33">
        <f>$AJ167/$AI167*S167</f>
        <v>78320.257198218009</v>
      </c>
      <c r="AZ167" s="33">
        <f>$AJ167/$AI167*T167</f>
        <v>91271.709217363896</v>
      </c>
      <c r="BA167" s="33">
        <f>$AJ167/$AI167*U167</f>
        <v>80465.639420534571</v>
      </c>
      <c r="BB167" s="33">
        <f>$AJ167/$AI167*V167</f>
        <v>85662.671730368296</v>
      </c>
      <c r="BC167" s="33">
        <f>$AJ167/$AI167*W167</f>
        <v>65984.770166340197</v>
      </c>
      <c r="BD167" s="33">
        <f>$AJ167/$AI167*X167</f>
        <v>60134.007970569735</v>
      </c>
      <c r="BE167" s="33">
        <f>$AJ167/$AI167*Y167</f>
        <v>84843.162828012835</v>
      </c>
      <c r="BF167" s="33">
        <f>$AJ167/$AI167*Z167</f>
        <v>81882.079996944405</v>
      </c>
      <c r="BG167" s="33">
        <f>$AJ167/$AI167*AA167</f>
        <v>82952.830264681572</v>
      </c>
      <c r="BH167" s="33">
        <f>$AJ167/$AI167*AB167</f>
        <v>88722.900671998927</v>
      </c>
      <c r="BI167" s="33">
        <f>$AJ167/$AI167*AC167</f>
        <v>88564.485443854384</v>
      </c>
      <c r="BJ167" s="33">
        <f>$AJ167/$AI167*AD167</f>
        <v>70105.278606999185</v>
      </c>
      <c r="BK167" s="33">
        <f>$AJ167/$AI167*AE167</f>
        <v>63000.788644824432</v>
      </c>
      <c r="BL167" s="33">
        <f>$AJ167/$AI167*AF167</f>
        <v>63384.250930535876</v>
      </c>
      <c r="BM167" s="33">
        <f>$AJ167/$AI167*AG167</f>
        <v>66762.934210943538</v>
      </c>
      <c r="BN167" s="33">
        <f>$AJ167/$AI167*AH167</f>
        <v>92457.474844812314</v>
      </c>
    </row>
    <row r="168" spans="1:66" x14ac:dyDescent="0.25">
      <c r="A168" s="4" t="s">
        <v>14</v>
      </c>
      <c r="B168" s="4">
        <v>22</v>
      </c>
      <c r="C168" s="4" t="s">
        <v>2</v>
      </c>
      <c r="D168" s="4" t="str">
        <f>A168&amp;C168</f>
        <v>EBP 2DELI</v>
      </c>
      <c r="E168" s="2">
        <v>66001.78</v>
      </c>
      <c r="F168" s="2">
        <v>59506.11</v>
      </c>
      <c r="G168" s="2">
        <v>59216.69</v>
      </c>
      <c r="H168" s="2">
        <v>65203.27</v>
      </c>
      <c r="I168" s="2">
        <v>82346.83</v>
      </c>
      <c r="J168" s="2">
        <v>72332.070000000007</v>
      </c>
      <c r="K168" s="2">
        <v>57316.88</v>
      </c>
      <c r="L168" s="2">
        <v>57391.1</v>
      </c>
      <c r="M168" s="2">
        <v>57724.14</v>
      </c>
      <c r="N168" s="2">
        <v>54278.97</v>
      </c>
      <c r="O168" s="2">
        <v>59943.24</v>
      </c>
      <c r="P168" s="2">
        <v>56167.47</v>
      </c>
      <c r="Q168" s="2">
        <v>57806.21</v>
      </c>
      <c r="R168" s="2">
        <v>53747.78</v>
      </c>
      <c r="S168" s="2">
        <v>51198.52</v>
      </c>
      <c r="T168" s="2">
        <v>57565.34</v>
      </c>
      <c r="U168" s="2">
        <v>54051.45</v>
      </c>
      <c r="V168" s="2">
        <v>50125.94</v>
      </c>
      <c r="W168" s="2">
        <v>56049.89</v>
      </c>
      <c r="X168" s="2">
        <v>58612.2</v>
      </c>
      <c r="Y168" s="2">
        <v>58489.74</v>
      </c>
      <c r="Z168" s="2">
        <v>69263.3</v>
      </c>
      <c r="AA168" s="2">
        <v>62492.27</v>
      </c>
      <c r="AB168" s="2">
        <v>50093.59</v>
      </c>
      <c r="AC168" s="2">
        <v>53239.34</v>
      </c>
      <c r="AD168" s="2">
        <v>68901.259999999995</v>
      </c>
      <c r="AE168" s="2">
        <v>63044.99</v>
      </c>
      <c r="AF168" s="3">
        <v>78123.852639999997</v>
      </c>
      <c r="AG168" s="2">
        <v>76380.42</v>
      </c>
      <c r="AH168" s="2">
        <v>61887.58</v>
      </c>
      <c r="AI168" s="24">
        <f>SUM(E168:AH168)</f>
        <v>1828502.2226399998</v>
      </c>
      <c r="AJ168" s="26">
        <v>1408000.4742446982</v>
      </c>
      <c r="AK168" s="33">
        <f>$AJ168/$AI168*E168</f>
        <v>50823.311227273603</v>
      </c>
      <c r="AL168" s="33">
        <f>$AJ168/$AI168*F168</f>
        <v>45821.454337358446</v>
      </c>
      <c r="AM168" s="33">
        <f>$AJ168/$AI168*G168</f>
        <v>45598.592427643322</v>
      </c>
      <c r="AN168" s="33">
        <f>$AJ168/$AI168*H168</f>
        <v>50208.435048963103</v>
      </c>
      <c r="AO168" s="33">
        <f>$AJ168/$AI168*I168</f>
        <v>63409.480315067121</v>
      </c>
      <c r="AP168" s="33">
        <f>$AJ168/$AI168*J168</f>
        <v>55697.820654578412</v>
      </c>
      <c r="AQ168" s="33">
        <f>$AJ168/$AI168*K168</f>
        <v>44135.682868193762</v>
      </c>
      <c r="AR168" s="33">
        <f>$AJ168/$AI168*L168</f>
        <v>44192.834450458489</v>
      </c>
      <c r="AS168" s="33">
        <f>$AJ168/$AI168*M168</f>
        <v>44449.285042717231</v>
      </c>
      <c r="AT168" s="33">
        <f>$AJ168/$AI168*N168</f>
        <v>41796.402845587603</v>
      </c>
      <c r="AU168" s="33">
        <f>$AJ168/$AI168*O168</f>
        <v>46158.057290139084</v>
      </c>
      <c r="AV168" s="33">
        <f>$AJ168/$AI168*P168</f>
        <v>43250.603372493184</v>
      </c>
      <c r="AW168" s="33">
        <f>$AJ168/$AI168*Q168</f>
        <v>44512.481355792763</v>
      </c>
      <c r="AX168" s="33">
        <f>$AJ168/$AI168*R168</f>
        <v>41387.370927193653</v>
      </c>
      <c r="AY168" s="33">
        <f>$AJ168/$AI168*S168</f>
        <v>39424.365772192687</v>
      </c>
      <c r="AZ168" s="33">
        <f>$AJ168/$AI168*T168</f>
        <v>44327.004373576317</v>
      </c>
      <c r="BA168" s="33">
        <f>$AJ168/$AI168*U168</f>
        <v>41621.205755896546</v>
      </c>
      <c r="BB168" s="33">
        <f>$AJ168/$AI168*V168</f>
        <v>38598.44763549776</v>
      </c>
      <c r="BC168" s="33">
        <f>$AJ168/$AI168*W168</f>
        <v>43160.063315329535</v>
      </c>
      <c r="BD168" s="33">
        <f>$AJ168/$AI168*X168</f>
        <v>45133.117354035086</v>
      </c>
      <c r="BE168" s="33">
        <f>$AJ168/$AI168*Y168</f>
        <v>45038.8195533865</v>
      </c>
      <c r="BF168" s="33">
        <f>$AJ168/$AI168*Z168</f>
        <v>53334.777524606456</v>
      </c>
      <c r="BG168" s="33">
        <f>$AJ168/$AI168*AA168</f>
        <v>48120.88533837744</v>
      </c>
      <c r="BH168" s="33">
        <f>$AJ168/$AI168*AB168</f>
        <v>38573.537184322005</v>
      </c>
      <c r="BI168" s="33">
        <f>$AJ168/$AI168*AC168</f>
        <v>40995.857177710001</v>
      </c>
      <c r="BJ168" s="33">
        <f>$AJ168/$AI168*AD168</f>
        <v>53055.99607967084</v>
      </c>
      <c r="BK168" s="33">
        <f>$AJ168/$AI168*AE168</f>
        <v>48546.495989810457</v>
      </c>
      <c r="BL168" s="33">
        <f>$AJ168/$AI168*AF168</f>
        <v>60157.663581139481</v>
      </c>
      <c r="BM168" s="33">
        <f>$AJ168/$AI168*AG168</f>
        <v>58815.169186798797</v>
      </c>
      <c r="BN168" s="33">
        <f>$AJ168/$AI168*AH168</f>
        <v>47655.256258888672</v>
      </c>
    </row>
    <row r="169" spans="1:66" x14ac:dyDescent="0.25">
      <c r="A169" s="4" t="s">
        <v>15</v>
      </c>
      <c r="B169" s="4">
        <v>23</v>
      </c>
      <c r="C169" s="4" t="s">
        <v>2</v>
      </c>
      <c r="D169" s="4" t="str">
        <f>A169&amp;C169</f>
        <v>UTAWALA EXPRESSDELI</v>
      </c>
      <c r="E169" s="2">
        <v>45112.31</v>
      </c>
      <c r="F169" s="2">
        <v>57376.94</v>
      </c>
      <c r="G169" s="2">
        <v>47102.53</v>
      </c>
      <c r="H169" s="2">
        <v>51112.99</v>
      </c>
      <c r="I169" s="2">
        <v>69311.44</v>
      </c>
      <c r="J169" s="2">
        <v>75001.25</v>
      </c>
      <c r="K169" s="2">
        <v>51864.26</v>
      </c>
      <c r="L169" s="2">
        <v>49869.85</v>
      </c>
      <c r="M169" s="2">
        <v>47384.03</v>
      </c>
      <c r="N169" s="2">
        <v>48148.71</v>
      </c>
      <c r="O169" s="2">
        <v>55049.69</v>
      </c>
      <c r="P169" s="2">
        <v>57830.39</v>
      </c>
      <c r="Q169" s="2">
        <v>55260.97</v>
      </c>
      <c r="R169" s="2">
        <v>45933.37</v>
      </c>
      <c r="S169" s="2">
        <v>49728.19</v>
      </c>
      <c r="T169" s="2">
        <v>39953.870000000003</v>
      </c>
      <c r="U169" s="2">
        <v>47269.98</v>
      </c>
      <c r="V169" s="2">
        <v>46908.52</v>
      </c>
      <c r="W169" s="2">
        <v>54626.66</v>
      </c>
      <c r="X169" s="2">
        <v>58242.48</v>
      </c>
      <c r="Y169" s="2">
        <v>45817.32</v>
      </c>
      <c r="Z169" s="2">
        <v>45758.17</v>
      </c>
      <c r="AA169" s="2">
        <v>50973.5</v>
      </c>
      <c r="AB169" s="2">
        <v>52316.93</v>
      </c>
      <c r="AC169" s="2">
        <v>51322.37</v>
      </c>
      <c r="AD169" s="2">
        <v>57229.54</v>
      </c>
      <c r="AE169" s="2">
        <v>60430.77</v>
      </c>
      <c r="AF169" s="3">
        <v>61583.314689999999</v>
      </c>
      <c r="AG169" s="2">
        <v>76049.759999999995</v>
      </c>
      <c r="AH169" s="2">
        <v>56368.34</v>
      </c>
      <c r="AI169" s="24">
        <f>SUM(E169:AH169)</f>
        <v>1610938.44469</v>
      </c>
      <c r="AJ169" s="26">
        <v>978023.93605539633</v>
      </c>
      <c r="AK169" s="33">
        <f>$AJ169/$AI169*E169</f>
        <v>27388.333263870674</v>
      </c>
      <c r="AL169" s="33">
        <f>$AJ169/$AI169*F169</f>
        <v>34834.366814315472</v>
      </c>
      <c r="AM169" s="33">
        <f>$AJ169/$AI169*G169</f>
        <v>28596.624495874104</v>
      </c>
      <c r="AN169" s="33">
        <f>$AJ169/$AI169*H169</f>
        <v>31031.432534332405</v>
      </c>
      <c r="AO169" s="33">
        <f>$AJ169/$AI169*I169</f>
        <v>42079.973686090925</v>
      </c>
      <c r="AP169" s="33">
        <f>$AJ169/$AI169*J169</f>
        <v>45534.339301332177</v>
      </c>
      <c r="AQ169" s="33">
        <f>$AJ169/$AI169*K169</f>
        <v>31487.539373710577</v>
      </c>
      <c r="AR169" s="33">
        <f>$AJ169/$AI169*L169</f>
        <v>30276.70433234833</v>
      </c>
      <c r="AS169" s="33">
        <f>$AJ169/$AI169*M169</f>
        <v>28767.527201006687</v>
      </c>
      <c r="AT169" s="33">
        <f>$AJ169/$AI169*N169</f>
        <v>29231.775444561863</v>
      </c>
      <c r="AU169" s="33">
        <f>$AJ169/$AI169*O169</f>
        <v>33421.459814245136</v>
      </c>
      <c r="AV169" s="33">
        <f>$AJ169/$AI169*P169</f>
        <v>35109.662841464204</v>
      </c>
      <c r="AW169" s="33">
        <f>$AJ169/$AI169*Q169</f>
        <v>33549.73094582741</v>
      </c>
      <c r="AX169" s="33">
        <f>$AJ169/$AI169*R169</f>
        <v>27886.810617604806</v>
      </c>
      <c r="AY169" s="33">
        <f>$AJ169/$AI169*S169</f>
        <v>30190.700505673089</v>
      </c>
      <c r="AZ169" s="33">
        <f>$AJ169/$AI169*T169</f>
        <v>24256.570030250383</v>
      </c>
      <c r="BA169" s="33">
        <f>$AJ169/$AI169*U169</f>
        <v>28698.285803065763</v>
      </c>
      <c r="BB169" s="33">
        <f>$AJ169/$AI169*V169</f>
        <v>28478.838230073849</v>
      </c>
      <c r="BC169" s="33">
        <f>$AJ169/$AI169*W169</f>
        <v>33164.632207310016</v>
      </c>
      <c r="BD169" s="33">
        <f>$AJ169/$AI169*X169</f>
        <v>35359.848616803763</v>
      </c>
      <c r="BE169" s="33">
        <f>$AJ169/$AI169*Y169</f>
        <v>27816.354990852989</v>
      </c>
      <c r="BF169" s="33">
        <f>$AJ169/$AI169*Z169</f>
        <v>27780.444173770953</v>
      </c>
      <c r="BG169" s="33">
        <f>$AJ169/$AI169*AA169</f>
        <v>30946.746145916975</v>
      </c>
      <c r="BH169" s="33">
        <f>$AJ169/$AI169*AB169</f>
        <v>31762.361851623064</v>
      </c>
      <c r="BI169" s="33">
        <f>$AJ169/$AI169*AC169</f>
        <v>31158.550148544346</v>
      </c>
      <c r="BJ169" s="33">
        <f>$AJ169/$AI169*AD169</f>
        <v>34744.878150952973</v>
      </c>
      <c r="BK169" s="33">
        <f>$AJ169/$AI169*AE169</f>
        <v>36688.39099909355</v>
      </c>
      <c r="BL169" s="33">
        <f>$AJ169/$AI169*AF169</f>
        <v>37388.117483310933</v>
      </c>
      <c r="BM169" s="33">
        <f>$AJ169/$AI169*AG169</f>
        <v>46170.904826584614</v>
      </c>
      <c r="BN169" s="33">
        <f>$AJ169/$AI169*AH169</f>
        <v>34222.031224984305</v>
      </c>
    </row>
    <row r="170" spans="1:66" x14ac:dyDescent="0.25">
      <c r="A170" s="4" t="s">
        <v>18</v>
      </c>
      <c r="B170" s="4">
        <v>24</v>
      </c>
      <c r="C170" s="4" t="s">
        <v>2</v>
      </c>
      <c r="D170" s="4" t="str">
        <f>A170&amp;C170</f>
        <v>KAHAWA WESTDELI</v>
      </c>
      <c r="E170" s="2">
        <v>66915.740000000005</v>
      </c>
      <c r="F170" s="2">
        <v>60129.24</v>
      </c>
      <c r="G170" s="2">
        <v>47888.7</v>
      </c>
      <c r="H170" s="2">
        <v>62907.1</v>
      </c>
      <c r="I170" s="2">
        <v>70732.67</v>
      </c>
      <c r="J170" s="2">
        <v>89316.4</v>
      </c>
      <c r="K170" s="2">
        <v>58351.1</v>
      </c>
      <c r="L170" s="2">
        <v>43623.49</v>
      </c>
      <c r="M170" s="2">
        <v>54320.639999999999</v>
      </c>
      <c r="N170" s="2">
        <v>53376.5</v>
      </c>
      <c r="O170" s="2">
        <v>66649.61</v>
      </c>
      <c r="P170" s="2">
        <v>60380.49</v>
      </c>
      <c r="Q170" s="2">
        <v>78842.289999999994</v>
      </c>
      <c r="R170" s="2">
        <v>58025.55</v>
      </c>
      <c r="S170" s="2">
        <v>42722.98</v>
      </c>
      <c r="T170" s="2">
        <v>51165.35</v>
      </c>
      <c r="U170" s="2">
        <v>56057.86</v>
      </c>
      <c r="V170" s="2">
        <v>56499.68</v>
      </c>
      <c r="W170" s="2">
        <v>59274.45</v>
      </c>
      <c r="X170" s="2">
        <v>82061.41</v>
      </c>
      <c r="Y170" s="2">
        <v>57456.67</v>
      </c>
      <c r="Z170" s="2">
        <v>56081.77</v>
      </c>
      <c r="AA170" s="2">
        <v>53898.97</v>
      </c>
      <c r="AB170" s="2">
        <v>53176.57</v>
      </c>
      <c r="AC170" s="2">
        <v>73253.240000000005</v>
      </c>
      <c r="AD170" s="2">
        <v>70796.45</v>
      </c>
      <c r="AE170" s="2">
        <v>74236.649999999994</v>
      </c>
      <c r="AF170" s="3">
        <v>65116.964979999997</v>
      </c>
      <c r="AG170" s="2">
        <v>84642.12</v>
      </c>
      <c r="AH170" s="2">
        <v>57082.03</v>
      </c>
      <c r="AI170" s="24">
        <f>SUM(E170:AH170)</f>
        <v>1864982.6849799997</v>
      </c>
      <c r="AJ170" s="26">
        <v>1302115.0346585915</v>
      </c>
      <c r="AK170" s="33">
        <f>$AJ170/$AI170*E170</f>
        <v>46720.000035946563</v>
      </c>
      <c r="AL170" s="33">
        <f>$AJ170/$AI170*F170</f>
        <v>41981.723507226241</v>
      </c>
      <c r="AM170" s="33">
        <f>$AJ170/$AI170*G170</f>
        <v>33435.482678984554</v>
      </c>
      <c r="AN170" s="33">
        <f>$AJ170/$AI170*H170</f>
        <v>43921.201712202448</v>
      </c>
      <c r="AO170" s="33">
        <f>$AJ170/$AI170*I170</f>
        <v>49384.948069655897</v>
      </c>
      <c r="AP170" s="33">
        <f>$AJ170/$AI170*J170</f>
        <v>62359.950158372558</v>
      </c>
      <c r="AQ170" s="33">
        <f>$AJ170/$AI170*K170</f>
        <v>40740.241295956992</v>
      </c>
      <c r="AR170" s="33">
        <f>$AJ170/$AI170*L170</f>
        <v>30457.549365337876</v>
      </c>
      <c r="AS170" s="33">
        <f>$AJ170/$AI170*M170</f>
        <v>37926.208433959488</v>
      </c>
      <c r="AT170" s="33">
        <f>$AJ170/$AI170*N170</f>
        <v>37267.017923117965</v>
      </c>
      <c r="AU170" s="33">
        <f>$AJ170/$AI170*O170</f>
        <v>46534.190335425184</v>
      </c>
      <c r="AV170" s="33">
        <f>$AJ170/$AI170*P170</f>
        <v>42157.144118416247</v>
      </c>
      <c r="AW170" s="33">
        <f>$AJ170/$AI170*Q170</f>
        <v>55047.015719083567</v>
      </c>
      <c r="AX170" s="33">
        <f>$AJ170/$AI170*R170</f>
        <v>40512.945057258861</v>
      </c>
      <c r="AY170" s="33">
        <f>$AJ170/$AI170*S170</f>
        <v>29828.820949088276</v>
      </c>
      <c r="AZ170" s="33">
        <f>$AJ170/$AI170*T170</f>
        <v>35723.211815922805</v>
      </c>
      <c r="BA170" s="33">
        <f>$AJ170/$AI170*U170</f>
        <v>39139.120649567463</v>
      </c>
      <c r="BB170" s="33">
        <f>$AJ170/$AI170*V170</f>
        <v>39447.595612496691</v>
      </c>
      <c r="BC170" s="33">
        <f>$AJ170/$AI170*W170</f>
        <v>41384.916405777061</v>
      </c>
      <c r="BD170" s="33">
        <f>$AJ170/$AI170*X170</f>
        <v>57294.577899756106</v>
      </c>
      <c r="BE170" s="33">
        <f>$AJ170/$AI170*Y170</f>
        <v>40115.757883950319</v>
      </c>
      <c r="BF170" s="33">
        <f>$AJ170/$AI170*Z170</f>
        <v>39155.814408029357</v>
      </c>
      <c r="BG170" s="33">
        <f>$AJ170/$AI170*AA170</f>
        <v>37631.802029499828</v>
      </c>
      <c r="BH170" s="33">
        <f>$AJ170/$AI170*AB170</f>
        <v>37127.428499057394</v>
      </c>
      <c r="BI170" s="33">
        <f>$AJ170/$AI170*AC170</f>
        <v>51144.788586858667</v>
      </c>
      <c r="BJ170" s="33">
        <f>$AJ170/$AI170*AD170</f>
        <v>49429.478722717387</v>
      </c>
      <c r="BK170" s="33">
        <f>$AJ170/$AI170*AE170</f>
        <v>51831.397077407375</v>
      </c>
      <c r="BL170" s="33">
        <f>$AJ170/$AI170*AF170</f>
        <v>45464.110629372561</v>
      </c>
      <c r="BM170" s="33">
        <f>$AJ170/$AI170*AG170</f>
        <v>59096.407653006492</v>
      </c>
      <c r="BN170" s="33">
        <f>$AJ170/$AI170*AH170</f>
        <v>39854.187425139477</v>
      </c>
    </row>
    <row r="171" spans="1:66" x14ac:dyDescent="0.25">
      <c r="A171" s="4" t="s">
        <v>26</v>
      </c>
      <c r="B171" s="4">
        <v>25</v>
      </c>
      <c r="C171" s="4" t="s">
        <v>2</v>
      </c>
      <c r="D171" s="4" t="str">
        <f>A171&amp;C171</f>
        <v>ROYSAMBUDELI</v>
      </c>
      <c r="E171" s="2">
        <v>43724.83</v>
      </c>
      <c r="F171" s="2">
        <v>44949.35</v>
      </c>
      <c r="G171" s="2">
        <v>42210.91</v>
      </c>
      <c r="H171" s="2">
        <v>55018.05</v>
      </c>
      <c r="I171" s="2">
        <v>54259.97</v>
      </c>
      <c r="J171" s="2">
        <v>64238.79</v>
      </c>
      <c r="K171" s="2">
        <v>41616.199999999997</v>
      </c>
      <c r="L171" s="2">
        <v>49055.23</v>
      </c>
      <c r="M171" s="2">
        <v>48653.61</v>
      </c>
      <c r="N171" s="2">
        <v>43459.25</v>
      </c>
      <c r="O171" s="2">
        <v>42101.67</v>
      </c>
      <c r="P171" s="2">
        <v>48618.06</v>
      </c>
      <c r="Q171" s="2">
        <v>51713.06</v>
      </c>
      <c r="R171" s="2">
        <v>33394.5</v>
      </c>
      <c r="S171" s="2">
        <v>34394.129999999997</v>
      </c>
      <c r="T171" s="2">
        <v>40415.61</v>
      </c>
      <c r="U171" s="2">
        <v>35165.230000000003</v>
      </c>
      <c r="V171" s="2">
        <v>60955.39</v>
      </c>
      <c r="W171" s="2">
        <v>46728.480000000003</v>
      </c>
      <c r="X171" s="2">
        <v>57789.38</v>
      </c>
      <c r="Y171" s="2">
        <v>41756.65</v>
      </c>
      <c r="Z171" s="2">
        <v>40332.04</v>
      </c>
      <c r="AA171" s="2">
        <v>47414.47</v>
      </c>
      <c r="AB171" s="2">
        <v>35679.06</v>
      </c>
      <c r="AC171" s="2">
        <v>50323.42</v>
      </c>
      <c r="AD171" s="2">
        <v>46922.6</v>
      </c>
      <c r="AE171" s="2">
        <v>63055.11</v>
      </c>
      <c r="AF171" s="3">
        <v>57171.294470000001</v>
      </c>
      <c r="AG171" s="2">
        <v>66085.710000000006</v>
      </c>
      <c r="AH171" s="2">
        <v>48138.25</v>
      </c>
      <c r="AI171" s="24">
        <f>SUM(E171:AH171)</f>
        <v>1435340.3044700003</v>
      </c>
      <c r="AJ171" s="26">
        <v>1162986.0310066086</v>
      </c>
      <c r="AK171" s="33">
        <f>$AJ171/$AI171*E171</f>
        <v>35428.090704187096</v>
      </c>
      <c r="AL171" s="33">
        <f>$AJ171/$AI171*F171</f>
        <v>36420.259355936934</v>
      </c>
      <c r="AM171" s="33">
        <f>$AJ171/$AI171*G171</f>
        <v>34201.435390058192</v>
      </c>
      <c r="AN171" s="33">
        <f>$AJ171/$AI171*H171</f>
        <v>44578.434399116035</v>
      </c>
      <c r="AO171" s="33">
        <f>$AJ171/$AI171*I171</f>
        <v>43964.199260842652</v>
      </c>
      <c r="AP171" s="33">
        <f>$AJ171/$AI171*J171</f>
        <v>52049.548937005056</v>
      </c>
      <c r="AQ171" s="33">
        <f>$AJ171/$AI171*K171</f>
        <v>33719.570970626781</v>
      </c>
      <c r="AR171" s="33">
        <f>$AJ171/$AI171*L171</f>
        <v>39747.053057833728</v>
      </c>
      <c r="AS171" s="33">
        <f>$AJ171/$AI171*M171</f>
        <v>39421.640019324128</v>
      </c>
      <c r="AT171" s="33">
        <f>$AJ171/$AI171*N171</f>
        <v>35212.904222519399</v>
      </c>
      <c r="AU171" s="33">
        <f>$AJ171/$AI171*O171</f>
        <v>34112.923562144271</v>
      </c>
      <c r="AV171" s="33">
        <f>$AJ171/$AI171*P171</f>
        <v>39392.835593451367</v>
      </c>
      <c r="AW171" s="33">
        <f>$AJ171/$AI171*Q171</f>
        <v>41900.562684201846</v>
      </c>
      <c r="AX171" s="33">
        <f>$AJ171/$AI171*R171</f>
        <v>27057.929671103946</v>
      </c>
      <c r="AY171" s="33">
        <f>$AJ171/$AI171*S171</f>
        <v>27867.88095760698</v>
      </c>
      <c r="AZ171" s="33">
        <f>$AJ171/$AI171*T171</f>
        <v>32746.791627207036</v>
      </c>
      <c r="BA171" s="33">
        <f>$AJ171/$AI171*U171</f>
        <v>28492.665564934185</v>
      </c>
      <c r="BB171" s="33">
        <f>$AJ171/$AI171*V171</f>
        <v>49389.170542895168</v>
      </c>
      <c r="BC171" s="33">
        <f>$AJ171/$AI171*W171</f>
        <v>37861.801358834164</v>
      </c>
      <c r="BD171" s="33">
        <f>$AJ171/$AI171*X171</f>
        <v>46823.907522996327</v>
      </c>
      <c r="BE171" s="33">
        <f>$AJ171/$AI171*Y171</f>
        <v>33833.370734728851</v>
      </c>
      <c r="BF171" s="33">
        <f>$AJ171/$AI171*Z171</f>
        <v>32679.078944501376</v>
      </c>
      <c r="BG171" s="33">
        <f>$AJ171/$AI171*AA171</f>
        <v>38417.625496793422</v>
      </c>
      <c r="BH171" s="33">
        <f>$AJ171/$AI171*AB171</f>
        <v>28908.996877063524</v>
      </c>
      <c r="BI171" s="33">
        <f>$AJ171/$AI171*AC171</f>
        <v>40774.605374221072</v>
      </c>
      <c r="BJ171" s="33">
        <f>$AJ171/$AI171*AD171</f>
        <v>38019.087298367755</v>
      </c>
      <c r="BK171" s="33">
        <f>$AJ171/$AI171*AE171</f>
        <v>51090.470939338011</v>
      </c>
      <c r="BL171" s="33">
        <f>$AJ171/$AI171*AF171</f>
        <v>46323.103055150816</v>
      </c>
      <c r="BM171" s="33">
        <f>$AJ171/$AI171*AG171</f>
        <v>53546.017860574968</v>
      </c>
      <c r="BN171" s="33">
        <f>$AJ171/$AI171*AH171</f>
        <v>39004.069023043303</v>
      </c>
    </row>
    <row r="172" spans="1:66" x14ac:dyDescent="0.25">
      <c r="A172" s="4" t="s">
        <v>27</v>
      </c>
      <c r="B172" s="4">
        <v>26</v>
      </c>
      <c r="C172" s="4" t="s">
        <v>2</v>
      </c>
      <c r="D172" s="4" t="str">
        <f>A172&amp;C172</f>
        <v>BURUBURUDELI</v>
      </c>
      <c r="E172" s="2">
        <v>76481.69</v>
      </c>
      <c r="F172" s="2">
        <v>79466.720000000001</v>
      </c>
      <c r="G172" s="2">
        <v>72887.59</v>
      </c>
      <c r="H172" s="2">
        <v>82096.73</v>
      </c>
      <c r="I172" s="2">
        <v>96607.47</v>
      </c>
      <c r="J172" s="2">
        <v>100981.2</v>
      </c>
      <c r="K172" s="2">
        <v>73068.14</v>
      </c>
      <c r="L172" s="2">
        <v>76072.509999999995</v>
      </c>
      <c r="M172" s="2">
        <v>80610.55</v>
      </c>
      <c r="N172" s="2">
        <v>82224.070000000007</v>
      </c>
      <c r="O172" s="2">
        <v>76228.11</v>
      </c>
      <c r="P172" s="2">
        <v>85616.3</v>
      </c>
      <c r="Q172" s="2">
        <v>100569.13</v>
      </c>
      <c r="R172" s="2">
        <v>67981.210000000006</v>
      </c>
      <c r="S172" s="2">
        <v>75968.27</v>
      </c>
      <c r="T172" s="2">
        <v>77766.179999999993</v>
      </c>
      <c r="U172" s="2">
        <v>64685.26</v>
      </c>
      <c r="V172" s="2">
        <v>75183.33</v>
      </c>
      <c r="W172" s="2">
        <v>81600.55</v>
      </c>
      <c r="X172" s="2">
        <v>90609.21</v>
      </c>
      <c r="Y172" s="2">
        <v>72984.47</v>
      </c>
      <c r="Z172" s="2">
        <v>77539.91</v>
      </c>
      <c r="AA172" s="2">
        <v>72777.320000000007</v>
      </c>
      <c r="AB172" s="2">
        <v>64621.96</v>
      </c>
      <c r="AC172" s="2">
        <v>77099.63</v>
      </c>
      <c r="AD172" s="2">
        <v>73053.37</v>
      </c>
      <c r="AE172" s="2">
        <v>95526.74</v>
      </c>
      <c r="AF172" s="3">
        <v>91573.882240000006</v>
      </c>
      <c r="AG172" s="2">
        <v>98859.07</v>
      </c>
      <c r="AH172" s="2">
        <v>90064.92</v>
      </c>
      <c r="AI172" s="24">
        <f>SUM(E172:AH172)</f>
        <v>2430805.4922400001</v>
      </c>
      <c r="AJ172" s="26">
        <v>1928008.9893544409</v>
      </c>
      <c r="AK172" s="33">
        <f>$AJ172/$AI172*E172</f>
        <v>60661.943669189626</v>
      </c>
      <c r="AL172" s="33">
        <f>$AJ172/$AI172*F172</f>
        <v>63029.539386685421</v>
      </c>
      <c r="AM172" s="33">
        <f>$AJ172/$AI172*G172</f>
        <v>57811.260169106994</v>
      </c>
      <c r="AN172" s="33">
        <f>$AJ172/$AI172*H172</f>
        <v>65115.548710870142</v>
      </c>
      <c r="AO172" s="33">
        <f>$AJ172/$AI172*I172</f>
        <v>76624.835345073137</v>
      </c>
      <c r="AP172" s="33">
        <f>$AJ172/$AI172*J172</f>
        <v>80093.887387257928</v>
      </c>
      <c r="AQ172" s="33">
        <f>$AJ172/$AI172*K172</f>
        <v>57954.464561288609</v>
      </c>
      <c r="AR172" s="33">
        <f>$AJ172/$AI172*L172</f>
        <v>60337.399924006182</v>
      </c>
      <c r="AS172" s="33">
        <f>$AJ172/$AI172*M172</f>
        <v>63936.77549806227</v>
      </c>
      <c r="AT172" s="33">
        <f>$AJ172/$AI172*N172</f>
        <v>65216.549249781288</v>
      </c>
      <c r="AU172" s="33">
        <f>$AJ172/$AI172*O172</f>
        <v>60460.815063432703</v>
      </c>
      <c r="AV172" s="33">
        <f>$AJ172/$AI172*P172</f>
        <v>67907.118262742893</v>
      </c>
      <c r="AW172" s="33">
        <f>$AJ172/$AI172*Q172</f>
        <v>79767.051420011892</v>
      </c>
      <c r="AX172" s="33">
        <f>$AJ172/$AI172*R172</f>
        <v>53919.733358184829</v>
      </c>
      <c r="AY172" s="33">
        <f>$AJ172/$AI172*S172</f>
        <v>60254.721298467499</v>
      </c>
      <c r="AZ172" s="33">
        <f>$AJ172/$AI172*T172</f>
        <v>61680.745163032625</v>
      </c>
      <c r="BA172" s="33">
        <f>$AJ172/$AI172*U172</f>
        <v>51305.529445634442</v>
      </c>
      <c r="BB172" s="33">
        <f>$AJ172/$AI172*V172</f>
        <v>59632.141095758925</v>
      </c>
      <c r="BC172" s="33">
        <f>$AJ172/$AI172*W172</f>
        <v>64722.000356881392</v>
      </c>
      <c r="BD172" s="33">
        <f>$AJ172/$AI172*X172</f>
        <v>71867.276898951546</v>
      </c>
      <c r="BE172" s="33">
        <f>$AJ172/$AI172*Y172</f>
        <v>57888.101163372048</v>
      </c>
      <c r="BF172" s="33">
        <f>$AJ172/$AI172*Z172</f>
        <v>61501.277659189196</v>
      </c>
      <c r="BG172" s="33">
        <f>$AJ172/$AI172*AA172</f>
        <v>57723.798810337321</v>
      </c>
      <c r="BH172" s="33">
        <f>$AJ172/$AI172*AB172</f>
        <v>51255.322644055399</v>
      </c>
      <c r="BI172" s="33">
        <f>$AJ172/$AI172*AC172</f>
        <v>61152.066749248908</v>
      </c>
      <c r="BJ172" s="33">
        <f>$AJ172/$AI172*AD172</f>
        <v>57942.749640920163</v>
      </c>
      <c r="BK172" s="33">
        <f>$AJ172/$AI172*AE172</f>
        <v>75767.647403990733</v>
      </c>
      <c r="BL172" s="33">
        <f>$AJ172/$AI172*AF172</f>
        <v>72632.412882245204</v>
      </c>
      <c r="BM172" s="33">
        <f>$AJ172/$AI172*AG172</f>
        <v>78410.706347211657</v>
      </c>
      <c r="BN172" s="33">
        <f>$AJ172/$AI172*AH172</f>
        <v>71435.569789449873</v>
      </c>
    </row>
    <row r="173" spans="1:66" x14ac:dyDescent="0.25">
      <c r="A173" s="4" t="s">
        <v>30</v>
      </c>
      <c r="B173" s="4">
        <v>27</v>
      </c>
      <c r="C173" s="4" t="s">
        <v>2</v>
      </c>
      <c r="D173" s="4" t="str">
        <f>A173&amp;C173</f>
        <v>TOM MBOYADELI</v>
      </c>
      <c r="E173" s="2">
        <v>180643.23</v>
      </c>
      <c r="F173" s="2">
        <v>190361.56</v>
      </c>
      <c r="G173" s="2">
        <v>190319.66</v>
      </c>
      <c r="H173" s="2">
        <v>202622.73</v>
      </c>
      <c r="I173" s="2">
        <v>192661.33</v>
      </c>
      <c r="J173" s="2">
        <v>125228.55</v>
      </c>
      <c r="K173" s="2">
        <v>168472.19</v>
      </c>
      <c r="L173" s="2">
        <v>170772.84</v>
      </c>
      <c r="M173" s="2">
        <v>173862.6</v>
      </c>
      <c r="N173" s="2">
        <v>183337.87</v>
      </c>
      <c r="O173" s="2">
        <v>193010.17</v>
      </c>
      <c r="P173" s="2">
        <v>177274.96</v>
      </c>
      <c r="Q173" s="2">
        <v>118454.22</v>
      </c>
      <c r="R173" s="2">
        <v>166452.44</v>
      </c>
      <c r="S173" s="2">
        <v>172760.03</v>
      </c>
      <c r="T173" s="2">
        <v>177128.99</v>
      </c>
      <c r="U173" s="2">
        <v>182535.61</v>
      </c>
      <c r="V173" s="2">
        <v>183214.03</v>
      </c>
      <c r="W173" s="2">
        <v>173680.14</v>
      </c>
      <c r="X173" s="2">
        <v>118617.14</v>
      </c>
      <c r="Y173" s="2">
        <v>179193.21</v>
      </c>
      <c r="Z173" s="2">
        <v>169133.99</v>
      </c>
      <c r="AA173" s="2">
        <v>186416.84</v>
      </c>
      <c r="AB173" s="2">
        <v>175829.75</v>
      </c>
      <c r="AC173" s="2">
        <v>162719.78</v>
      </c>
      <c r="AD173" s="2">
        <v>189815.19</v>
      </c>
      <c r="AE173" s="2">
        <v>119586.43</v>
      </c>
      <c r="AF173" s="2">
        <v>189303.86</v>
      </c>
      <c r="AG173" s="2">
        <v>121236.6</v>
      </c>
      <c r="AH173" s="2">
        <v>178966.88</v>
      </c>
      <c r="AI173" s="24">
        <f>SUM(E173:AH173)</f>
        <v>5113612.82</v>
      </c>
      <c r="AJ173" s="26">
        <v>4242000.8639142727</v>
      </c>
      <c r="AK173" s="33">
        <f>$AJ173/$AI173*E173</f>
        <v>149852.70975604773</v>
      </c>
      <c r="AL173" s="33">
        <f>$AJ173/$AI173*F173</f>
        <v>157914.55677242076</v>
      </c>
      <c r="AM173" s="33">
        <f>$AJ173/$AI173*G173</f>
        <v>157879.798599979</v>
      </c>
      <c r="AN173" s="33">
        <f>$AJ173/$AI173*H173</f>
        <v>168085.81837618837</v>
      </c>
      <c r="AO173" s="33">
        <f>$AJ173/$AI173*I173</f>
        <v>159822.33248212028</v>
      </c>
      <c r="AP173" s="33">
        <f>$AJ173/$AI173*J173</f>
        <v>103883.42566904228</v>
      </c>
      <c r="AQ173" s="33">
        <f>$AJ173/$AI173*K173</f>
        <v>139756.21555280939</v>
      </c>
      <c r="AR173" s="33">
        <f>$AJ173/$AI173*L173</f>
        <v>141664.72126708526</v>
      </c>
      <c r="AS173" s="33">
        <f>$AJ173/$AI173*M173</f>
        <v>144227.83369867678</v>
      </c>
      <c r="AT173" s="33">
        <f>$AJ173/$AI173*N173</f>
        <v>152088.05013286136</v>
      </c>
      <c r="AU173" s="33">
        <f>$AJ173/$AI173*O173</f>
        <v>160111.71293258778</v>
      </c>
      <c r="AV173" s="33">
        <f>$AJ173/$AI173*P173</f>
        <v>147058.55917155027</v>
      </c>
      <c r="AW173" s="33">
        <f>$AJ173/$AI173*Q173</f>
        <v>98263.775780797441</v>
      </c>
      <c r="AX173" s="33">
        <f>$AJ173/$AI173*R173</f>
        <v>138080.73061750471</v>
      </c>
      <c r="AY173" s="33">
        <f>$AJ173/$AI173*S173</f>
        <v>143313.19603306527</v>
      </c>
      <c r="AZ173" s="33">
        <f>$AJ173/$AI173*T173</f>
        <v>146937.46966244944</v>
      </c>
      <c r="BA173" s="33">
        <f>$AJ173/$AI173*U173</f>
        <v>151422.53482443333</v>
      </c>
      <c r="BB173" s="33">
        <f>$AJ173/$AI173*V173</f>
        <v>151985.31857975424</v>
      </c>
      <c r="BC173" s="33">
        <f>$AJ173/$AI173*W173</f>
        <v>144076.47388617738</v>
      </c>
      <c r="BD173" s="33">
        <f>$AJ173/$AI173*X173</f>
        <v>98398.926173499422</v>
      </c>
      <c r="BE173" s="33">
        <f>$AJ173/$AI173*Y173</f>
        <v>148649.84471537906</v>
      </c>
      <c r="BF173" s="33">
        <f>$AJ173/$AI173*Z173</f>
        <v>140305.21217624526</v>
      </c>
      <c r="BG173" s="33">
        <f>$AJ173/$AI173*AA173</f>
        <v>154642.21171288614</v>
      </c>
      <c r="BH173" s="33">
        <f>$AJ173/$AI173*AB173</f>
        <v>145859.68426953189</v>
      </c>
      <c r="BI173" s="33">
        <f>$AJ173/$AI173*AC173</f>
        <v>134984.30006985558</v>
      </c>
      <c r="BJ173" s="33">
        <f>$AJ173/$AI173*AD173</f>
        <v>157461.31518108401</v>
      </c>
      <c r="BK173" s="33">
        <f>$AJ173/$AI173*AE173</f>
        <v>99203.001327821228</v>
      </c>
      <c r="BL173" s="33">
        <f>$AJ173/$AI173*AF173</f>
        <v>157037.14104469615</v>
      </c>
      <c r="BM173" s="33">
        <f>$AJ173/$AI173*AG173</f>
        <v>100571.90093207509</v>
      </c>
      <c r="BN173" s="33">
        <f>$AJ173/$AI173*AH173</f>
        <v>148462.09251564767</v>
      </c>
    </row>
    <row r="174" spans="1:66" x14ac:dyDescent="0.25">
      <c r="A174" s="4" t="s">
        <v>28</v>
      </c>
      <c r="B174" s="4">
        <v>28</v>
      </c>
      <c r="C174" s="4" t="s">
        <v>2</v>
      </c>
      <c r="D174" s="4" t="str">
        <f>A174&amp;C174</f>
        <v>KERICHODELI</v>
      </c>
      <c r="E174" s="2">
        <v>8634.2199999999993</v>
      </c>
      <c r="F174" s="2">
        <v>6565.07</v>
      </c>
      <c r="G174" s="2">
        <v>8386.51</v>
      </c>
      <c r="H174" s="2">
        <v>8122.91</v>
      </c>
      <c r="I174" s="2">
        <v>6522.45</v>
      </c>
      <c r="J174" s="2">
        <v>6757.02</v>
      </c>
      <c r="K174" s="2">
        <v>7288.52</v>
      </c>
      <c r="L174" s="2">
        <v>8465.68</v>
      </c>
      <c r="M174" s="2">
        <v>7421.29</v>
      </c>
      <c r="N174" s="2">
        <v>6554.64</v>
      </c>
      <c r="O174" s="2">
        <v>7613.84</v>
      </c>
      <c r="P174" s="2">
        <v>6022.67</v>
      </c>
      <c r="Q174" s="2">
        <v>5227.3</v>
      </c>
      <c r="R174" s="2">
        <v>5217.91</v>
      </c>
      <c r="S174" s="2">
        <v>6600.93</v>
      </c>
      <c r="T174" s="2">
        <v>6424.28</v>
      </c>
      <c r="U174" s="2">
        <v>5278.91</v>
      </c>
      <c r="V174" s="2">
        <v>8737.8700000000008</v>
      </c>
      <c r="W174" s="2">
        <v>8015.12</v>
      </c>
      <c r="X174" s="2">
        <v>7059.16</v>
      </c>
      <c r="Y174" s="2">
        <v>8104.71</v>
      </c>
      <c r="Z174" s="2">
        <v>8352.09</v>
      </c>
      <c r="AA174" s="2">
        <v>7362.19</v>
      </c>
      <c r="AB174" s="2">
        <v>8133.02</v>
      </c>
      <c r="AC174" s="2">
        <v>7412.86</v>
      </c>
      <c r="AD174" s="2">
        <v>8042.71</v>
      </c>
      <c r="AE174" s="2">
        <v>7968.03</v>
      </c>
      <c r="AF174" s="3">
        <v>4736.5423369999999</v>
      </c>
      <c r="AG174" s="2">
        <v>6737.57</v>
      </c>
      <c r="AH174" s="2">
        <v>6249.45</v>
      </c>
      <c r="AI174" s="24">
        <f>SUM(E174:AH174)</f>
        <v>214015.47233699996</v>
      </c>
      <c r="AJ174" s="26">
        <v>205491.81446948805</v>
      </c>
      <c r="AK174" s="33">
        <f>$AJ174/$AI174*E174</f>
        <v>8290.3423521403074</v>
      </c>
      <c r="AL174" s="33">
        <f>$AJ174/$AI174*F174</f>
        <v>6303.6010045801204</v>
      </c>
      <c r="AM174" s="33">
        <f>$AJ174/$AI174*G174</f>
        <v>8052.4979719822077</v>
      </c>
      <c r="AN174" s="33">
        <f>$AJ174/$AI174*H174</f>
        <v>7799.3964475799812</v>
      </c>
      <c r="AO174" s="33">
        <f>$AJ174/$AI174*I174</f>
        <v>6262.6784439958155</v>
      </c>
      <c r="AP174" s="33">
        <f>$AJ174/$AI174*J174</f>
        <v>6487.9061548419086</v>
      </c>
      <c r="AQ174" s="33">
        <f>$AJ174/$AI174*K174</f>
        <v>6998.237946267489</v>
      </c>
      <c r="AR174" s="33">
        <f>$AJ174/$AI174*L174</f>
        <v>8128.5148448461077</v>
      </c>
      <c r="AS174" s="33">
        <f>$AJ174/$AI174*M174</f>
        <v>7125.7200759901116</v>
      </c>
      <c r="AT174" s="33">
        <f>$AJ174/$AI174*N174</f>
        <v>6293.5864032921272</v>
      </c>
      <c r="AU174" s="33">
        <f>$AJ174/$AI174*O174</f>
        <v>7310.6013298734524</v>
      </c>
      <c r="AV174" s="33">
        <f>$AJ174/$AI174*P174</f>
        <v>5782.8033306963298</v>
      </c>
      <c r="AW174" s="33">
        <f>$AJ174/$AI174*Q174</f>
        <v>5019.1107682388256</v>
      </c>
      <c r="AX174" s="33">
        <f>$AJ174/$AI174*R174</f>
        <v>5010.0947465615227</v>
      </c>
      <c r="AY174" s="33">
        <f>$AJ174/$AI174*S174</f>
        <v>6338.0327976949302</v>
      </c>
      <c r="AZ174" s="33">
        <f>$AJ174/$AI174*T174</f>
        <v>6168.4182897827404</v>
      </c>
      <c r="BA174" s="33">
        <f>$AJ174/$AI174*U174</f>
        <v>5068.6652814193976</v>
      </c>
      <c r="BB174" s="33">
        <f>$AJ174/$AI174*V174</f>
        <v>8389.8642527635657</v>
      </c>
      <c r="BC174" s="33">
        <f>$AJ174/$AI174*W174</f>
        <v>7695.8994319680087</v>
      </c>
      <c r="BD174" s="33">
        <f>$AJ174/$AI174*X174</f>
        <v>6778.0127352018799</v>
      </c>
      <c r="BE174" s="33">
        <f>$AJ174/$AI174*Y174</f>
        <v>7781.9213043928776</v>
      </c>
      <c r="BF174" s="33">
        <f>$AJ174/$AI174*Z174</f>
        <v>8019.4488275591248</v>
      </c>
      <c r="BG174" s="33">
        <f>$AJ174/$AI174*AA174</f>
        <v>7068.9738692671544</v>
      </c>
      <c r="BH174" s="33">
        <f>$AJ174/$AI174*AB174</f>
        <v>7809.103793603148</v>
      </c>
      <c r="BI174" s="33">
        <f>$AJ174/$AI174*AC174</f>
        <v>7117.6258201072942</v>
      </c>
      <c r="BJ174" s="33">
        <f>$AJ174/$AI174*AD174</f>
        <v>7722.3905968324152</v>
      </c>
      <c r="BK174" s="33">
        <f>$AJ174/$AI174*AE174</f>
        <v>7650.6848994031343</v>
      </c>
      <c r="BL174" s="33">
        <f>$AJ174/$AI174*AF174</f>
        <v>4547.8986566402909</v>
      </c>
      <c r="BM174" s="33">
        <f>$AJ174/$AI174*AG174</f>
        <v>6469.2307957765697</v>
      </c>
      <c r="BN174" s="33">
        <f>$AJ174/$AI174*AH174</f>
        <v>6000.5512961892618</v>
      </c>
    </row>
    <row r="175" spans="1:66" x14ac:dyDescent="0.25">
      <c r="A175" s="4" t="s">
        <v>29</v>
      </c>
      <c r="B175" s="4">
        <v>29</v>
      </c>
      <c r="C175" s="4" t="s">
        <v>2</v>
      </c>
      <c r="D175" s="4" t="str">
        <f>A175&amp;C175</f>
        <v>MFANGANODELI</v>
      </c>
      <c r="E175" s="2">
        <v>165187.29999999999</v>
      </c>
      <c r="F175" s="2">
        <v>162525.41</v>
      </c>
      <c r="G175" s="2">
        <v>184742.25</v>
      </c>
      <c r="H175" s="2">
        <v>177710.53</v>
      </c>
      <c r="I175" s="2">
        <v>156032.93</v>
      </c>
      <c r="J175" s="2">
        <v>124566.66</v>
      </c>
      <c r="K175" s="2">
        <v>176793.77</v>
      </c>
      <c r="L175" s="2">
        <v>174368.98</v>
      </c>
      <c r="M175" s="2">
        <v>158955.75</v>
      </c>
      <c r="N175" s="2">
        <v>158438.71</v>
      </c>
      <c r="O175" s="2">
        <v>165563.20000000001</v>
      </c>
      <c r="P175" s="2">
        <v>147851.68</v>
      </c>
      <c r="Q175" s="2">
        <v>108021.07</v>
      </c>
      <c r="R175" s="2">
        <v>156489.1</v>
      </c>
      <c r="S175" s="2">
        <v>153911.87</v>
      </c>
      <c r="T175" s="2">
        <v>164464.09</v>
      </c>
      <c r="U175" s="2">
        <v>167109.49</v>
      </c>
      <c r="V175" s="2">
        <v>156522.44</v>
      </c>
      <c r="W175" s="2">
        <v>136335.04000000001</v>
      </c>
      <c r="X175" s="2">
        <v>113573.32</v>
      </c>
      <c r="Y175" s="2">
        <v>162449.68</v>
      </c>
      <c r="Z175" s="2">
        <v>170510.06</v>
      </c>
      <c r="AA175" s="2">
        <v>166659.76999999999</v>
      </c>
      <c r="AB175" s="2">
        <v>158318.89000000001</v>
      </c>
      <c r="AC175" s="2">
        <v>145881.51999999999</v>
      </c>
      <c r="AD175" s="2">
        <v>145946.79</v>
      </c>
      <c r="AE175" s="2">
        <v>106045.36</v>
      </c>
      <c r="AF175" s="3">
        <v>163197.83840000001</v>
      </c>
      <c r="AG175" s="2">
        <v>114541.13</v>
      </c>
      <c r="AH175" s="2">
        <v>165321.26999999999</v>
      </c>
      <c r="AI175" s="24">
        <f>SUM(E175:AH175)</f>
        <v>4608035.8983999994</v>
      </c>
      <c r="AJ175" s="26">
        <v>3465134.89471584</v>
      </c>
      <c r="AK175" s="33">
        <f>$AJ175/$AI175*E175</f>
        <v>124216.97443647109</v>
      </c>
      <c r="AL175" s="33">
        <f>$AJ175/$AI175*F175</f>
        <v>122215.29560230712</v>
      </c>
      <c r="AM175" s="33">
        <f>$AJ175/$AI175*G175</f>
        <v>138921.83809279621</v>
      </c>
      <c r="AN175" s="33">
        <f>$AJ175/$AI175*H175</f>
        <v>133634.14961139101</v>
      </c>
      <c r="AO175" s="33">
        <f>$AJ175/$AI175*I175</f>
        <v>117333.10295075762</v>
      </c>
      <c r="AP175" s="33">
        <f>$AJ175/$AI175*J175</f>
        <v>93671.206084587538</v>
      </c>
      <c r="AQ175" s="33">
        <f>$AJ175/$AI175*K175</f>
        <v>132944.7675978562</v>
      </c>
      <c r="AR175" s="33">
        <f>$AJ175/$AI175*L175</f>
        <v>131121.38240151358</v>
      </c>
      <c r="AS175" s="33">
        <f>$AJ175/$AI175*M175</f>
        <v>119530.99502371</v>
      </c>
      <c r="AT175" s="33">
        <f>$AJ175/$AI175*N175</f>
        <v>119142.19307305984</v>
      </c>
      <c r="AU175" s="33">
        <f>$AJ175/$AI175*O175</f>
        <v>124499.64241815415</v>
      </c>
      <c r="AV175" s="33">
        <f>$AJ175/$AI175*P175</f>
        <v>111180.99487641788</v>
      </c>
      <c r="AW175" s="33">
        <f>$AJ175/$AI175*Q175</f>
        <v>81229.310551054819</v>
      </c>
      <c r="AX175" s="33">
        <f>$AJ175/$AI175*R175</f>
        <v>117676.13208936989</v>
      </c>
      <c r="AY175" s="33">
        <f>$AJ175/$AI175*S175</f>
        <v>115738.11558914918</v>
      </c>
      <c r="AZ175" s="33">
        <f>$AJ175/$AI175*T175</f>
        <v>123673.13748240622</v>
      </c>
      <c r="BA175" s="33">
        <f>$AJ175/$AI175*U175</f>
        <v>125662.41622341258</v>
      </c>
      <c r="BB175" s="33">
        <f>$AJ175/$AI175*V175</f>
        <v>117701.20298723983</v>
      </c>
      <c r="BC175" s="33">
        <f>$AJ175/$AI175*W175</f>
        <v>102520.75176769198</v>
      </c>
      <c r="BD175" s="33">
        <f>$AJ175/$AI175*X175</f>
        <v>85404.472299657136</v>
      </c>
      <c r="BE175" s="33">
        <f>$AJ175/$AI175*Y175</f>
        <v>122158.34841887307</v>
      </c>
      <c r="BF175" s="33">
        <f>$AJ175/$AI175*Z175</f>
        <v>128219.56508872748</v>
      </c>
      <c r="BG175" s="33">
        <f>$AJ175/$AI175*AA175</f>
        <v>125324.23733348843</v>
      </c>
      <c r="BH175" s="33">
        <f>$AJ175/$AI175*AB175</f>
        <v>119052.09124394237</v>
      </c>
      <c r="BI175" s="33">
        <f>$AJ175/$AI175*AC175</f>
        <v>109699.48077481468</v>
      </c>
      <c r="BJ175" s="33">
        <f>$AJ175/$AI175*AD175</f>
        <v>109748.56228363208</v>
      </c>
      <c r="BK175" s="33">
        <f>$AJ175/$AI175*AE175</f>
        <v>79743.62297965023</v>
      </c>
      <c r="BL175" s="33">
        <f>$AJ175/$AI175*AF175</f>
        <v>122720.9459844682</v>
      </c>
      <c r="BM175" s="33">
        <f>$AJ175/$AI175*AG175</f>
        <v>86132.242715599292</v>
      </c>
      <c r="BN175" s="33">
        <f>$AJ175/$AI175*AH175</f>
        <v>124317.71673364076</v>
      </c>
    </row>
    <row r="176" spans="1:66" x14ac:dyDescent="0.25">
      <c r="A176" s="4" t="s">
        <v>31</v>
      </c>
      <c r="B176" s="4">
        <v>30</v>
      </c>
      <c r="C176" s="4" t="s">
        <v>2</v>
      </c>
      <c r="D176" s="4" t="str">
        <f>A176&amp;C176</f>
        <v>KILIMANIDELI</v>
      </c>
      <c r="E176" s="2">
        <v>140330.32</v>
      </c>
      <c r="F176" s="2">
        <v>153932.26</v>
      </c>
      <c r="G176" s="2">
        <v>142523.66</v>
      </c>
      <c r="H176" s="2">
        <v>156319.74</v>
      </c>
      <c r="I176" s="2">
        <v>149167.37</v>
      </c>
      <c r="J176" s="2">
        <v>145006.53</v>
      </c>
      <c r="K176" s="2">
        <v>161617.51</v>
      </c>
      <c r="L176" s="2">
        <v>135572.22</v>
      </c>
      <c r="M176" s="2">
        <v>157379.41</v>
      </c>
      <c r="N176" s="2">
        <v>132119.23000000001</v>
      </c>
      <c r="O176" s="2">
        <v>162022.92000000001</v>
      </c>
      <c r="P176" s="2">
        <v>132270.64000000001</v>
      </c>
      <c r="Q176" s="2">
        <v>140263.22</v>
      </c>
      <c r="R176" s="2">
        <v>111332.38</v>
      </c>
      <c r="S176" s="2">
        <v>139568.53</v>
      </c>
      <c r="T176" s="2">
        <v>139030.42000000001</v>
      </c>
      <c r="U176" s="2">
        <v>134629.76999999999</v>
      </c>
      <c r="V176" s="2">
        <v>241562.4</v>
      </c>
      <c r="W176" s="2">
        <v>128454.95</v>
      </c>
      <c r="X176" s="2">
        <v>129073.92</v>
      </c>
      <c r="Y176" s="2">
        <v>115875.14</v>
      </c>
      <c r="Z176" s="2">
        <v>116411.98</v>
      </c>
      <c r="AA176" s="2">
        <v>139900.22</v>
      </c>
      <c r="AB176" s="2">
        <v>136398.94</v>
      </c>
      <c r="AC176" s="2">
        <v>159426.03</v>
      </c>
      <c r="AD176" s="2">
        <v>139540.85999999999</v>
      </c>
      <c r="AE176" s="2">
        <v>132377.76999999999</v>
      </c>
      <c r="AF176" s="3">
        <v>124627.41160000001</v>
      </c>
      <c r="AG176" s="2">
        <v>140212.41</v>
      </c>
      <c r="AH176" s="2">
        <v>133411.28</v>
      </c>
      <c r="AI176" s="24">
        <f>SUM(E176:AH176)</f>
        <v>4270359.4416000005</v>
      </c>
      <c r="AJ176" s="26">
        <v>3522587.8684039554</v>
      </c>
      <c r="AK176" s="33">
        <f>$AJ176/$AI176*E176</f>
        <v>115757.44139608843</v>
      </c>
      <c r="AL176" s="33">
        <f>$AJ176/$AI176*F176</f>
        <v>126977.58093844187</v>
      </c>
      <c r="AM176" s="33">
        <f>$AJ176/$AI176*G176</f>
        <v>117566.71131374911</v>
      </c>
      <c r="AN176" s="33">
        <f>$AJ176/$AI176*H176</f>
        <v>128946.99550390663</v>
      </c>
      <c r="AO176" s="33">
        <f>$AJ176/$AI176*I176</f>
        <v>123047.05847591339</v>
      </c>
      <c r="AP176" s="33">
        <f>$AJ176/$AI176*J176</f>
        <v>119614.81238356142</v>
      </c>
      <c r="AQ176" s="33">
        <f>$AJ176/$AI176*K176</f>
        <v>133317.08673084146</v>
      </c>
      <c r="AR176" s="33">
        <f>$AJ176/$AI176*L176</f>
        <v>111832.51995425941</v>
      </c>
      <c r="AS176" s="33">
        <f>$AJ176/$AI176*M176</f>
        <v>129821.10943683427</v>
      </c>
      <c r="AT176" s="33">
        <f>$AJ176/$AI176*N176</f>
        <v>108984.17408312992</v>
      </c>
      <c r="AU176" s="33">
        <f>$AJ176/$AI176*O176</f>
        <v>133651.50643655003</v>
      </c>
      <c r="AV176" s="33">
        <f>$AJ176/$AI176*P176</f>
        <v>109109.07107047936</v>
      </c>
      <c r="AW176" s="33">
        <f>$AJ176/$AI176*Q176</f>
        <v>115702.09110316756</v>
      </c>
      <c r="AX176" s="33">
        <f>$AJ176/$AI176*R176</f>
        <v>91837.255507840702</v>
      </c>
      <c r="AY176" s="33">
        <f>$AJ176/$AI176*S176</f>
        <v>115129.04646845534</v>
      </c>
      <c r="AZ176" s="33">
        <f>$AJ176/$AI176*T176</f>
        <v>114685.16351579303</v>
      </c>
      <c r="BA176" s="33">
        <f>$AJ176/$AI176*U176</f>
        <v>111055.09993096191</v>
      </c>
      <c r="BB176" s="33">
        <f>$AJ176/$AI176*V176</f>
        <v>199263.03425730427</v>
      </c>
      <c r="BC176" s="33">
        <f>$AJ176/$AI176*W176</f>
        <v>105961.53665624412</v>
      </c>
      <c r="BD176" s="33">
        <f>$AJ176/$AI176*X176</f>
        <v>106472.12042389275</v>
      </c>
      <c r="BE176" s="33">
        <f>$AJ176/$AI176*Y176</f>
        <v>95584.544578915957</v>
      </c>
      <c r="BF176" s="33">
        <f>$AJ176/$AI176*Z176</f>
        <v>96027.379917986487</v>
      </c>
      <c r="BG176" s="33">
        <f>$AJ176/$AI176*AA176</f>
        <v>115402.65509228424</v>
      </c>
      <c r="BH176" s="33">
        <f>$AJ176/$AI176*AB176</f>
        <v>112514.47515788877</v>
      </c>
      <c r="BI176" s="33">
        <f>$AJ176/$AI176*AC176</f>
        <v>131509.35111340182</v>
      </c>
      <c r="BJ176" s="33">
        <f>$AJ176/$AI176*AD176</f>
        <v>115106.22169043566</v>
      </c>
      <c r="BK176" s="33">
        <f>$AJ176/$AI176*AE176</f>
        <v>109197.44181385655</v>
      </c>
      <c r="BL176" s="33">
        <f>$AJ176/$AI176*AF176</f>
        <v>102804.22858462228</v>
      </c>
      <c r="BM176" s="33">
        <f>$AJ176/$AI176*AG176</f>
        <v>115660.17831056983</v>
      </c>
      <c r="BN176" s="33">
        <f>$AJ176/$AI176*AH176</f>
        <v>110049.97655657839</v>
      </c>
    </row>
    <row r="177" spans="1:66" x14ac:dyDescent="0.25">
      <c r="A177" s="4" t="s">
        <v>33</v>
      </c>
      <c r="B177" s="4">
        <v>31</v>
      </c>
      <c r="C177" s="4" t="s">
        <v>2</v>
      </c>
      <c r="D177" s="4" t="str">
        <f>A177&amp;C177</f>
        <v>EMBAKASIDELI</v>
      </c>
      <c r="E177" s="2">
        <v>72601.33</v>
      </c>
      <c r="F177" s="2">
        <v>74237.14</v>
      </c>
      <c r="G177" s="2">
        <v>74973.62</v>
      </c>
      <c r="H177" s="2">
        <v>77812.5</v>
      </c>
      <c r="I177" s="2">
        <v>75176.600000000006</v>
      </c>
      <c r="J177" s="2">
        <v>102264.99</v>
      </c>
      <c r="K177" s="2">
        <v>78107.09</v>
      </c>
      <c r="L177" s="2">
        <v>69084.42</v>
      </c>
      <c r="M177" s="2">
        <v>75471.55</v>
      </c>
      <c r="N177" s="2">
        <v>68652.570000000007</v>
      </c>
      <c r="O177" s="2">
        <v>76161.440000000002</v>
      </c>
      <c r="P177" s="2">
        <v>78366.84</v>
      </c>
      <c r="Q177" s="2">
        <v>101390.15</v>
      </c>
      <c r="R177" s="2">
        <v>67768.509999999995</v>
      </c>
      <c r="S177" s="2">
        <v>74939.06</v>
      </c>
      <c r="T177" s="2">
        <v>64334.55</v>
      </c>
      <c r="U177" s="2">
        <v>68493.62</v>
      </c>
      <c r="V177" s="2">
        <v>75415.81</v>
      </c>
      <c r="W177" s="2">
        <v>63599.53</v>
      </c>
      <c r="X177" s="2">
        <v>99056.25</v>
      </c>
      <c r="Y177" s="2">
        <v>80516.55</v>
      </c>
      <c r="Z177" s="2">
        <v>72521.38</v>
      </c>
      <c r="AA177" s="2">
        <v>63024.41</v>
      </c>
      <c r="AB177" s="2">
        <v>66367.87</v>
      </c>
      <c r="AC177" s="2">
        <v>71136.11</v>
      </c>
      <c r="AD177" s="2">
        <v>76299.100000000006</v>
      </c>
      <c r="AE177" s="2">
        <v>106708.26</v>
      </c>
      <c r="AF177" s="3">
        <v>80711.79406</v>
      </c>
      <c r="AG177" s="2">
        <v>103871.86</v>
      </c>
      <c r="AH177" s="2">
        <v>73499.8</v>
      </c>
      <c r="AI177" s="24">
        <f>SUM(E177:AH177)</f>
        <v>2332564.7040599999</v>
      </c>
      <c r="AJ177" s="26">
        <v>1977343.7090922976</v>
      </c>
      <c r="AK177" s="33">
        <f>$AJ177/$AI177*E177</f>
        <v>61545.037913572582</v>
      </c>
      <c r="AL177" s="33">
        <f>$AJ177/$AI177*F177</f>
        <v>62931.734114171122</v>
      </c>
      <c r="AM177" s="33">
        <f>$AJ177/$AI177*G177</f>
        <v>63556.057243273412</v>
      </c>
      <c r="AN177" s="33">
        <f>$AJ177/$AI177*H177</f>
        <v>65962.610638811529</v>
      </c>
      <c r="AO177" s="33">
        <f>$AJ177/$AI177*I177</f>
        <v>63728.125878871375</v>
      </c>
      <c r="AP177" s="33">
        <f>$AJ177/$AI177*J177</f>
        <v>86691.28632741468</v>
      </c>
      <c r="AQ177" s="33">
        <f>$AJ177/$AI177*K177</f>
        <v>66212.3381950279</v>
      </c>
      <c r="AR177" s="33">
        <f>$AJ177/$AI177*L177</f>
        <v>58563.710170835322</v>
      </c>
      <c r="AS177" s="33">
        <f>$AJ177/$AI177*M177</f>
        <v>63978.158611503241</v>
      </c>
      <c r="AT177" s="33">
        <f>$AJ177/$AI177*N177</f>
        <v>58197.625629092414</v>
      </c>
      <c r="AU177" s="33">
        <f>$AJ177/$AI177*O177</f>
        <v>64562.986826168104</v>
      </c>
      <c r="AV177" s="33">
        <f>$AJ177/$AI177*P177</f>
        <v>66432.53145592341</v>
      </c>
      <c r="AW177" s="33">
        <f>$AJ177/$AI177*Q177</f>
        <v>85949.673729294082</v>
      </c>
      <c r="AX177" s="33">
        <f>$AJ177/$AI177*R177</f>
        <v>57448.197123886326</v>
      </c>
      <c r="AY177" s="33">
        <f>$AJ177/$AI177*S177</f>
        <v>63526.760307386794</v>
      </c>
      <c r="AZ177" s="33">
        <f>$AJ177/$AI177*T177</f>
        <v>54537.18711355055</v>
      </c>
      <c r="BA177" s="33">
        <f>$AJ177/$AI177*U177</f>
        <v>58062.881764532867</v>
      </c>
      <c r="BB177" s="33">
        <f>$AJ177/$AI177*V177</f>
        <v>63930.907129838888</v>
      </c>
      <c r="BC177" s="33">
        <f>$AJ177/$AI177*W177</f>
        <v>53914.101644355505</v>
      </c>
      <c r="BD177" s="33">
        <f>$AJ177/$AI177*X177</f>
        <v>83971.198073455729</v>
      </c>
      <c r="BE177" s="33">
        <f>$AJ177/$AI177*Y177</f>
        <v>68254.866989627626</v>
      </c>
      <c r="BF177" s="33">
        <f>$AJ177/$AI177*Z177</f>
        <v>61477.263317966826</v>
      </c>
      <c r="BG177" s="33">
        <f>$AJ177/$AI177*AA177</f>
        <v>53426.565366371979</v>
      </c>
      <c r="BH177" s="33">
        <f>$AJ177/$AI177*AB177</f>
        <v>56260.857416703744</v>
      </c>
      <c r="BI177" s="33">
        <f>$AJ177/$AI177*AC177</f>
        <v>60302.952948300939</v>
      </c>
      <c r="BJ177" s="33">
        <f>$AJ177/$AI177*AD177</f>
        <v>64679.682896600738</v>
      </c>
      <c r="BK177" s="33">
        <f>$AJ177/$AI177*AE177</f>
        <v>90457.900804177552</v>
      </c>
      <c r="BL177" s="33">
        <f>$AJ177/$AI177*AF177</f>
        <v>68420.377774004446</v>
      </c>
      <c r="BM177" s="33">
        <f>$AJ177/$AI177*AG177</f>
        <v>88053.449735057235</v>
      </c>
      <c r="BN177" s="33">
        <f>$AJ177/$AI177*AH177</f>
        <v>62306.681952520732</v>
      </c>
    </row>
    <row r="178" spans="1:66" x14ac:dyDescent="0.25">
      <c r="A178" s="4" t="s">
        <v>32</v>
      </c>
      <c r="B178" s="4">
        <v>32</v>
      </c>
      <c r="C178" s="4" t="s">
        <v>2</v>
      </c>
      <c r="D178" s="4" t="str">
        <f>A178&amp;C178</f>
        <v>OGINGA ODINGADELI</v>
      </c>
      <c r="E178" s="2">
        <v>29330.42</v>
      </c>
      <c r="F178" s="2">
        <v>35657.19</v>
      </c>
      <c r="G178" s="2">
        <v>31294.240000000002</v>
      </c>
      <c r="H178" s="2">
        <v>35946.879999999997</v>
      </c>
      <c r="I178" s="2">
        <v>32224.97</v>
      </c>
      <c r="J178" s="2">
        <v>23773.57</v>
      </c>
      <c r="K178" s="2">
        <v>31949.34</v>
      </c>
      <c r="L178" s="2">
        <v>32049.64</v>
      </c>
      <c r="M178" s="2">
        <v>33792.32</v>
      </c>
      <c r="N178" s="2">
        <v>32653.45</v>
      </c>
      <c r="O178" s="2">
        <v>35571.910000000003</v>
      </c>
      <c r="P178" s="2">
        <v>29524.73</v>
      </c>
      <c r="Q178" s="2">
        <v>18764.060000000001</v>
      </c>
      <c r="R178" s="2">
        <v>30510.51</v>
      </c>
      <c r="S178" s="2">
        <v>31578.22</v>
      </c>
      <c r="T178" s="2">
        <v>32471.15</v>
      </c>
      <c r="U178" s="2">
        <v>35650.519999999997</v>
      </c>
      <c r="V178" s="2">
        <v>33383.300000000003</v>
      </c>
      <c r="W178" s="2">
        <v>28907.22</v>
      </c>
      <c r="X178" s="2">
        <v>18193.13</v>
      </c>
      <c r="Y178" s="2">
        <v>33129.839999999997</v>
      </c>
      <c r="Z178" s="2">
        <v>27961.85</v>
      </c>
      <c r="AA178" s="2">
        <v>38698.129999999997</v>
      </c>
      <c r="AB178" s="2">
        <v>30921.95</v>
      </c>
      <c r="AC178" s="2">
        <v>33883.21</v>
      </c>
      <c r="AD178" s="2">
        <v>30005.15</v>
      </c>
      <c r="AE178" s="2">
        <v>20415.53</v>
      </c>
      <c r="AF178" s="3">
        <v>33455.05962</v>
      </c>
      <c r="AG178" s="2">
        <v>20402.919999999998</v>
      </c>
      <c r="AH178" s="2">
        <v>31063.47</v>
      </c>
      <c r="AI178" s="24">
        <f>SUM(E178:AH178)</f>
        <v>913163.87962000002</v>
      </c>
      <c r="AJ178" s="26">
        <v>867213.27549162018</v>
      </c>
      <c r="AK178" s="33">
        <f>$AJ178/$AI178*E178</f>
        <v>27854.506915373873</v>
      </c>
      <c r="AL178" s="33">
        <f>$AJ178/$AI178*F178</f>
        <v>33862.912479187144</v>
      </c>
      <c r="AM178" s="33">
        <f>$AJ178/$AI178*G178</f>
        <v>29719.507067794111</v>
      </c>
      <c r="AN178" s="33">
        <f>$AJ178/$AI178*H178</f>
        <v>34138.025215667381</v>
      </c>
      <c r="AO178" s="33">
        <f>$AJ178/$AI178*I178</f>
        <v>30603.402532685031</v>
      </c>
      <c r="AP178" s="33">
        <f>$AJ178/$AI178*J178</f>
        <v>22577.278810467935</v>
      </c>
      <c r="AQ178" s="33">
        <f>$AJ178/$AI178*K178</f>
        <v>30341.642293960715</v>
      </c>
      <c r="AR178" s="33">
        <f>$AJ178/$AI178*L178</f>
        <v>30436.895176245111</v>
      </c>
      <c r="AS178" s="33">
        <f>$AJ178/$AI178*M178</f>
        <v>32091.883141343591</v>
      </c>
      <c r="AT178" s="33">
        <f>$AJ178/$AI178*N178</f>
        <v>31010.321326316334</v>
      </c>
      <c r="AU178" s="33">
        <f>$AJ178/$AI178*O178</f>
        <v>33781.923787250824</v>
      </c>
      <c r="AV178" s="33">
        <f>$AJ178/$AI178*P178</f>
        <v>28039.039194104502</v>
      </c>
      <c r="AW178" s="33">
        <f>$AJ178/$AI178*Q178</f>
        <v>17819.848438259334</v>
      </c>
      <c r="AX178" s="33">
        <f>$AJ178/$AI178*R178</f>
        <v>28975.214531076737</v>
      </c>
      <c r="AY178" s="33">
        <f>$AJ178/$AI178*S178</f>
        <v>29989.1971327106</v>
      </c>
      <c r="AZ178" s="33">
        <f>$AJ178/$AI178*T178</f>
        <v>30837.194701785465</v>
      </c>
      <c r="BA178" s="33">
        <f>$AJ178/$AI178*U178</f>
        <v>33856.57811503124</v>
      </c>
      <c r="BB178" s="33">
        <f>$AJ178/$AI178*V178</f>
        <v>31703.445116299077</v>
      </c>
      <c r="BC178" s="33">
        <f>$AJ178/$AI178*W178</f>
        <v>27452.602430999421</v>
      </c>
      <c r="BD178" s="33">
        <f>$AJ178/$AI178*X178</f>
        <v>17277.647759469382</v>
      </c>
      <c r="BE178" s="33">
        <f>$AJ178/$AI178*Y178</f>
        <v>31462.739278374804</v>
      </c>
      <c r="BF178" s="33">
        <f>$AJ178/$AI178*Z178</f>
        <v>26554.803654078154</v>
      </c>
      <c r="BG178" s="33">
        <f>$AJ178/$AI178*AA178</f>
        <v>36750.831720003909</v>
      </c>
      <c r="BH178" s="33">
        <f>$AJ178/$AI178*AB178</f>
        <v>29365.950781197309</v>
      </c>
      <c r="BI178" s="33">
        <f>$AJ178/$AI178*AC178</f>
        <v>32178.199536865315</v>
      </c>
      <c r="BJ178" s="33">
        <f>$AJ178/$AI178*AD178</f>
        <v>28495.284355690455</v>
      </c>
      <c r="BK178" s="33">
        <f>$AJ178/$AI178*AE178</f>
        <v>19388.21611030537</v>
      </c>
      <c r="BL178" s="33">
        <f>$AJ178/$AI178*AF178</f>
        <v>31771.593776684251</v>
      </c>
      <c r="BM178" s="33">
        <f>$AJ178/$AI178*AG178</f>
        <v>19376.240648235515</v>
      </c>
      <c r="BN178" s="33">
        <f>$AJ178/$AI178*AH178</f>
        <v>29500.349464157312</v>
      </c>
    </row>
    <row r="179" spans="1:66" x14ac:dyDescent="0.25">
      <c r="A179" s="4" t="s">
        <v>34</v>
      </c>
      <c r="B179" s="4">
        <v>33</v>
      </c>
      <c r="C179" s="4" t="s">
        <v>2</v>
      </c>
      <c r="D179" s="4" t="str">
        <f>A179&amp;C179</f>
        <v>KISERIANDELI</v>
      </c>
      <c r="E179" s="2">
        <v>41825.230000000003</v>
      </c>
      <c r="F179" s="2">
        <v>54616.95</v>
      </c>
      <c r="G179" s="2">
        <v>55678.64</v>
      </c>
      <c r="H179" s="2">
        <v>61103.06</v>
      </c>
      <c r="I179" s="2">
        <v>71622.05</v>
      </c>
      <c r="J179" s="2">
        <v>88754.82</v>
      </c>
      <c r="K179" s="2">
        <v>48440.38</v>
      </c>
      <c r="L179" s="2">
        <v>52687.44</v>
      </c>
      <c r="M179" s="2">
        <v>54514.99</v>
      </c>
      <c r="N179" s="2">
        <v>52172.84</v>
      </c>
      <c r="O179" s="2">
        <v>62645.24</v>
      </c>
      <c r="P179" s="2">
        <v>69170.070000000007</v>
      </c>
      <c r="Q179" s="2">
        <v>80331.960000000006</v>
      </c>
      <c r="R179" s="2">
        <v>51484.27</v>
      </c>
      <c r="S179" s="2">
        <v>57160.74</v>
      </c>
      <c r="T179" s="2">
        <v>52592.480000000003</v>
      </c>
      <c r="U179" s="2">
        <v>54438.91</v>
      </c>
      <c r="V179" s="2">
        <v>64633.94</v>
      </c>
      <c r="W179" s="2">
        <v>72314.44</v>
      </c>
      <c r="X179" s="2">
        <v>72109.34</v>
      </c>
      <c r="Y179" s="2">
        <v>68452.95</v>
      </c>
      <c r="Z179" s="2">
        <v>62704.51</v>
      </c>
      <c r="AA179" s="2">
        <v>68436.63</v>
      </c>
      <c r="AB179" s="2">
        <v>59868.05</v>
      </c>
      <c r="AC179" s="2">
        <v>53927.97</v>
      </c>
      <c r="AD179" s="2">
        <v>78839.89</v>
      </c>
      <c r="AE179" s="2">
        <v>72756.14</v>
      </c>
      <c r="AF179" s="3">
        <v>81158.090289999993</v>
      </c>
      <c r="AG179" s="2">
        <v>81871.179999999993</v>
      </c>
      <c r="AH179" s="2">
        <v>57303.83</v>
      </c>
      <c r="AI179" s="24">
        <f>SUM(E179:AH179)</f>
        <v>1903617.0302899997</v>
      </c>
      <c r="AJ179" s="26">
        <v>1314828.3226078229</v>
      </c>
      <c r="AK179" s="33">
        <f>$AJ179/$AI179*E179</f>
        <v>28888.687235167617</v>
      </c>
      <c r="AL179" s="33">
        <f>$AJ179/$AI179*F179</f>
        <v>37723.928506520773</v>
      </c>
      <c r="AM179" s="33">
        <f>$AJ179/$AI179*G179</f>
        <v>38457.237811710613</v>
      </c>
      <c r="AN179" s="33">
        <f>$AJ179/$AI179*H179</f>
        <v>42203.884819083622</v>
      </c>
      <c r="AO179" s="33">
        <f>$AJ179/$AI179*I179</f>
        <v>49469.351431935625</v>
      </c>
      <c r="AP179" s="33">
        <f>$AJ179/$AI179*J179</f>
        <v>61302.956029018838</v>
      </c>
      <c r="AQ179" s="33">
        <f>$AJ179/$AI179*K179</f>
        <v>33457.771478427458</v>
      </c>
      <c r="AR179" s="33">
        <f>$AJ179/$AI179*L179</f>
        <v>36391.215909193081</v>
      </c>
      <c r="AS179" s="33">
        <f>$AJ179/$AI179*M179</f>
        <v>37653.50473238976</v>
      </c>
      <c r="AT179" s="33">
        <f>$AJ179/$AI179*N179</f>
        <v>36035.781678437685</v>
      </c>
      <c r="AU179" s="33">
        <f>$AJ179/$AI179*O179</f>
        <v>43269.068577315935</v>
      </c>
      <c r="AV179" s="33">
        <f>$AJ179/$AI179*P179</f>
        <v>47775.768794688054</v>
      </c>
      <c r="AW179" s="33">
        <f>$AJ179/$AI179*Q179</f>
        <v>55485.286450976972</v>
      </c>
      <c r="AX179" s="33">
        <f>$AJ179/$AI179*R179</f>
        <v>35560.18636504624</v>
      </c>
      <c r="AY179" s="33">
        <f>$AJ179/$AI179*S179</f>
        <v>39480.924312687217</v>
      </c>
      <c r="AZ179" s="33">
        <f>$AJ179/$AI179*T179</f>
        <v>36325.627035208374</v>
      </c>
      <c r="BA179" s="33">
        <f>$AJ179/$AI179*U179</f>
        <v>37600.956274799653</v>
      </c>
      <c r="BB179" s="33">
        <f>$AJ179/$AI179*V179</f>
        <v>44642.663708880733</v>
      </c>
      <c r="BC179" s="33">
        <f>$AJ179/$AI179*W179</f>
        <v>49947.585219406908</v>
      </c>
      <c r="BD179" s="33">
        <f>$AJ179/$AI179*X179</f>
        <v>49805.922645120219</v>
      </c>
      <c r="BE179" s="33">
        <f>$AJ179/$AI179*Y179</f>
        <v>47280.453995699892</v>
      </c>
      <c r="BF179" s="33">
        <f>$AJ179/$AI179*Z179</f>
        <v>43310.006367554706</v>
      </c>
      <c r="BG179" s="33">
        <f>$AJ179/$AI179*AA179</f>
        <v>47269.181771358803</v>
      </c>
      <c r="BH179" s="33">
        <f>$AJ179/$AI179*AB179</f>
        <v>41350.863386271318</v>
      </c>
      <c r="BI179" s="33">
        <f>$AJ179/$AI179*AC179</f>
        <v>37248.050006120757</v>
      </c>
      <c r="BJ179" s="33">
        <f>$AJ179/$AI179*AD179</f>
        <v>54454.713670791978</v>
      </c>
      <c r="BK179" s="33">
        <f>$AJ179/$AI179*AE179</f>
        <v>50252.667418638652</v>
      </c>
      <c r="BL179" s="33">
        <f>$AJ179/$AI179*AF179</f>
        <v>56055.894659546488</v>
      </c>
      <c r="BM179" s="33">
        <f>$AJ179/$AI179*AG179</f>
        <v>56548.425737147409</v>
      </c>
      <c r="BN179" s="33">
        <f>$AJ179/$AI179*AH179</f>
        <v>39579.756578677872</v>
      </c>
    </row>
    <row r="180" spans="1:66" x14ac:dyDescent="0.25">
      <c r="A180" s="4" t="s">
        <v>35</v>
      </c>
      <c r="B180" s="4">
        <v>34</v>
      </c>
      <c r="C180" s="4" t="s">
        <v>2</v>
      </c>
      <c r="D180" s="4" t="str">
        <f>A180&amp;C180</f>
        <v>NANYUKIDELI</v>
      </c>
      <c r="E180" s="2">
        <v>77989.48</v>
      </c>
      <c r="F180" s="2">
        <v>87972.84</v>
      </c>
      <c r="G180" s="2">
        <v>72069.039999999994</v>
      </c>
      <c r="H180" s="2">
        <v>86780.57</v>
      </c>
      <c r="I180" s="2">
        <v>94693.61</v>
      </c>
      <c r="J180" s="2">
        <v>88446.74</v>
      </c>
      <c r="K180" s="2">
        <v>77459.87</v>
      </c>
      <c r="L180" s="2">
        <v>75986.45</v>
      </c>
      <c r="M180" s="2">
        <v>87321.22</v>
      </c>
      <c r="N180" s="2">
        <v>75721.350000000006</v>
      </c>
      <c r="O180" s="2">
        <v>90174.75</v>
      </c>
      <c r="P180" s="2">
        <v>90807.77</v>
      </c>
      <c r="Q180" s="2">
        <v>91599.05</v>
      </c>
      <c r="R180" s="2">
        <v>78327.899999999994</v>
      </c>
      <c r="S180" s="2">
        <v>77222.44</v>
      </c>
      <c r="T180" s="2">
        <v>79284.509999999995</v>
      </c>
      <c r="U180" s="2">
        <v>75839.95</v>
      </c>
      <c r="V180" s="2">
        <v>89694.04</v>
      </c>
      <c r="W180" s="2">
        <v>94161.99</v>
      </c>
      <c r="X180" s="2">
        <v>104493.78</v>
      </c>
      <c r="Y180" s="2">
        <v>99033.78</v>
      </c>
      <c r="Z180" s="2">
        <v>103850.15</v>
      </c>
      <c r="AA180" s="2">
        <v>77361.52</v>
      </c>
      <c r="AB180" s="2">
        <v>76636.070000000007</v>
      </c>
      <c r="AC180" s="2">
        <v>70914.81</v>
      </c>
      <c r="AD180" s="2">
        <v>93790.3</v>
      </c>
      <c r="AE180" s="2">
        <v>82788.47</v>
      </c>
      <c r="AF180" s="3">
        <v>81228.965719999993</v>
      </c>
      <c r="AG180" s="2">
        <v>79781.22</v>
      </c>
      <c r="AH180" s="2">
        <v>71994.009999999995</v>
      </c>
      <c r="AI180" s="24">
        <f>SUM(E180:AH180)</f>
        <v>2533426.6457199999</v>
      </c>
      <c r="AJ180" s="26">
        <v>1900719.4687384837</v>
      </c>
      <c r="AK180" s="33">
        <f>$AJ180/$AI180*E180</f>
        <v>58512.103850815023</v>
      </c>
      <c r="AL180" s="33">
        <f>$AJ180/$AI180*F180</f>
        <v>66002.183244857311</v>
      </c>
      <c r="AM180" s="33">
        <f>$AJ180/$AI180*G180</f>
        <v>54070.25605131028</v>
      </c>
      <c r="AN180" s="33">
        <f>$AJ180/$AI180*H180</f>
        <v>65107.675087369775</v>
      </c>
      <c r="AO180" s="33">
        <f>$AJ180/$AI180*I180</f>
        <v>71044.483721760625</v>
      </c>
      <c r="AP180" s="33">
        <f>$AJ180/$AI180*J180</f>
        <v>66357.729736703404</v>
      </c>
      <c r="AQ180" s="33">
        <f>$AJ180/$AI180*K180</f>
        <v>58114.760576819222</v>
      </c>
      <c r="AR180" s="33">
        <f>$AJ180/$AI180*L180</f>
        <v>57009.31784203156</v>
      </c>
      <c r="AS180" s="33">
        <f>$AJ180/$AI180*M180</f>
        <v>65513.301191646184</v>
      </c>
      <c r="AT180" s="33">
        <f>$AJ180/$AI180*N180</f>
        <v>56810.424879405691</v>
      </c>
      <c r="AU180" s="33">
        <f>$AJ180/$AI180*O180</f>
        <v>67654.180239710302</v>
      </c>
      <c r="AV180" s="33">
        <f>$AJ180/$AI180*P180</f>
        <v>68129.107524513893</v>
      </c>
      <c r="AW180" s="33">
        <f>$AJ180/$AI180*Q180</f>
        <v>68722.77038180019</v>
      </c>
      <c r="AX180" s="33">
        <f>$AJ180/$AI180*R180</f>
        <v>58766.005610195811</v>
      </c>
      <c r="AY180" s="33">
        <f>$AJ180/$AI180*S180</f>
        <v>57936.627207840502</v>
      </c>
      <c r="AZ180" s="33">
        <f>$AJ180/$AI180*T180</f>
        <v>59483.708352472437</v>
      </c>
      <c r="BA180" s="33">
        <f>$AJ180/$AI180*U180</f>
        <v>56899.405284412962</v>
      </c>
      <c r="BB180" s="33">
        <f>$AJ180/$AI180*V180</f>
        <v>67293.524502011773</v>
      </c>
      <c r="BC180" s="33">
        <f>$AJ180/$AI180*W180</f>
        <v>70645.632432469181</v>
      </c>
      <c r="BD180" s="33">
        <f>$AJ180/$AI180*X180</f>
        <v>78397.123652115872</v>
      </c>
      <c r="BE180" s="33">
        <f>$AJ180/$AI180*Y180</f>
        <v>74300.723893770904</v>
      </c>
      <c r="BF180" s="33">
        <f>$AJ180/$AI180*Z180</f>
        <v>77914.236147269068</v>
      </c>
      <c r="BG180" s="33">
        <f>$AJ180/$AI180*AA180</f>
        <v>58040.972863223396</v>
      </c>
      <c r="BH180" s="33">
        <f>$AJ180/$AI180*AB180</f>
        <v>57496.699382510698</v>
      </c>
      <c r="BI180" s="33">
        <f>$AJ180/$AI180*AC180</f>
        <v>53204.287645985278</v>
      </c>
      <c r="BJ180" s="33">
        <f>$AJ180/$AI180*AD180</f>
        <v>70366.76964379166</v>
      </c>
      <c r="BK180" s="33">
        <f>$AJ180/$AI180*AE180</f>
        <v>62112.576648672155</v>
      </c>
      <c r="BL180" s="33">
        <f>$AJ180/$AI180*AF180</f>
        <v>60942.548634802195</v>
      </c>
      <c r="BM180" s="33">
        <f>$AJ180/$AI180*AG180</f>
        <v>59856.368192026937</v>
      </c>
      <c r="BN180" s="33">
        <f>$AJ180/$AI180*AH180</f>
        <v>54013.964316169506</v>
      </c>
    </row>
    <row r="181" spans="1:66" x14ac:dyDescent="0.25">
      <c r="A181" s="4" t="s">
        <v>69</v>
      </c>
      <c r="B181" s="4">
        <v>35</v>
      </c>
      <c r="C181" s="4" t="s">
        <v>2</v>
      </c>
      <c r="D181" s="4" t="str">
        <f>A181&amp;C181</f>
        <v>MOMBASA ROADDELI</v>
      </c>
      <c r="E181" s="2">
        <v>64785.86</v>
      </c>
      <c r="F181" s="2">
        <v>61125.01</v>
      </c>
      <c r="G181" s="2">
        <v>62518.31</v>
      </c>
      <c r="H181" s="2">
        <v>64597.09</v>
      </c>
      <c r="I181" s="2">
        <v>60709.81</v>
      </c>
      <c r="J181" s="2">
        <v>66485.740000000005</v>
      </c>
      <c r="K181" s="2">
        <v>69478.27</v>
      </c>
      <c r="L181" s="2">
        <v>59351.87</v>
      </c>
      <c r="M181" s="2">
        <v>63798.85</v>
      </c>
      <c r="N181" s="2">
        <v>59470.97</v>
      </c>
      <c r="O181" s="2">
        <v>59299.19</v>
      </c>
      <c r="P181" s="2">
        <v>64501.35</v>
      </c>
      <c r="Q181" s="2">
        <v>67255.41</v>
      </c>
      <c r="R181" s="2">
        <v>73898.45</v>
      </c>
      <c r="S181" s="2">
        <v>59517.58</v>
      </c>
      <c r="T181" s="2">
        <v>64927.67</v>
      </c>
      <c r="U181" s="2">
        <v>68197.460000000006</v>
      </c>
      <c r="V181" s="2">
        <v>66778.289999999994</v>
      </c>
      <c r="W181" s="2">
        <v>64080.63</v>
      </c>
      <c r="X181" s="2">
        <v>58290.5</v>
      </c>
      <c r="Y181" s="2">
        <v>61154.6</v>
      </c>
      <c r="Z181" s="2">
        <v>56873.67</v>
      </c>
      <c r="AA181" s="2">
        <v>59308.42</v>
      </c>
      <c r="AB181" s="2">
        <v>58854.14</v>
      </c>
      <c r="AC181" s="2">
        <v>63547.14</v>
      </c>
      <c r="AD181" s="2">
        <v>57603</v>
      </c>
      <c r="AE181" s="2">
        <v>64264.63</v>
      </c>
      <c r="AF181" s="3">
        <v>69362.454930000007</v>
      </c>
      <c r="AG181" s="2">
        <v>61061.87</v>
      </c>
      <c r="AH181" s="2">
        <v>67787.8</v>
      </c>
      <c r="AI181" s="24">
        <f>SUM(E181:AH181)</f>
        <v>1898886.0349299996</v>
      </c>
      <c r="AJ181" s="26">
        <v>1541148.3716611448</v>
      </c>
      <c r="AK181" s="33">
        <f>$AJ181/$AI181*E181</f>
        <v>52580.629278969631</v>
      </c>
      <c r="AL181" s="33">
        <f>$AJ181/$AI181*F181</f>
        <v>49609.459386404866</v>
      </c>
      <c r="AM181" s="33">
        <f>$AJ181/$AI181*G181</f>
        <v>50740.270813070936</v>
      </c>
      <c r="AN181" s="33">
        <f>$AJ181/$AI181*H181</f>
        <v>52427.422307741785</v>
      </c>
      <c r="AO181" s="33">
        <f>$AJ181/$AI181*I181</f>
        <v>49272.480340720693</v>
      </c>
      <c r="AP181" s="33">
        <f>$AJ181/$AI181*J181</f>
        <v>53960.263046256739</v>
      </c>
      <c r="AQ181" s="33">
        <f>$AJ181/$AI181*K181</f>
        <v>56389.020039467832</v>
      </c>
      <c r="AR181" s="33">
        <f>$AJ181/$AI181*L181</f>
        <v>48170.367322184182</v>
      </c>
      <c r="AS181" s="33">
        <f>$AJ181/$AI181*M181</f>
        <v>51779.565483495804</v>
      </c>
      <c r="AT181" s="33">
        <f>$AJ181/$AI181*N181</f>
        <v>48267.029664045898</v>
      </c>
      <c r="AU181" s="33">
        <f>$AJ181/$AI181*O181</f>
        <v>48127.61188835316</v>
      </c>
      <c r="AV181" s="33">
        <f>$AJ181/$AI181*P181</f>
        <v>52349.719095232627</v>
      </c>
      <c r="AW181" s="33">
        <f>$AJ181/$AI181*Q181</f>
        <v>54584.932270947815</v>
      </c>
      <c r="AX181" s="33">
        <f>$AJ181/$AI181*R181</f>
        <v>59976.467144844159</v>
      </c>
      <c r="AY181" s="33">
        <f>$AJ181/$AI181*S181</f>
        <v>48304.858646028893</v>
      </c>
      <c r="AZ181" s="33">
        <f>$AJ181/$AI181*T181</f>
        <v>52695.723205916816</v>
      </c>
      <c r="BA181" s="33">
        <f>$AJ181/$AI181*U181</f>
        <v>55349.506235270484</v>
      </c>
      <c r="BB181" s="33">
        <f>$AJ181/$AI181*V181</f>
        <v>54197.698546774322</v>
      </c>
      <c r="BC181" s="33">
        <f>$AJ181/$AI181*W181</f>
        <v>52008.259981311043</v>
      </c>
      <c r="BD181" s="33">
        <f>$AJ181/$AI181*X181</f>
        <v>47308.952462555557</v>
      </c>
      <c r="BE181" s="33">
        <f>$AJ181/$AI181*Y181</f>
        <v>49633.474824655816</v>
      </c>
      <c r="BF181" s="33">
        <f>$AJ181/$AI181*Z181</f>
        <v>46159.043933420915</v>
      </c>
      <c r="BG181" s="33">
        <f>$AJ181/$AI181*AA181</f>
        <v>48135.103016945795</v>
      </c>
      <c r="BH181" s="33">
        <f>$AJ181/$AI181*AB181</f>
        <v>47766.406386711205</v>
      </c>
      <c r="BI181" s="33">
        <f>$AJ181/$AI181*AC181</f>
        <v>51575.275995082608</v>
      </c>
      <c r="BJ181" s="33">
        <f>$AJ181/$AI181*AD181</f>
        <v>46750.972949289979</v>
      </c>
      <c r="BK181" s="33">
        <f>$AJ181/$AI181*AE181</f>
        <v>52157.595589225028</v>
      </c>
      <c r="BL181" s="33">
        <f>$AJ181/$AI181*AF181</f>
        <v>56295.023768358864</v>
      </c>
      <c r="BM181" s="33">
        <f>$AJ181/$AI181*AG181</f>
        <v>49558.214547906558</v>
      </c>
      <c r="BN181" s="33">
        <f>$AJ181/$AI181*AH181</f>
        <v>55017.023489955027</v>
      </c>
    </row>
    <row r="182" spans="1:66" x14ac:dyDescent="0.25">
      <c r="A182" s="4" t="s">
        <v>37</v>
      </c>
      <c r="B182" s="4">
        <v>36</v>
      </c>
      <c r="C182" s="4" t="s">
        <v>2</v>
      </c>
      <c r="D182" s="4" t="str">
        <f>A182&amp;C182</f>
        <v>PIONEERDELI</v>
      </c>
      <c r="E182" s="2">
        <v>145243.15</v>
      </c>
      <c r="F182" s="2">
        <v>141779.82999999999</v>
      </c>
      <c r="G182" s="2">
        <v>147274.67000000001</v>
      </c>
      <c r="H182" s="2">
        <v>147244.57</v>
      </c>
      <c r="I182" s="2">
        <v>98482.77</v>
      </c>
      <c r="J182" s="2">
        <v>58385.38</v>
      </c>
      <c r="K182" s="2">
        <v>143871.01999999999</v>
      </c>
      <c r="L182" s="2">
        <v>136972.68</v>
      </c>
      <c r="M182" s="2">
        <v>140584.5</v>
      </c>
      <c r="N182" s="2">
        <v>144824.47</v>
      </c>
      <c r="O182" s="2">
        <v>156489.95000000001</v>
      </c>
      <c r="P182" s="2">
        <v>104637.84</v>
      </c>
      <c r="Q182" s="2">
        <v>62735.73</v>
      </c>
      <c r="R182" s="2">
        <v>143991.25</v>
      </c>
      <c r="S182" s="2">
        <v>137254.56</v>
      </c>
      <c r="T182" s="2">
        <v>139034.01</v>
      </c>
      <c r="U182" s="2">
        <v>146569.76</v>
      </c>
      <c r="V182" s="2">
        <v>145230.88</v>
      </c>
      <c r="W182" s="2">
        <v>100856.57</v>
      </c>
      <c r="X182" s="2">
        <v>57578.11</v>
      </c>
      <c r="Y182" s="2">
        <v>137553.42000000001</v>
      </c>
      <c r="Z182" s="2">
        <v>152201.43</v>
      </c>
      <c r="AA182" s="2">
        <v>161692.95000000001</v>
      </c>
      <c r="AB182" s="2">
        <v>140525.63</v>
      </c>
      <c r="AC182" s="2">
        <v>129725.92</v>
      </c>
      <c r="AD182" s="2">
        <v>114919.79</v>
      </c>
      <c r="AE182" s="2">
        <v>71880.05</v>
      </c>
      <c r="AF182" s="3">
        <v>107987.27710000001</v>
      </c>
      <c r="AG182" s="2">
        <v>61305.5</v>
      </c>
      <c r="AH182" s="2">
        <v>141152.17000000001</v>
      </c>
      <c r="AI182" s="24">
        <f>SUM(E182:AH182)</f>
        <v>3717985.8370999997</v>
      </c>
      <c r="AJ182" s="26">
        <v>3393947.5047235652</v>
      </c>
      <c r="AK182" s="33">
        <f>$AJ182/$AI182*E182</f>
        <v>132584.58964577064</v>
      </c>
      <c r="AL182" s="33">
        <f>$AJ182/$AI182*F182</f>
        <v>129423.11276364578</v>
      </c>
      <c r="AM182" s="33">
        <f>$AJ182/$AI182*G182</f>
        <v>134439.05400816692</v>
      </c>
      <c r="AN182" s="33">
        <f>$AJ182/$AI182*H182</f>
        <v>134411.57735162004</v>
      </c>
      <c r="AO182" s="33">
        <f>$AJ182/$AI182*I182</f>
        <v>89899.576314812861</v>
      </c>
      <c r="AP182" s="33">
        <f>$AJ182/$AI182*J182</f>
        <v>53296.844970743085</v>
      </c>
      <c r="AQ182" s="33">
        <f>$AJ182/$AI182*K182</f>
        <v>131332.04663089762</v>
      </c>
      <c r="AR182" s="33">
        <f>$AJ182/$AI182*L182</f>
        <v>125034.92640087641</v>
      </c>
      <c r="AS182" s="33">
        <f>$AJ182/$AI182*M182</f>
        <v>128331.96087427078</v>
      </c>
      <c r="AT182" s="33">
        <f>$AJ182/$AI182*N182</f>
        <v>132202.39939450653</v>
      </c>
      <c r="AU182" s="33">
        <f>$AJ182/$AI182*O182</f>
        <v>142851.1830295416</v>
      </c>
      <c r="AV182" s="33">
        <f>$AJ182/$AI182*P182</f>
        <v>95518.205697272497</v>
      </c>
      <c r="AW182" s="33">
        <f>$AJ182/$AI182*Q182</f>
        <v>57268.043402927178</v>
      </c>
      <c r="AX182" s="33">
        <f>$AJ182/$AI182*R182</f>
        <v>131441.79807331067</v>
      </c>
      <c r="AY182" s="33">
        <f>$AJ182/$AI182*S182</f>
        <v>125292.23935594074</v>
      </c>
      <c r="AZ182" s="33">
        <f>$AJ182/$AI182*T182</f>
        <v>126916.60269455718</v>
      </c>
      <c r="BA182" s="33">
        <f>$AJ182/$AI182*U182</f>
        <v>133795.57992290231</v>
      </c>
      <c r="BB182" s="33">
        <f>$AJ182/$AI182*V182</f>
        <v>132573.38902863342</v>
      </c>
      <c r="BC182" s="33">
        <f>$AJ182/$AI182*W182</f>
        <v>92066.489514513712</v>
      </c>
      <c r="BD182" s="33">
        <f>$AJ182/$AI182*X182</f>
        <v>52559.931996304425</v>
      </c>
      <c r="BE182" s="33">
        <f>$AJ182/$AI182*Y182</f>
        <v>125565.05243154215</v>
      </c>
      <c r="BF182" s="33">
        <f>$AJ182/$AI182*Z182</f>
        <v>138936.42584899519</v>
      </c>
      <c r="BG182" s="33">
        <f>$AJ182/$AI182*AA182</f>
        <v>147600.71937550316</v>
      </c>
      <c r="BH182" s="33">
        <f>$AJ182/$AI182*AB182</f>
        <v>128278.22164600118</v>
      </c>
      <c r="BI182" s="33">
        <f>$AJ182/$AI182*AC182</f>
        <v>118419.75246075337</v>
      </c>
      <c r="BJ182" s="33">
        <f>$AJ182/$AI182*AD182</f>
        <v>104904.03987608459</v>
      </c>
      <c r="BK182" s="33">
        <f>$AJ182/$AI182*AE182</f>
        <v>65615.396891126889</v>
      </c>
      <c r="BL182" s="33">
        <f>$AJ182/$AI182*AF182</f>
        <v>98575.725060132783</v>
      </c>
      <c r="BM182" s="33">
        <f>$AJ182/$AI182*AG182</f>
        <v>55962.464050998562</v>
      </c>
      <c r="BN182" s="33">
        <f>$AJ182/$AI182*AH182</f>
        <v>128850.15601121333</v>
      </c>
    </row>
    <row r="183" spans="1:66" x14ac:dyDescent="0.25">
      <c r="A183" s="4" t="s">
        <v>81</v>
      </c>
      <c r="B183" s="4">
        <v>37</v>
      </c>
      <c r="C183" s="4" t="s">
        <v>2</v>
      </c>
      <c r="D183" s="4" t="str">
        <f>A183&amp;C183</f>
        <v>MTWAPA EXPRESSDELI</v>
      </c>
      <c r="E183" s="2">
        <v>38332.370000000003</v>
      </c>
      <c r="F183" s="2">
        <v>47040.25</v>
      </c>
      <c r="G183" s="2">
        <v>41032.78</v>
      </c>
      <c r="H183" s="2">
        <v>46996.41</v>
      </c>
      <c r="I183" s="2">
        <v>51336.99</v>
      </c>
      <c r="J183" s="2">
        <v>50761.17</v>
      </c>
      <c r="K183" s="2">
        <v>41959.4</v>
      </c>
      <c r="L183" s="2">
        <v>44033.09</v>
      </c>
      <c r="M183" s="2">
        <v>36909.32</v>
      </c>
      <c r="N183" s="2">
        <v>46191.72</v>
      </c>
      <c r="O183" s="2">
        <v>41442.129999999997</v>
      </c>
      <c r="P183" s="2">
        <v>43201.599999999999</v>
      </c>
      <c r="Q183" s="2">
        <v>53925.69</v>
      </c>
      <c r="R183" s="2">
        <v>42650.37</v>
      </c>
      <c r="S183" s="2">
        <v>43986.45</v>
      </c>
      <c r="T183" s="2">
        <v>41057.89</v>
      </c>
      <c r="U183" s="2">
        <v>38970.94</v>
      </c>
      <c r="V183" s="2">
        <v>36488.870000000003</v>
      </c>
      <c r="W183" s="2">
        <v>46110.74</v>
      </c>
      <c r="X183" s="2">
        <v>50961.18</v>
      </c>
      <c r="Y183" s="2">
        <v>45609.23</v>
      </c>
      <c r="Z183" s="2">
        <v>41773.4</v>
      </c>
      <c r="AA183" s="2">
        <v>40151.050000000003</v>
      </c>
      <c r="AB183" s="2">
        <v>37030.370000000003</v>
      </c>
      <c r="AC183" s="2">
        <v>34766.449999999997</v>
      </c>
      <c r="AD183" s="2">
        <v>45181.42</v>
      </c>
      <c r="AE183" s="2">
        <v>48574.51</v>
      </c>
      <c r="AF183" s="3">
        <v>53421.477899999998</v>
      </c>
      <c r="AG183" s="2">
        <v>52754.75</v>
      </c>
      <c r="AH183" s="2">
        <v>48161.120000000003</v>
      </c>
      <c r="AI183" s="24">
        <f>SUM(E183:AH183)</f>
        <v>1330813.1379</v>
      </c>
      <c r="AJ183" s="26">
        <v>1017662.9069072374</v>
      </c>
      <c r="AK183" s="33">
        <f>$AJ183/$AI183*E183</f>
        <v>29312.478192392951</v>
      </c>
      <c r="AL183" s="33">
        <f>$AJ183/$AI183*F183</f>
        <v>35971.329252266754</v>
      </c>
      <c r="AM183" s="33">
        <f>$AJ183/$AI183*G183</f>
        <v>31377.461631599028</v>
      </c>
      <c r="AN183" s="33">
        <f>$AJ183/$AI183*H183</f>
        <v>35937.805130383487</v>
      </c>
      <c r="AO183" s="33">
        <f>$AJ183/$AI183*I183</f>
        <v>39257.014367702672</v>
      </c>
      <c r="AP183" s="33">
        <f>$AJ183/$AI183*J183</f>
        <v>38816.689097109083</v>
      </c>
      <c r="AQ183" s="33">
        <f>$AJ183/$AI183*K183</f>
        <v>32086.041052663659</v>
      </c>
      <c r="AR183" s="33">
        <f>$AJ183/$AI183*L183</f>
        <v>33671.77636991076</v>
      </c>
      <c r="AS183" s="33">
        <f>$AJ183/$AI183*M183</f>
        <v>28224.282443168868</v>
      </c>
      <c r="AT183" s="33">
        <f>$AJ183/$AI183*N183</f>
        <v>35322.464673306691</v>
      </c>
      <c r="AU183" s="33">
        <f>$AJ183/$AI183*O183</f>
        <v>31690.488531528666</v>
      </c>
      <c r="AV183" s="33">
        <f>$AJ183/$AI183*P183</f>
        <v>33035.942152193646</v>
      </c>
      <c r="AW183" s="33">
        <f>$AJ183/$AI183*Q183</f>
        <v>41236.574000896442</v>
      </c>
      <c r="AX183" s="33">
        <f>$AJ183/$AI183*R183</f>
        <v>32614.420671680113</v>
      </c>
      <c r="AY183" s="33">
        <f>$AJ183/$AI183*S183</f>
        <v>33636.111108856116</v>
      </c>
      <c r="AZ183" s="33">
        <f>$AJ183/$AI183*T183</f>
        <v>31396.663061810908</v>
      </c>
      <c r="BA183" s="33">
        <f>$AJ183/$AI183*U183</f>
        <v>29800.787921202216</v>
      </c>
      <c r="BB183" s="33">
        <f>$AJ183/$AI183*V183</f>
        <v>27902.767455809841</v>
      </c>
      <c r="BC183" s="33">
        <f>$AJ183/$AI183*W183</f>
        <v>35260.539869700238</v>
      </c>
      <c r="BD183" s="33">
        <f>$AJ183/$AI183*X183</f>
        <v>38969.635256275877</v>
      </c>
      <c r="BE183" s="33">
        <f>$AJ183/$AI183*Y183</f>
        <v>34877.038903329856</v>
      </c>
      <c r="BF183" s="33">
        <f>$AJ183/$AI183*Z183</f>
        <v>31943.808236279358</v>
      </c>
      <c r="BG183" s="33">
        <f>$AJ183/$AI183*AA183</f>
        <v>30703.209259606934</v>
      </c>
      <c r="BH183" s="33">
        <f>$AJ183/$AI183*AB183</f>
        <v>28316.848477702846</v>
      </c>
      <c r="BI183" s="33">
        <f>$AJ183/$AI183*AC183</f>
        <v>26585.645694537536</v>
      </c>
      <c r="BJ183" s="33">
        <f>$AJ183/$AI183*AD183</f>
        <v>34549.895778720354</v>
      </c>
      <c r="BK183" s="33">
        <f>$AJ183/$AI183*AE183</f>
        <v>37144.566461222545</v>
      </c>
      <c r="BL183" s="33">
        <f>$AJ183/$AI183*AF183</f>
        <v>40851.006758756419</v>
      </c>
      <c r="BM183" s="33">
        <f>$AJ183/$AI183*AG183</f>
        <v>40341.164893277979</v>
      </c>
      <c r="BN183" s="33">
        <f>$AJ183/$AI183*AH183</f>
        <v>36828.45020334563</v>
      </c>
    </row>
    <row r="184" spans="1:66" x14ac:dyDescent="0.25">
      <c r="A184" s="4" t="s">
        <v>38</v>
      </c>
      <c r="B184" s="4">
        <v>38</v>
      </c>
      <c r="C184" s="4" t="s">
        <v>2</v>
      </c>
      <c r="D184" s="4" t="str">
        <f>A184&amp;C184</f>
        <v>ELDORETDELI</v>
      </c>
      <c r="E184" s="2">
        <v>69338.87</v>
      </c>
      <c r="F184" s="2">
        <v>71615.89</v>
      </c>
      <c r="G184" s="2">
        <v>67288.98</v>
      </c>
      <c r="H184" s="2">
        <v>63950.97</v>
      </c>
      <c r="I184" s="2">
        <v>63818.85</v>
      </c>
      <c r="J184" s="2">
        <v>55309.57</v>
      </c>
      <c r="K184" s="2">
        <v>67329.48</v>
      </c>
      <c r="L184" s="2">
        <v>72187.899999999994</v>
      </c>
      <c r="M184" s="2">
        <v>65570.06</v>
      </c>
      <c r="N184" s="2">
        <v>65508.22</v>
      </c>
      <c r="O184" s="2">
        <v>72158.5</v>
      </c>
      <c r="P184" s="2">
        <v>50986.17</v>
      </c>
      <c r="Q184" s="2">
        <v>54404.87</v>
      </c>
      <c r="R184" s="2">
        <v>62290.33</v>
      </c>
      <c r="S184" s="2">
        <v>66062.240000000005</v>
      </c>
      <c r="T184" s="2">
        <v>58698.85</v>
      </c>
      <c r="U184" s="2">
        <v>62522.89</v>
      </c>
      <c r="V184" s="2">
        <v>66743.44</v>
      </c>
      <c r="W184" s="2">
        <v>55419.41</v>
      </c>
      <c r="X184" s="2">
        <v>61103.58</v>
      </c>
      <c r="Y184" s="2">
        <v>73566.990000000005</v>
      </c>
      <c r="Z184" s="2">
        <v>78801.320000000007</v>
      </c>
      <c r="AA184" s="2">
        <v>73128.98</v>
      </c>
      <c r="AB184" s="2">
        <v>61839.75</v>
      </c>
      <c r="AC184" s="2">
        <v>61265.279999999999</v>
      </c>
      <c r="AD184" s="2">
        <v>60898.7</v>
      </c>
      <c r="AE184" s="2">
        <v>62342.11</v>
      </c>
      <c r="AF184" s="3">
        <v>63566.235670000002</v>
      </c>
      <c r="AG184" s="2">
        <v>61182.85</v>
      </c>
      <c r="AH184" s="2">
        <v>70014.03</v>
      </c>
      <c r="AI184" s="24">
        <f>SUM(E184:AH184)</f>
        <v>1938915.3156699999</v>
      </c>
      <c r="AJ184" s="26">
        <v>1567105.8938110885</v>
      </c>
      <c r="AK184" s="33">
        <f>$AJ184/$AI184*E184</f>
        <v>56042.340255408475</v>
      </c>
      <c r="AL184" s="33">
        <f>$AJ184/$AI184*F184</f>
        <v>57882.715352498613</v>
      </c>
      <c r="AM184" s="33">
        <f>$AJ184/$AI184*G184</f>
        <v>54385.540355638557</v>
      </c>
      <c r="AN184" s="33">
        <f>$AJ184/$AI184*H184</f>
        <v>51687.632354023364</v>
      </c>
      <c r="AO184" s="33">
        <f>$AJ184/$AI184*I184</f>
        <v>51580.847891072866</v>
      </c>
      <c r="AP184" s="33">
        <f>$AJ184/$AI184*J184</f>
        <v>44703.320681752288</v>
      </c>
      <c r="AQ184" s="33">
        <f>$AJ184/$AI184*K184</f>
        <v>54418.274012537557</v>
      </c>
      <c r="AR184" s="33">
        <f>$AJ184/$AI184*L184</f>
        <v>58345.035823678714</v>
      </c>
      <c r="AS184" s="33">
        <f>$AJ184/$AI184*M184</f>
        <v>52996.243133001</v>
      </c>
      <c r="AT184" s="33">
        <f>$AJ184/$AI184*N184</f>
        <v>52946.26166775079</v>
      </c>
      <c r="AU184" s="33">
        <f>$AJ184/$AI184*O184</f>
        <v>58321.273613485377</v>
      </c>
      <c r="AV184" s="33">
        <f>$AJ184/$AI184*P184</f>
        <v>41208.982601823482</v>
      </c>
      <c r="AW184" s="33">
        <f>$AJ184/$AI184*Q184</f>
        <v>43972.107363319672</v>
      </c>
      <c r="AX184" s="33">
        <f>$AJ184/$AI184*R184</f>
        <v>50345.439267782684</v>
      </c>
      <c r="AY184" s="33">
        <f>$AJ184/$AI184*S184</f>
        <v>53394.04192936021</v>
      </c>
      <c r="AZ184" s="33">
        <f>$AJ184/$AI184*T184</f>
        <v>47442.66706828629</v>
      </c>
      <c r="BA184" s="33">
        <f>$AJ184/$AI184*U184</f>
        <v>50533.403199842687</v>
      </c>
      <c r="BB184" s="33">
        <f>$AJ184/$AI184*V184</f>
        <v>53944.613956016889</v>
      </c>
      <c r="BC184" s="33">
        <f>$AJ184/$AI184*W184</f>
        <v>44792.097592216131</v>
      </c>
      <c r="BD184" s="33">
        <f>$AJ184/$AI184*X184</f>
        <v>49386.262296797926</v>
      </c>
      <c r="BE184" s="33">
        <f>$AJ184/$AI184*Y184</f>
        <v>59459.669376588245</v>
      </c>
      <c r="BF184" s="33">
        <f>$AJ184/$AI184*Z184</f>
        <v>63690.256100443024</v>
      </c>
      <c r="BG184" s="33">
        <f>$AJ184/$AI184*AA184</f>
        <v>59105.652856629502</v>
      </c>
      <c r="BH184" s="33">
        <f>$AJ184/$AI184*AB184</f>
        <v>49981.263190608624</v>
      </c>
      <c r="BI184" s="33">
        <f>$AJ184/$AI184*AC184</f>
        <v>49516.954452861319</v>
      </c>
      <c r="BJ184" s="33">
        <f>$AJ184/$AI184*AD184</f>
        <v>49220.670404811099</v>
      </c>
      <c r="BK184" s="33">
        <f>$AJ184/$AI184*AE184</f>
        <v>50387.28985430688</v>
      </c>
      <c r="BL184" s="33">
        <f>$AJ184/$AI184*AF184</f>
        <v>51376.675278579292</v>
      </c>
      <c r="BM184" s="33">
        <f>$AJ184/$AI184*AG184</f>
        <v>49450.331358091338</v>
      </c>
      <c r="BN184" s="33">
        <f>$AJ184/$AI184*AH184</f>
        <v>56588.030521875779</v>
      </c>
    </row>
    <row r="185" spans="1:66" x14ac:dyDescent="0.25">
      <c r="A185" s="4" t="s">
        <v>36</v>
      </c>
      <c r="B185" s="4">
        <v>39</v>
      </c>
      <c r="C185" s="4" t="s">
        <v>2</v>
      </c>
      <c r="D185" s="4" t="str">
        <f>A185&amp;C185</f>
        <v>KAKAMEGADELI</v>
      </c>
      <c r="E185" s="2">
        <v>68173.990000000005</v>
      </c>
      <c r="F185" s="2">
        <v>66994.09</v>
      </c>
      <c r="G185" s="2">
        <v>63046.99</v>
      </c>
      <c r="H185" s="2">
        <v>69190.039999999994</v>
      </c>
      <c r="I185" s="2">
        <v>73513.820000000007</v>
      </c>
      <c r="J185" s="2">
        <v>61517.41</v>
      </c>
      <c r="K185" s="2">
        <v>62345.37</v>
      </c>
      <c r="L185" s="2">
        <v>68983.16</v>
      </c>
      <c r="M185" s="2">
        <v>64796.67</v>
      </c>
      <c r="N185" s="2">
        <v>62894.05</v>
      </c>
      <c r="O185" s="2">
        <v>72531.759999999995</v>
      </c>
      <c r="P185" s="2">
        <v>63834.76</v>
      </c>
      <c r="Q185" s="2">
        <v>53765.09</v>
      </c>
      <c r="R185" s="2">
        <v>59852.13</v>
      </c>
      <c r="S185" s="2">
        <v>56268.77</v>
      </c>
      <c r="T185" s="2">
        <v>59681.11</v>
      </c>
      <c r="U185" s="2">
        <v>65399.05</v>
      </c>
      <c r="V185" s="2">
        <v>64680.6</v>
      </c>
      <c r="W185" s="2">
        <v>66352.789999999994</v>
      </c>
      <c r="X185" s="2">
        <v>55369.13</v>
      </c>
      <c r="Y185" s="2">
        <v>73620.960000000006</v>
      </c>
      <c r="Z185" s="2">
        <v>80039.81</v>
      </c>
      <c r="AA185" s="2">
        <v>71207.210000000006</v>
      </c>
      <c r="AB185" s="2">
        <v>63848.61</v>
      </c>
      <c r="AC185" s="2">
        <v>66137.75</v>
      </c>
      <c r="AD185" s="2">
        <v>62209.77</v>
      </c>
      <c r="AE185" s="2">
        <v>59165.13</v>
      </c>
      <c r="AF185" s="3">
        <v>72295.149220000007</v>
      </c>
      <c r="AG185" s="2">
        <v>68269.14</v>
      </c>
      <c r="AH185" s="2">
        <v>66440.160000000003</v>
      </c>
      <c r="AI185" s="24">
        <f>SUM(E185:AH185)</f>
        <v>1962424.4692199999</v>
      </c>
      <c r="AJ185" s="26">
        <v>1476015.8040675996</v>
      </c>
      <c r="AK185" s="33">
        <f>$AJ185/$AI185*E185</f>
        <v>51276.310627303807</v>
      </c>
      <c r="AL185" s="33">
        <f>$AJ185/$AI185*F185</f>
        <v>50388.861925692589</v>
      </c>
      <c r="AM185" s="33">
        <f>$AJ185/$AI185*G185</f>
        <v>47420.094428337208</v>
      </c>
      <c r="AN185" s="33">
        <f>$AJ185/$AI185*H185</f>
        <v>52040.521368275127</v>
      </c>
      <c r="AO185" s="33">
        <f>$AJ185/$AI185*I185</f>
        <v>55292.604550792748</v>
      </c>
      <c r="AP185" s="33">
        <f>$AJ185/$AI185*J185</f>
        <v>46269.637792172725</v>
      </c>
      <c r="AQ185" s="33">
        <f>$AJ185/$AI185*K185</f>
        <v>46892.378725290801</v>
      </c>
      <c r="AR185" s="33">
        <f>$AJ185/$AI185*L185</f>
        <v>51884.918870275877</v>
      </c>
      <c r="AS185" s="33">
        <f>$AJ185/$AI185*M185</f>
        <v>48736.096838910227</v>
      </c>
      <c r="AT185" s="33">
        <f>$AJ185/$AI185*N185</f>
        <v>47305.062303221166</v>
      </c>
      <c r="AU185" s="33">
        <f>$AJ185/$AI185*O185</f>
        <v>54553.959011421342</v>
      </c>
      <c r="AV185" s="33">
        <f>$AJ185/$AI185*P185</f>
        <v>48012.606898604405</v>
      </c>
      <c r="AW185" s="33">
        <f>$AJ185/$AI185*Q185</f>
        <v>40438.816266217444</v>
      </c>
      <c r="AX185" s="33">
        <f>$AJ185/$AI185*R185</f>
        <v>45017.115905725463</v>
      </c>
      <c r="AY185" s="33">
        <f>$AJ185/$AI185*S185</f>
        <v>42321.93141601824</v>
      </c>
      <c r="AZ185" s="33">
        <f>$AJ185/$AI185*T185</f>
        <v>44888.485109090536</v>
      </c>
      <c r="BA185" s="33">
        <f>$AJ185/$AI185*U185</f>
        <v>49189.17027638507</v>
      </c>
      <c r="BB185" s="33">
        <f>$AJ185/$AI185*V185</f>
        <v>48648.796075459075</v>
      </c>
      <c r="BC185" s="33">
        <f>$AJ185/$AI185*W185</f>
        <v>49906.5152417844</v>
      </c>
      <c r="BD185" s="33">
        <f>$AJ185/$AI185*X185</f>
        <v>41645.277165727952</v>
      </c>
      <c r="BE185" s="33">
        <f>$AJ185/$AI185*Y185</f>
        <v>55373.188713764714</v>
      </c>
      <c r="BF185" s="33">
        <f>$AJ185/$AI185*Z185</f>
        <v>60201.05556547852</v>
      </c>
      <c r="BG185" s="33">
        <f>$AJ185/$AI185*AA185</f>
        <v>53557.713416269959</v>
      </c>
      <c r="BH185" s="33">
        <f>$AJ185/$AI185*AB185</f>
        <v>48023.024022527883</v>
      </c>
      <c r="BI185" s="33">
        <f>$AJ185/$AI185*AC185</f>
        <v>49744.775290267768</v>
      </c>
      <c r="BJ185" s="33">
        <f>$AJ185/$AI185*AD185</f>
        <v>46790.388688899169</v>
      </c>
      <c r="BK185" s="33">
        <f>$AJ185/$AI185*AE185</f>
        <v>44500.396473564346</v>
      </c>
      <c r="BL185" s="33">
        <f>$AJ185/$AI185*AF185</f>
        <v>54375.99483691655</v>
      </c>
      <c r="BM185" s="33">
        <f>$AJ185/$AI185*AG185</f>
        <v>51347.87664472757</v>
      </c>
      <c r="BN185" s="33">
        <f>$AJ185/$AI185*AH185</f>
        <v>49972.229618477155</v>
      </c>
    </row>
    <row r="186" spans="1:66" x14ac:dyDescent="0.25">
      <c r="A186" s="4" t="s">
        <v>39</v>
      </c>
      <c r="B186" s="4">
        <v>40</v>
      </c>
      <c r="C186" s="4" t="s">
        <v>2</v>
      </c>
      <c r="D186" s="4" t="str">
        <f>A186&amp;C186</f>
        <v>CHANIADELI</v>
      </c>
      <c r="E186" s="2">
        <v>45354.22</v>
      </c>
      <c r="F186" s="2">
        <v>47200.94</v>
      </c>
      <c r="G186" s="2">
        <v>52634.71</v>
      </c>
      <c r="H186" s="2">
        <v>52019.56</v>
      </c>
      <c r="I186" s="2">
        <v>51137.35</v>
      </c>
      <c r="J186" s="2">
        <v>68871.710000000006</v>
      </c>
      <c r="K186" s="2">
        <v>56785.440000000002</v>
      </c>
      <c r="L186" s="2">
        <v>52012.31</v>
      </c>
      <c r="M186" s="2">
        <v>54351.03</v>
      </c>
      <c r="N186" s="2">
        <v>44371.44</v>
      </c>
      <c r="O186" s="2">
        <v>48256.639999999999</v>
      </c>
      <c r="P186" s="2">
        <v>46735.53</v>
      </c>
      <c r="Q186" s="2">
        <v>56277.81</v>
      </c>
      <c r="R186" s="2">
        <v>81253.509999999995</v>
      </c>
      <c r="S186" s="2">
        <v>42062.57</v>
      </c>
      <c r="T186" s="2">
        <v>41497.74</v>
      </c>
      <c r="U186" s="2">
        <v>47944.89</v>
      </c>
      <c r="V186" s="2">
        <v>51022.3</v>
      </c>
      <c r="W186" s="2">
        <v>51033.29</v>
      </c>
      <c r="X186" s="2">
        <v>55777.65</v>
      </c>
      <c r="Y186" s="2">
        <v>50738.559999999998</v>
      </c>
      <c r="Z186" s="2">
        <v>53311.39</v>
      </c>
      <c r="AA186" s="2">
        <v>53684.87</v>
      </c>
      <c r="AB186" s="2">
        <v>40470.839999999997</v>
      </c>
      <c r="AC186" s="2">
        <v>57644.33</v>
      </c>
      <c r="AD186" s="2">
        <v>58238.04</v>
      </c>
      <c r="AE186" s="2">
        <v>55391.05</v>
      </c>
      <c r="AF186" s="3">
        <v>68513.160390000005</v>
      </c>
      <c r="AG186" s="2">
        <v>65449.34</v>
      </c>
      <c r="AH186" s="2">
        <v>51408.53</v>
      </c>
      <c r="AI186" s="24">
        <f>SUM(E186:AH186)</f>
        <v>1601450.7503900004</v>
      </c>
      <c r="AJ186" s="26">
        <v>1243448.9611545159</v>
      </c>
      <c r="AK186" s="33">
        <f>$AJ186/$AI186*E186</f>
        <v>35215.355657512024</v>
      </c>
      <c r="AL186" s="33">
        <f>$AJ186/$AI186*F186</f>
        <v>36649.244314396441</v>
      </c>
      <c r="AM186" s="33">
        <f>$AJ186/$AI186*G186</f>
        <v>40868.303601737709</v>
      </c>
      <c r="AN186" s="33">
        <f>$AJ186/$AI186*H186</f>
        <v>40390.669413943971</v>
      </c>
      <c r="AO186" s="33">
        <f>$AJ186/$AI186*I186</f>
        <v>39705.676067908833</v>
      </c>
      <c r="AP186" s="33">
        <f>$AJ186/$AI186*J186</f>
        <v>53475.547862823514</v>
      </c>
      <c r="AQ186" s="33">
        <f>$AJ186/$AI186*K186</f>
        <v>44091.144457303191</v>
      </c>
      <c r="AR186" s="33">
        <f>$AJ186/$AI186*L186</f>
        <v>40385.040140008336</v>
      </c>
      <c r="AS186" s="33">
        <f>$AJ186/$AI186*M186</f>
        <v>42200.942972938472</v>
      </c>
      <c r="AT186" s="33">
        <f>$AJ186/$AI186*N186</f>
        <v>34452.274576344942</v>
      </c>
      <c r="AU186" s="33">
        <f>$AJ186/$AI186*O186</f>
        <v>37468.94424458233</v>
      </c>
      <c r="AV186" s="33">
        <f>$AJ186/$AI186*P186</f>
        <v>36287.875985791899</v>
      </c>
      <c r="AW186" s="33">
        <f>$AJ186/$AI186*Q186</f>
        <v>43696.994343103826</v>
      </c>
      <c r="AX186" s="33">
        <f>$AJ186/$AI186*R186</f>
        <v>63089.416002991769</v>
      </c>
      <c r="AY186" s="33">
        <f>$AJ186/$AI186*S186</f>
        <v>32659.548822998066</v>
      </c>
      <c r="AZ186" s="33">
        <f>$AJ186/$AI186*T186</f>
        <v>32220.985678575504</v>
      </c>
      <c r="BA186" s="33">
        <f>$AJ186/$AI186*U186</f>
        <v>37226.885465350111</v>
      </c>
      <c r="BB186" s="33">
        <f>$AJ186/$AI186*V186</f>
        <v>39616.34531393717</v>
      </c>
      <c r="BC186" s="33">
        <f>$AJ186/$AI186*W186</f>
        <v>39624.878516772013</v>
      </c>
      <c r="BD186" s="33">
        <f>$AJ186/$AI186*X186</f>
        <v>43308.644322187116</v>
      </c>
      <c r="BE186" s="33">
        <f>$AJ186/$AI186*Y186</f>
        <v>39396.03494338593</v>
      </c>
      <c r="BF186" s="33">
        <f>$AJ186/$AI186*Z186</f>
        <v>41393.712855084479</v>
      </c>
      <c r="BG186" s="33">
        <f>$AJ186/$AI186*AA186</f>
        <v>41683.701990185196</v>
      </c>
      <c r="BH186" s="33">
        <f>$AJ186/$AI186*AB186</f>
        <v>31423.647553816681</v>
      </c>
      <c r="BI186" s="33">
        <f>$AJ186/$AI186*AC186</f>
        <v>44758.030952555018</v>
      </c>
      <c r="BJ186" s="33">
        <f>$AJ186/$AI186*AD186</f>
        <v>45219.018018530827</v>
      </c>
      <c r="BK186" s="33">
        <f>$AJ186/$AI186*AE186</f>
        <v>43008.468142391852</v>
      </c>
      <c r="BL186" s="33">
        <f>$AJ186/$AI186*AF186</f>
        <v>53197.151452588427</v>
      </c>
      <c r="BM186" s="33">
        <f>$AJ186/$AI186*AG186</f>
        <v>50818.243278121146</v>
      </c>
      <c r="BN186" s="33">
        <f>$AJ186/$AI186*AH186</f>
        <v>39916.234206648827</v>
      </c>
    </row>
    <row r="187" spans="1:66" x14ac:dyDescent="0.25">
      <c r="A187" s="4" t="s">
        <v>40</v>
      </c>
      <c r="B187" s="4">
        <v>41</v>
      </c>
      <c r="C187" s="4" t="s">
        <v>2</v>
      </c>
      <c r="D187" s="4" t="str">
        <f>A187&amp;C187</f>
        <v>OTCDELI</v>
      </c>
      <c r="E187" s="2">
        <v>87840.91</v>
      </c>
      <c r="F187" s="2">
        <v>102188.74</v>
      </c>
      <c r="G187" s="2">
        <v>89042.2</v>
      </c>
      <c r="H187" s="2">
        <v>102372.39</v>
      </c>
      <c r="I187" s="2">
        <v>100268.58</v>
      </c>
      <c r="J187" s="2">
        <v>84862.35</v>
      </c>
      <c r="K187" s="2">
        <v>85381.3</v>
      </c>
      <c r="L187" s="2">
        <v>83519.839999999997</v>
      </c>
      <c r="M187" s="2">
        <v>87314.64</v>
      </c>
      <c r="N187" s="2">
        <v>86196.96</v>
      </c>
      <c r="O187" s="2">
        <v>94389.79</v>
      </c>
      <c r="P187" s="2">
        <v>99966.69</v>
      </c>
      <c r="Q187" s="2">
        <v>68297.070000000007</v>
      </c>
      <c r="R187" s="2">
        <v>88106.15</v>
      </c>
      <c r="S187" s="2">
        <v>90766.65</v>
      </c>
      <c r="T187" s="2">
        <v>93339.19</v>
      </c>
      <c r="U187" s="2">
        <v>88939.58</v>
      </c>
      <c r="V187" s="2">
        <v>94660.31</v>
      </c>
      <c r="W187" s="2">
        <v>97093.25</v>
      </c>
      <c r="X187" s="2">
        <v>78818.350000000006</v>
      </c>
      <c r="Y187" s="2">
        <v>87644.91</v>
      </c>
      <c r="Z187" s="2">
        <v>114434.51</v>
      </c>
      <c r="AA187" s="2">
        <v>106200.69</v>
      </c>
      <c r="AB187" s="2">
        <v>92565.77</v>
      </c>
      <c r="AC187" s="2">
        <v>74599.070000000007</v>
      </c>
      <c r="AD187" s="2">
        <v>97290.19</v>
      </c>
      <c r="AE187" s="2">
        <v>70895.27</v>
      </c>
      <c r="AF187" s="3">
        <v>109518.73759999999</v>
      </c>
      <c r="AG187" s="2">
        <v>73111.199999999997</v>
      </c>
      <c r="AH187" s="2">
        <v>83678.92</v>
      </c>
      <c r="AI187" s="24">
        <f>SUM(E187:AH187)</f>
        <v>2713304.2076000003</v>
      </c>
      <c r="AJ187" s="26">
        <v>1755654.3921248731</v>
      </c>
      <c r="AK187" s="33">
        <f>$AJ187/$AI187*E187</f>
        <v>56837.813842538657</v>
      </c>
      <c r="AL187" s="33">
        <f>$AJ187/$AI187*F187</f>
        <v>66121.634907056228</v>
      </c>
      <c r="AM187" s="33">
        <f>$AJ187/$AI187*G187</f>
        <v>57615.113364946868</v>
      </c>
      <c r="AN187" s="33">
        <f>$AJ187/$AI187*H187</f>
        <v>66240.4663776339</v>
      </c>
      <c r="AO187" s="33">
        <f>$AJ187/$AI187*I187</f>
        <v>64879.187662055127</v>
      </c>
      <c r="AP187" s="33">
        <f>$AJ187/$AI187*J187</f>
        <v>54910.52462389518</v>
      </c>
      <c r="AQ187" s="33">
        <f>$AJ187/$AI187*K187</f>
        <v>55246.313307022276</v>
      </c>
      <c r="AR187" s="33">
        <f>$AJ187/$AI187*L187</f>
        <v>54041.848132932748</v>
      </c>
      <c r="AS187" s="33">
        <f>$AJ187/$AI187*M187</f>
        <v>56497.288723992948</v>
      </c>
      <c r="AT187" s="33">
        <f>$AJ187/$AI187*N187</f>
        <v>55774.089388108012</v>
      </c>
      <c r="AU187" s="33">
        <f>$AJ187/$AI187*O187</f>
        <v>61075.292966071465</v>
      </c>
      <c r="AV187" s="33">
        <f>$AJ187/$AI187*P187</f>
        <v>64683.848524278386</v>
      </c>
      <c r="AW187" s="33">
        <f>$AJ187/$AI187*Q187</f>
        <v>44191.893625086901</v>
      </c>
      <c r="AX187" s="33">
        <f>$AJ187/$AI187*R187</f>
        <v>57009.438450521367</v>
      </c>
      <c r="AY187" s="33">
        <f>$AJ187/$AI187*S187</f>
        <v>58730.925667901902</v>
      </c>
      <c r="AZ187" s="33">
        <f>$AJ187/$AI187*T187</f>
        <v>60395.498013776793</v>
      </c>
      <c r="BA187" s="33">
        <f>$AJ187/$AI187*U187</f>
        <v>57548.712681523612</v>
      </c>
      <c r="BB187" s="33">
        <f>$AJ187/$AI187*V187</f>
        <v>61250.334019274167</v>
      </c>
      <c r="BC187" s="33">
        <f>$AJ187/$AI187*W187</f>
        <v>62824.577624105514</v>
      </c>
      <c r="BD187" s="33">
        <f>$AJ187/$AI187*X187</f>
        <v>50999.73013344303</v>
      </c>
      <c r="BE187" s="33">
        <f>$AJ187/$AI187*Y187</f>
        <v>56710.991254827102</v>
      </c>
      <c r="BF187" s="33">
        <f>$AJ187/$AI187*Z187</f>
        <v>74045.30960052814</v>
      </c>
      <c r="BG187" s="33">
        <f>$AJ187/$AI187*AA187</f>
        <v>68717.583278328471</v>
      </c>
      <c r="BH187" s="33">
        <f>$AJ187/$AI187*AB187</f>
        <v>59895.053494450927</v>
      </c>
      <c r="BI187" s="33">
        <f>$AJ187/$AI187*AC187</f>
        <v>48269.628052424669</v>
      </c>
      <c r="BJ187" s="33">
        <f>$AJ187/$AI187*AD187</f>
        <v>62952.008442594866</v>
      </c>
      <c r="BK187" s="33">
        <f>$AJ187/$AI187*AE187</f>
        <v>45873.06937708769</v>
      </c>
      <c r="BL187" s="33">
        <f>$AJ187/$AI187*AF187</f>
        <v>70864.539312931054</v>
      </c>
      <c r="BM187" s="33">
        <f>$AJ187/$AI187*AG187</f>
        <v>47306.895789269627</v>
      </c>
      <c r="BN187" s="33">
        <f>$AJ187/$AI187*AH187</f>
        <v>54144.781486265165</v>
      </c>
    </row>
    <row r="188" spans="1:66" x14ac:dyDescent="0.25">
      <c r="A188" s="4" t="s">
        <v>41</v>
      </c>
      <c r="B188" s="4">
        <v>42</v>
      </c>
      <c r="C188" s="4" t="s">
        <v>2</v>
      </c>
      <c r="D188" s="4" t="str">
        <f>A188&amp;C188</f>
        <v>MTWAPA MALLDELI</v>
      </c>
      <c r="E188" s="2">
        <v>48630.92</v>
      </c>
      <c r="F188" s="2">
        <v>39533.22</v>
      </c>
      <c r="G188" s="2">
        <v>40416.410000000003</v>
      </c>
      <c r="H188" s="2">
        <v>47224.26</v>
      </c>
      <c r="I188" s="2">
        <v>42963.66</v>
      </c>
      <c r="J188" s="2">
        <v>52455.53</v>
      </c>
      <c r="K188" s="2">
        <v>34180.69</v>
      </c>
      <c r="L188" s="2">
        <v>40030.67</v>
      </c>
      <c r="M188" s="2">
        <v>38903.379999999997</v>
      </c>
      <c r="N188" s="2">
        <v>40571.379999999997</v>
      </c>
      <c r="O188" s="2">
        <v>37821.160000000003</v>
      </c>
      <c r="P188" s="2">
        <v>43578.48</v>
      </c>
      <c r="Q188" s="2">
        <v>51728.86</v>
      </c>
      <c r="R188" s="2">
        <v>45155.15</v>
      </c>
      <c r="S188" s="2">
        <v>43304.55</v>
      </c>
      <c r="T188" s="2">
        <v>51340.11</v>
      </c>
      <c r="U188" s="2">
        <v>50748.68</v>
      </c>
      <c r="V188" s="2">
        <v>38742.980000000003</v>
      </c>
      <c r="W188" s="2">
        <v>53770.3</v>
      </c>
      <c r="X188" s="2">
        <v>44571.3</v>
      </c>
      <c r="Y188" s="2">
        <v>49288.32</v>
      </c>
      <c r="Z188" s="2">
        <v>40272.800000000003</v>
      </c>
      <c r="AA188" s="2">
        <v>35548.54</v>
      </c>
      <c r="AB188" s="2">
        <v>30570.76</v>
      </c>
      <c r="AC188" s="2">
        <v>40884.39</v>
      </c>
      <c r="AD188" s="2">
        <v>46935.44</v>
      </c>
      <c r="AE188" s="2">
        <v>46797.86</v>
      </c>
      <c r="AF188" s="3">
        <v>43319.304649999998</v>
      </c>
      <c r="AG188" s="2">
        <v>53724.18</v>
      </c>
      <c r="AH188" s="2">
        <v>52656.77</v>
      </c>
      <c r="AI188" s="24">
        <f>SUM(E188:AH188)</f>
        <v>1325670.0546500003</v>
      </c>
      <c r="AJ188" s="26">
        <v>846314.2221789558</v>
      </c>
      <c r="AK188" s="33">
        <f>$AJ188/$AI188*E188</f>
        <v>31046.216280802379</v>
      </c>
      <c r="AL188" s="33">
        <f>$AJ188/$AI188*F188</f>
        <v>25238.20027251268</v>
      </c>
      <c r="AM188" s="33">
        <f>$AJ188/$AI188*G188</f>
        <v>25802.033071831342</v>
      </c>
      <c r="AN188" s="33">
        <f>$AJ188/$AI188*H188</f>
        <v>30148.197682890735</v>
      </c>
      <c r="AO188" s="33">
        <f>$AJ188/$AI188*I188</f>
        <v>27428.209883235977</v>
      </c>
      <c r="AP188" s="33">
        <f>$AJ188/$AI188*J188</f>
        <v>33487.865940108015</v>
      </c>
      <c r="AQ188" s="33">
        <f>$AJ188/$AI188*K188</f>
        <v>21821.119040459427</v>
      </c>
      <c r="AR188" s="33">
        <f>$AJ188/$AI188*L188</f>
        <v>25555.774776323939</v>
      </c>
      <c r="AS188" s="33">
        <f>$AJ188/$AI188*M188</f>
        <v>24836.107347634832</v>
      </c>
      <c r="AT188" s="33">
        <f>$AJ188/$AI188*N188</f>
        <v>25900.966674918345</v>
      </c>
      <c r="AU188" s="33">
        <f>$AJ188/$AI188*O188</f>
        <v>24145.212826548046</v>
      </c>
      <c r="AV188" s="33">
        <f>$AJ188/$AI188*P188</f>
        <v>27820.713966929292</v>
      </c>
      <c r="AW188" s="33">
        <f>$AJ188/$AI188*Q188</f>
        <v>33023.956271428695</v>
      </c>
      <c r="AX188" s="33">
        <f>$AJ188/$AI188*R188</f>
        <v>28827.267777209927</v>
      </c>
      <c r="AY188" s="33">
        <f>$AJ188/$AI188*S188</f>
        <v>27645.835720213003</v>
      </c>
      <c r="AZ188" s="33">
        <f>$AJ188/$AI188*T188</f>
        <v>32775.776377255155</v>
      </c>
      <c r="BA188" s="33">
        <f>$AJ188/$AI188*U188</f>
        <v>32398.204583528961</v>
      </c>
      <c r="BB188" s="33">
        <f>$AJ188/$AI188*V188</f>
        <v>24733.707206090305</v>
      </c>
      <c r="BC188" s="33">
        <f>$AJ188/$AI188*W188</f>
        <v>34327.221514288198</v>
      </c>
      <c r="BD188" s="33">
        <f>$AJ188/$AI188*X188</f>
        <v>28454.535092417074</v>
      </c>
      <c r="BE188" s="33">
        <f>$AJ188/$AI188*Y188</f>
        <v>31465.903643965561</v>
      </c>
      <c r="BF188" s="33">
        <f>$AJ188/$AI188*Z188</f>
        <v>25710.351748095618</v>
      </c>
      <c r="BG188" s="33">
        <f>$AJ188/$AI188*AA188</f>
        <v>22694.361145270432</v>
      </c>
      <c r="BH188" s="33">
        <f>$AJ188/$AI188*AB188</f>
        <v>19516.522139176108</v>
      </c>
      <c r="BI188" s="33">
        <f>$AJ188/$AI188*AC188</f>
        <v>26100.793784050849</v>
      </c>
      <c r="BJ188" s="33">
        <f>$AJ188/$AI188*AD188</f>
        <v>29963.813587623335</v>
      </c>
      <c r="BK188" s="33">
        <f>$AJ188/$AI188*AE188</f>
        <v>29875.98184526862</v>
      </c>
      <c r="BL188" s="33">
        <f>$AJ188/$AI188*AF188</f>
        <v>27655.255160664619</v>
      </c>
      <c r="BM188" s="33">
        <f>$AJ188/$AI188*AG188</f>
        <v>34297.778281569786</v>
      </c>
      <c r="BN188" s="33">
        <f>$AJ188/$AI188*AH188</f>
        <v>33616.338536644304</v>
      </c>
    </row>
    <row r="189" spans="1:66" x14ac:dyDescent="0.25">
      <c r="A189" s="4" t="s">
        <v>42</v>
      </c>
      <c r="B189" s="4">
        <v>43</v>
      </c>
      <c r="C189" s="4" t="s">
        <v>2</v>
      </c>
      <c r="D189" s="4" t="str">
        <f>A189&amp;C189</f>
        <v>KITALEDELI</v>
      </c>
      <c r="E189" s="2">
        <v>46300.33</v>
      </c>
      <c r="F189" s="2">
        <v>44664.83</v>
      </c>
      <c r="G189" s="2">
        <v>45888.15</v>
      </c>
      <c r="H189" s="2">
        <v>47149.41</v>
      </c>
      <c r="I189" s="2">
        <v>44328.66</v>
      </c>
      <c r="J189" s="2">
        <v>31976.34</v>
      </c>
      <c r="K189" s="2">
        <v>42418.01</v>
      </c>
      <c r="L189" s="2">
        <v>43311.1</v>
      </c>
      <c r="M189" s="2">
        <v>44688.75</v>
      </c>
      <c r="N189" s="2">
        <v>40009.79</v>
      </c>
      <c r="O189" s="2">
        <v>42255.15</v>
      </c>
      <c r="P189" s="2">
        <v>41562.239999999998</v>
      </c>
      <c r="Q189" s="2">
        <v>30888.52</v>
      </c>
      <c r="R189" s="2">
        <v>40072.68</v>
      </c>
      <c r="S189" s="2">
        <v>39133.86</v>
      </c>
      <c r="T189" s="2">
        <v>36949.17</v>
      </c>
      <c r="U189" s="2">
        <v>40773.050000000003</v>
      </c>
      <c r="V189" s="2">
        <v>42573.77</v>
      </c>
      <c r="W189" s="2">
        <v>36078.76</v>
      </c>
      <c r="X189" s="2">
        <v>33329.620000000003</v>
      </c>
      <c r="Y189" s="2">
        <v>43275.12</v>
      </c>
      <c r="Z189" s="2">
        <v>47616</v>
      </c>
      <c r="AA189" s="2">
        <v>37802.44</v>
      </c>
      <c r="AB189" s="2">
        <v>40481.26</v>
      </c>
      <c r="AC189" s="2">
        <v>41734.199999999997</v>
      </c>
      <c r="AD189" s="2">
        <v>40134.550000000003</v>
      </c>
      <c r="AE189" s="2">
        <v>35822.730000000003</v>
      </c>
      <c r="AF189" s="3">
        <v>50607.907039999998</v>
      </c>
      <c r="AG189" s="2">
        <v>35872.57</v>
      </c>
      <c r="AH189" s="2">
        <v>45928.88</v>
      </c>
      <c r="AI189" s="24">
        <f>SUM(E189:AH189)</f>
        <v>1233627.8470399999</v>
      </c>
      <c r="AJ189" s="26">
        <v>829258.02263389761</v>
      </c>
      <c r="AK189" s="33">
        <f>$AJ189/$AI189*E189</f>
        <v>31123.584146728484</v>
      </c>
      <c r="AL189" s="33">
        <f>$AJ189/$AI189*F189</f>
        <v>30024.183302890557</v>
      </c>
      <c r="AM189" s="33">
        <f>$AJ189/$AI189*G189</f>
        <v>30846.512278912454</v>
      </c>
      <c r="AN189" s="33">
        <f>$AJ189/$AI189*H189</f>
        <v>31694.344934552333</v>
      </c>
      <c r="AO189" s="33">
        <f>$AJ189/$AI189*I189</f>
        <v>29798.206181720889</v>
      </c>
      <c r="AP189" s="33">
        <f>$AJ189/$AI189*J189</f>
        <v>21494.842665147309</v>
      </c>
      <c r="AQ189" s="33">
        <f>$AJ189/$AI189*K189</f>
        <v>28513.846522730408</v>
      </c>
      <c r="AR189" s="33">
        <f>$AJ189/$AI189*L189</f>
        <v>29114.191310026774</v>
      </c>
      <c r="AS189" s="33">
        <f>$AJ189/$AI189*M189</f>
        <v>30040.262586403001</v>
      </c>
      <c r="AT189" s="33">
        <f>$AJ189/$AI189*N189</f>
        <v>26895.014911512204</v>
      </c>
      <c r="AU189" s="33">
        <f>$AJ189/$AI189*O189</f>
        <v>28404.370263832549</v>
      </c>
      <c r="AV189" s="33">
        <f>$AJ189/$AI189*P189</f>
        <v>27938.588644325522</v>
      </c>
      <c r="AW189" s="33">
        <f>$AJ189/$AI189*Q189</f>
        <v>20763.598259189635</v>
      </c>
      <c r="AX189" s="33">
        <f>$AJ189/$AI189*R189</f>
        <v>26937.290251817289</v>
      </c>
      <c r="AY189" s="33">
        <f>$AJ189/$AI189*S189</f>
        <v>26306.205262387804</v>
      </c>
      <c r="AZ189" s="33">
        <f>$AJ189/$AI189*T189</f>
        <v>24837.632942287357</v>
      </c>
      <c r="BA189" s="33">
        <f>$AJ189/$AI189*U189</f>
        <v>27408.086564259214</v>
      </c>
      <c r="BB189" s="33">
        <f>$AJ189/$AI189*V189</f>
        <v>28618.550084599065</v>
      </c>
      <c r="BC189" s="33">
        <f>$AJ189/$AI189*W189</f>
        <v>24252.533897050449</v>
      </c>
      <c r="BD189" s="33">
        <f>$AJ189/$AI189*X189</f>
        <v>22404.532163128959</v>
      </c>
      <c r="BE189" s="33">
        <f>$AJ189/$AI189*Y189</f>
        <v>29090.005163673191</v>
      </c>
      <c r="BF189" s="33">
        <f>$AJ189/$AI189*Z189</f>
        <v>32007.99179467238</v>
      </c>
      <c r="BG189" s="33">
        <f>$AJ189/$AI189*AA189</f>
        <v>25411.210293569286</v>
      </c>
      <c r="BH189" s="33">
        <f>$AJ189/$AI189*AB189</f>
        <v>27211.942160576262</v>
      </c>
      <c r="BI189" s="33">
        <f>$AJ189/$AI189*AC189</f>
        <v>28054.182021950939</v>
      </c>
      <c r="BJ189" s="33">
        <f>$AJ189/$AI189*AD189</f>
        <v>26978.879937056208</v>
      </c>
      <c r="BK189" s="33">
        <f>$AJ189/$AI189*AE189</f>
        <v>24080.427753334261</v>
      </c>
      <c r="BL189" s="33">
        <f>$AJ189/$AI189*AF189</f>
        <v>34019.184166705782</v>
      </c>
      <c r="BM189" s="33">
        <f>$AJ189/$AI189*AG189</f>
        <v>24113.930742057513</v>
      </c>
      <c r="BN189" s="33">
        <f>$AJ189/$AI189*AH189</f>
        <v>30873.891426799652</v>
      </c>
    </row>
    <row r="190" spans="1:66" x14ac:dyDescent="0.25">
      <c r="A190" s="4" t="s">
        <v>43</v>
      </c>
      <c r="B190" s="4">
        <v>44</v>
      </c>
      <c r="C190" s="4" t="s">
        <v>2</v>
      </c>
      <c r="D190" s="4" t="str">
        <f>A190&amp;C190</f>
        <v>KISIIDELI</v>
      </c>
      <c r="E190" s="2">
        <v>77005.759999999995</v>
      </c>
      <c r="F190" s="2">
        <v>68064.460000000006</v>
      </c>
      <c r="G190" s="2">
        <v>75484.039999999994</v>
      </c>
      <c r="H190" s="2">
        <v>82291.58</v>
      </c>
      <c r="I190" s="2">
        <v>85698.72</v>
      </c>
      <c r="J190" s="2">
        <v>82091.509999999995</v>
      </c>
      <c r="K190" s="2">
        <v>68919.62</v>
      </c>
      <c r="L190" s="2">
        <v>69462.02</v>
      </c>
      <c r="M190" s="2">
        <v>73183</v>
      </c>
      <c r="N190" s="2">
        <v>75196.38</v>
      </c>
      <c r="O190" s="2">
        <v>82653.22</v>
      </c>
      <c r="P190" s="2">
        <v>85829.35</v>
      </c>
      <c r="Q190" s="2">
        <v>63119.77</v>
      </c>
      <c r="R190" s="2">
        <v>73237.279999999999</v>
      </c>
      <c r="S190" s="2">
        <v>78334.080000000002</v>
      </c>
      <c r="T190" s="2">
        <v>91902.32</v>
      </c>
      <c r="U190" s="2">
        <v>94960.31</v>
      </c>
      <c r="V190" s="2">
        <v>92023.07</v>
      </c>
      <c r="W190" s="2">
        <v>96749.07</v>
      </c>
      <c r="X190" s="2">
        <v>90411.51</v>
      </c>
      <c r="Y190" s="2">
        <v>86096.45</v>
      </c>
      <c r="Z190" s="2">
        <v>79721.929999999993</v>
      </c>
      <c r="AA190" s="2">
        <v>77040.639999999999</v>
      </c>
      <c r="AB190" s="2">
        <v>72137.91</v>
      </c>
      <c r="AC190" s="2">
        <v>74483.05</v>
      </c>
      <c r="AD190" s="2">
        <v>77521.14</v>
      </c>
      <c r="AE190" s="2">
        <v>64449.18</v>
      </c>
      <c r="AF190" s="3">
        <v>91583.610679999998</v>
      </c>
      <c r="AG190" s="2">
        <v>72639.38</v>
      </c>
      <c r="AH190" s="2">
        <v>76061.14</v>
      </c>
      <c r="AI190" s="24">
        <f>SUM(E190:AH190)</f>
        <v>2378351.5006800001</v>
      </c>
      <c r="AJ190" s="26">
        <v>1804717.9453567178</v>
      </c>
      <c r="AK190" s="33">
        <f>$AJ190/$AI190*E190</f>
        <v>58432.774519703344</v>
      </c>
      <c r="AL190" s="33">
        <f>$AJ190/$AI190*F190</f>
        <v>51648.022745121511</v>
      </c>
      <c r="AM190" s="33">
        <f>$AJ190/$AI190*G190</f>
        <v>57278.077499089268</v>
      </c>
      <c r="AN190" s="33">
        <f>$AJ190/$AI190*H190</f>
        <v>62443.709912221238</v>
      </c>
      <c r="AO190" s="33">
        <f>$AJ190/$AI190*I190</f>
        <v>65029.083309965281</v>
      </c>
      <c r="AP190" s="33">
        <f>$AJ190/$AI190*J190</f>
        <v>62291.894707772153</v>
      </c>
      <c r="AQ190" s="33">
        <f>$AJ190/$AI190*K190</f>
        <v>52296.927079787762</v>
      </c>
      <c r="AR190" s="33">
        <f>$AJ190/$AI190*L190</f>
        <v>52708.505861680016</v>
      </c>
      <c r="AS190" s="33">
        <f>$AJ190/$AI190*M190</f>
        <v>55532.024327471743</v>
      </c>
      <c r="AT190" s="33">
        <f>$AJ190/$AI190*N190</f>
        <v>57059.798088323922</v>
      </c>
      <c r="AU190" s="33">
        <f>$AJ190/$AI190*O190</f>
        <v>62718.126119233617</v>
      </c>
      <c r="AV190" s="33">
        <f>$AJ190/$AI190*P190</f>
        <v>65128.206717558547</v>
      </c>
      <c r="AW190" s="33">
        <f>$AJ190/$AI190*Q190</f>
        <v>47895.940357520471</v>
      </c>
      <c r="AX190" s="33">
        <f>$AJ190/$AI190*R190</f>
        <v>55573.212558078507</v>
      </c>
      <c r="AY190" s="33">
        <f>$AJ190/$AI190*S190</f>
        <v>59440.717601493758</v>
      </c>
      <c r="AZ190" s="33">
        <f>$AJ190/$AI190*T190</f>
        <v>69736.439746814052</v>
      </c>
      <c r="BA190" s="33">
        <f>$AJ190/$AI190*U190</f>
        <v>72056.874479923717</v>
      </c>
      <c r="BB190" s="33">
        <f>$AJ190/$AI190*V190</f>
        <v>69828.066107274033</v>
      </c>
      <c r="BC190" s="33">
        <f>$AJ190/$AI190*W190</f>
        <v>73414.204240059393</v>
      </c>
      <c r="BD190" s="33">
        <f>$AJ190/$AI190*X190</f>
        <v>68605.197556856845</v>
      </c>
      <c r="BE190" s="33">
        <f>$AJ190/$AI190*Y190</f>
        <v>65330.884985706434</v>
      </c>
      <c r="BF190" s="33">
        <f>$AJ190/$AI190*Z190</f>
        <v>60493.832668693532</v>
      </c>
      <c r="BG190" s="33">
        <f>$AJ190/$AI190*AA190</f>
        <v>58459.241827801437</v>
      </c>
      <c r="BH190" s="33">
        <f>$AJ190/$AI190*AB190</f>
        <v>54738.999126203722</v>
      </c>
      <c r="BI190" s="33">
        <f>$AJ190/$AI190*AC190</f>
        <v>56518.515838163155</v>
      </c>
      <c r="BJ190" s="33">
        <f>$AJ190/$AI190*AD190</f>
        <v>58823.850243544846</v>
      </c>
      <c r="BK190" s="33">
        <f>$AJ190/$AI190*AE190</f>
        <v>48904.710542688947</v>
      </c>
      <c r="BL190" s="33">
        <f>$AJ190/$AI190*AF190</f>
        <v>69494.599787921514</v>
      </c>
      <c r="BM190" s="33">
        <f>$AJ190/$AI190*AG190</f>
        <v>55119.519796844412</v>
      </c>
      <c r="BN190" s="33">
        <f>$AJ190/$AI190*AH190</f>
        <v>57715.987003200658</v>
      </c>
    </row>
    <row r="191" spans="1:66" x14ac:dyDescent="0.25">
      <c r="A191" s="4" t="s">
        <v>44</v>
      </c>
      <c r="B191" s="4">
        <v>45</v>
      </c>
      <c r="C191" s="4" t="s">
        <v>2</v>
      </c>
      <c r="D191" s="4" t="str">
        <f>A191&amp;C191</f>
        <v>WESTLANDSDELI</v>
      </c>
      <c r="E191" s="2">
        <v>118438.59</v>
      </c>
      <c r="F191" s="2">
        <v>132889.60999999999</v>
      </c>
      <c r="G191" s="2">
        <v>151099.82</v>
      </c>
      <c r="H191" s="2">
        <v>161434.54</v>
      </c>
      <c r="I191" s="2">
        <v>95516.07</v>
      </c>
      <c r="J191" s="2">
        <v>85431.57</v>
      </c>
      <c r="K191" s="2">
        <v>118330.88</v>
      </c>
      <c r="L191" s="2">
        <v>114688.25</v>
      </c>
      <c r="M191" s="2">
        <v>115849.77</v>
      </c>
      <c r="N191" s="2">
        <v>133546.16</v>
      </c>
      <c r="O191" s="2">
        <v>145844.46</v>
      </c>
      <c r="P191" s="2">
        <v>101723.92</v>
      </c>
      <c r="Q191" s="2">
        <v>84847.77</v>
      </c>
      <c r="R191" s="2">
        <v>123682.95</v>
      </c>
      <c r="S191" s="2">
        <v>107387.44</v>
      </c>
      <c r="T191" s="2">
        <v>109952.65</v>
      </c>
      <c r="U191" s="2">
        <v>133173.95000000001</v>
      </c>
      <c r="V191" s="2">
        <v>137156.38</v>
      </c>
      <c r="W191" s="2">
        <v>101763.23</v>
      </c>
      <c r="X191" s="2">
        <v>80591.25</v>
      </c>
      <c r="Y191" s="2">
        <v>109103.1</v>
      </c>
      <c r="Z191" s="2">
        <v>110643.15</v>
      </c>
      <c r="AA191" s="2">
        <v>123245.34</v>
      </c>
      <c r="AB191" s="2">
        <v>140614.68</v>
      </c>
      <c r="AC191" s="2">
        <v>154984.28</v>
      </c>
      <c r="AD191" s="2">
        <v>80721.509999999995</v>
      </c>
      <c r="AE191" s="2">
        <v>92762.38</v>
      </c>
      <c r="AF191" s="3">
        <v>124843.65089999999</v>
      </c>
      <c r="AG191" s="2">
        <v>95843.54</v>
      </c>
      <c r="AH191" s="2">
        <v>130776.12</v>
      </c>
      <c r="AI191" s="24">
        <f>SUM(E191:AH191)</f>
        <v>3516887.0108999992</v>
      </c>
      <c r="AJ191" s="26">
        <v>2895413.3686065562</v>
      </c>
      <c r="AK191" s="33">
        <f>$AJ191/$AI191*E191</f>
        <v>97509.153914260271</v>
      </c>
      <c r="AL191" s="33">
        <f>$AJ191/$AI191*F191</f>
        <v>109406.51552079454</v>
      </c>
      <c r="AM191" s="33">
        <f>$AJ191/$AI191*G191</f>
        <v>124398.77581113574</v>
      </c>
      <c r="AN191" s="33">
        <f>$AJ191/$AI191*H191</f>
        <v>132907.23410281909</v>
      </c>
      <c r="AO191" s="33">
        <f>$AJ191/$AI191*I191</f>
        <v>78637.302005328325</v>
      </c>
      <c r="AP191" s="33">
        <f>$AJ191/$AI191*J191</f>
        <v>70334.847014532192</v>
      </c>
      <c r="AQ191" s="33">
        <f>$AJ191/$AI191*K191</f>
        <v>97420.477487361713</v>
      </c>
      <c r="AR191" s="33">
        <f>$AJ191/$AI191*L191</f>
        <v>94421.541335532282</v>
      </c>
      <c r="AS191" s="33">
        <f>$AJ191/$AI191*M191</f>
        <v>95377.807637372694</v>
      </c>
      <c r="AT191" s="33">
        <f>$AJ191/$AI191*N191</f>
        <v>109947.04572300658</v>
      </c>
      <c r="AU191" s="33">
        <f>$AJ191/$AI191*O191</f>
        <v>120072.09725885943</v>
      </c>
      <c r="AV191" s="33">
        <f>$AJ191/$AI191*P191</f>
        <v>83748.154820501484</v>
      </c>
      <c r="AW191" s="33">
        <f>$AJ191/$AI191*Q191</f>
        <v>69854.211065935146</v>
      </c>
      <c r="AX191" s="33">
        <f>$AJ191/$AI191*R191</f>
        <v>101826.77629073225</v>
      </c>
      <c r="AY191" s="33">
        <f>$AJ191/$AI191*S191</f>
        <v>88410.866892440972</v>
      </c>
      <c r="AZ191" s="33">
        <f>$AJ191/$AI191*T191</f>
        <v>90522.775322897622</v>
      </c>
      <c r="BA191" s="33">
        <f>$AJ191/$AI191*U191</f>
        <v>109640.60943244938</v>
      </c>
      <c r="BB191" s="33">
        <f>$AJ191/$AI191*V191</f>
        <v>112919.2990877616</v>
      </c>
      <c r="BC191" s="33">
        <f>$AJ191/$AI191*W191</f>
        <v>83780.518299671312</v>
      </c>
      <c r="BD191" s="33">
        <f>$AJ191/$AI191*X191</f>
        <v>66349.866208240303</v>
      </c>
      <c r="BE191" s="33">
        <f>$AJ191/$AI191*Y191</f>
        <v>89823.350399755102</v>
      </c>
      <c r="BF191" s="33">
        <f>$AJ191/$AI191*Z191</f>
        <v>91091.256176796654</v>
      </c>
      <c r="BG191" s="33">
        <f>$AJ191/$AI191*AA191</f>
        <v>101466.49691857475</v>
      </c>
      <c r="BH191" s="33">
        <f>$AJ191/$AI191*AB191</f>
        <v>115766.47843177174</v>
      </c>
      <c r="BI191" s="33">
        <f>$AJ191/$AI191*AC191</f>
        <v>127596.80787157979</v>
      </c>
      <c r="BJ191" s="33">
        <f>$AJ191/$AI191*AD191</f>
        <v>66457.107795537755</v>
      </c>
      <c r="BK191" s="33">
        <f>$AJ191/$AI191*AE191</f>
        <v>76370.220118908037</v>
      </c>
      <c r="BL191" s="33">
        <f>$AJ191/$AI191*AF191</f>
        <v>102782.36823679072</v>
      </c>
      <c r="BM191" s="33">
        <f>$AJ191/$AI191*AG191</f>
        <v>78906.904359023189</v>
      </c>
      <c r="BN191" s="33">
        <f>$AJ191/$AI191*AH191</f>
        <v>107666.50306618621</v>
      </c>
    </row>
    <row r="192" spans="1:66" x14ac:dyDescent="0.25">
      <c r="A192" s="4" t="s">
        <v>45</v>
      </c>
      <c r="B192" s="4">
        <v>46</v>
      </c>
      <c r="C192" s="4" t="s">
        <v>2</v>
      </c>
      <c r="D192" s="4" t="str">
        <f>A192&amp;C192</f>
        <v>BANDARIDELI</v>
      </c>
      <c r="E192" s="2">
        <v>90992.25</v>
      </c>
      <c r="F192" s="2">
        <v>85243.3</v>
      </c>
      <c r="G192" s="2">
        <v>76542.86</v>
      </c>
      <c r="H192" s="2">
        <v>79540.36</v>
      </c>
      <c r="I192" s="2">
        <v>77987.86</v>
      </c>
      <c r="J192" s="2">
        <v>58292.33</v>
      </c>
      <c r="K192" s="2">
        <v>82730.28</v>
      </c>
      <c r="L192" s="2">
        <v>76028.28</v>
      </c>
      <c r="M192" s="2">
        <v>79658.62</v>
      </c>
      <c r="N192" s="2">
        <v>71335.38</v>
      </c>
      <c r="O192" s="2">
        <v>80403.27</v>
      </c>
      <c r="P192" s="2">
        <v>73500.53</v>
      </c>
      <c r="Q192" s="2">
        <v>55157.23</v>
      </c>
      <c r="R192" s="2">
        <v>75044.92</v>
      </c>
      <c r="S192" s="2">
        <v>85464.33</v>
      </c>
      <c r="T192" s="2">
        <v>86187.37</v>
      </c>
      <c r="U192" s="2">
        <v>71045.320000000007</v>
      </c>
      <c r="V192" s="2">
        <v>70269.539999999994</v>
      </c>
      <c r="W192" s="2">
        <v>80217.48</v>
      </c>
      <c r="X192" s="2">
        <v>66225.27</v>
      </c>
      <c r="Y192" s="2">
        <v>84947.33</v>
      </c>
      <c r="Z192" s="2">
        <v>85502.38</v>
      </c>
      <c r="AA192" s="2">
        <v>75620.100000000006</v>
      </c>
      <c r="AB192" s="2">
        <v>66765.81</v>
      </c>
      <c r="AC192" s="2">
        <v>74721.789999999994</v>
      </c>
      <c r="AD192" s="2">
        <v>73180.37</v>
      </c>
      <c r="AE192" s="2">
        <v>49571.53</v>
      </c>
      <c r="AF192" s="3">
        <v>76277.528449999998</v>
      </c>
      <c r="AG192" s="2">
        <v>55151.34</v>
      </c>
      <c r="AH192" s="2">
        <v>79300.009999999995</v>
      </c>
      <c r="AI192" s="24">
        <f>SUM(E192:AH192)</f>
        <v>2242904.96845</v>
      </c>
      <c r="AJ192" s="26">
        <v>1490818.1814733122</v>
      </c>
      <c r="AK192" s="33">
        <f>$AJ192/$AI192*E192</f>
        <v>60480.895348370635</v>
      </c>
      <c r="AL192" s="33">
        <f>$AJ192/$AI192*F192</f>
        <v>56659.672735312757</v>
      </c>
      <c r="AM192" s="33">
        <f>$AJ192/$AI192*G192</f>
        <v>50876.6483445017</v>
      </c>
      <c r="AN192" s="33">
        <f>$AJ192/$AI192*H192</f>
        <v>52869.032133305038</v>
      </c>
      <c r="AO192" s="33">
        <f>$AJ192/$AI192*I192</f>
        <v>51837.113590480287</v>
      </c>
      <c r="AP192" s="33">
        <f>$AJ192/$AI192*J192</f>
        <v>38745.852645062478</v>
      </c>
      <c r="AQ192" s="33">
        <f>$AJ192/$AI192*K192</f>
        <v>54989.314000053848</v>
      </c>
      <c r="AR192" s="33">
        <f>$AJ192/$AI192*L192</f>
        <v>50534.616367840339</v>
      </c>
      <c r="AS192" s="33">
        <f>$AJ192/$AI192*M192</f>
        <v>52947.637406654125</v>
      </c>
      <c r="AT192" s="33">
        <f>$AJ192/$AI192*N192</f>
        <v>47415.33100254419</v>
      </c>
      <c r="AU192" s="33">
        <f>$AJ192/$AI192*O192</f>
        <v>53442.592732202887</v>
      </c>
      <c r="AV192" s="33">
        <f>$AJ192/$AI192*P192</f>
        <v>48854.466869208925</v>
      </c>
      <c r="AW192" s="33">
        <f>$AJ192/$AI192*Q192</f>
        <v>36662.00863629605</v>
      </c>
      <c r="AX192" s="33">
        <f>$AJ192/$AI192*R192</f>
        <v>49880.994842383239</v>
      </c>
      <c r="AY192" s="33">
        <f>$AJ192/$AI192*S192</f>
        <v>56806.587360446771</v>
      </c>
      <c r="AZ192" s="33">
        <f>$AJ192/$AI192*T192</f>
        <v>57287.178911624869</v>
      </c>
      <c r="BA192" s="33">
        <f>$AJ192/$AI192*U192</f>
        <v>47222.533390607481</v>
      </c>
      <c r="BB192" s="33">
        <f>$AJ192/$AI192*V192</f>
        <v>46706.886519655724</v>
      </c>
      <c r="BC192" s="33">
        <f>$AJ192/$AI192*W192</f>
        <v>53319.101494797789</v>
      </c>
      <c r="BD192" s="33">
        <f>$AJ192/$AI192*X192</f>
        <v>44018.733730483524</v>
      </c>
      <c r="BE192" s="33">
        <f>$AJ192/$AI192*Y192</f>
        <v>56462.946853754082</v>
      </c>
      <c r="BF192" s="33">
        <f>$AJ192/$AI192*Z192</f>
        <v>56831.878504121159</v>
      </c>
      <c r="BG192" s="33">
        <f>$AJ192/$AI192*AA192</f>
        <v>50263.306538010904</v>
      </c>
      <c r="BH192" s="33">
        <f>$AJ192/$AI192*AB192</f>
        <v>44378.020847480933</v>
      </c>
      <c r="BI192" s="33">
        <f>$AJ192/$AI192*AC192</f>
        <v>49666.216202291151</v>
      </c>
      <c r="BJ192" s="33">
        <f>$AJ192/$AI192*AD192</f>
        <v>48641.662334155284</v>
      </c>
      <c r="BK192" s="33">
        <f>$AJ192/$AI192*AE192</f>
        <v>32949.295332169662</v>
      </c>
      <c r="BL192" s="33">
        <f>$AJ192/$AI192*AF192</f>
        <v>50700.287283991915</v>
      </c>
      <c r="BM192" s="33">
        <f>$AJ192/$AI192*AG192</f>
        <v>36658.093660310704</v>
      </c>
      <c r="BN192" s="33">
        <f>$AJ192/$AI192*AH192</f>
        <v>52709.275855193649</v>
      </c>
    </row>
    <row r="193" spans="1:66" ht="24.75" x14ac:dyDescent="0.25">
      <c r="A193" s="4" t="s">
        <v>82</v>
      </c>
      <c r="B193" s="4">
        <v>47</v>
      </c>
      <c r="C193" s="4" t="s">
        <v>2</v>
      </c>
      <c r="D193" s="4" t="str">
        <f>A193&amp;C193</f>
        <v>KITENGELA OBC MALLDELI</v>
      </c>
      <c r="E193" s="2">
        <v>87006.89</v>
      </c>
      <c r="F193" s="2">
        <v>79662.880000000005</v>
      </c>
      <c r="G193" s="2">
        <v>77637.3</v>
      </c>
      <c r="H193" s="2">
        <v>91538.69</v>
      </c>
      <c r="I193" s="2">
        <v>97094.37</v>
      </c>
      <c r="J193" s="2">
        <v>136221.85</v>
      </c>
      <c r="K193" s="2">
        <v>79825.490000000005</v>
      </c>
      <c r="L193" s="2">
        <v>80623.03</v>
      </c>
      <c r="M193" s="2">
        <v>96502.81</v>
      </c>
      <c r="N193" s="2">
        <v>81379.33</v>
      </c>
      <c r="O193" s="2">
        <v>81924.850000000006</v>
      </c>
      <c r="P193" s="2">
        <v>94528.31</v>
      </c>
      <c r="Q193" s="2">
        <v>111561.22</v>
      </c>
      <c r="R193" s="2">
        <v>71237.84</v>
      </c>
      <c r="S193" s="2">
        <v>74646.23</v>
      </c>
      <c r="T193" s="2">
        <v>69273.94</v>
      </c>
      <c r="U193" s="2">
        <v>78636.81</v>
      </c>
      <c r="V193" s="2">
        <v>84436.31</v>
      </c>
      <c r="W193" s="2">
        <v>91163.51</v>
      </c>
      <c r="X193" s="2">
        <v>122959.94</v>
      </c>
      <c r="Y193" s="2">
        <v>85572.96</v>
      </c>
      <c r="Z193" s="2">
        <v>110533.51</v>
      </c>
      <c r="AA193" s="2">
        <v>83870.47</v>
      </c>
      <c r="AB193" s="2">
        <v>79178.600000000006</v>
      </c>
      <c r="AC193" s="2">
        <v>80659.92</v>
      </c>
      <c r="AD193" s="2">
        <v>101123.18</v>
      </c>
      <c r="AE193" s="2">
        <v>128658.55</v>
      </c>
      <c r="AF193" s="3">
        <v>106281.52929999999</v>
      </c>
      <c r="AG193" s="2">
        <v>127625.89</v>
      </c>
      <c r="AH193" s="2">
        <v>76440.289999999994</v>
      </c>
      <c r="AI193" s="24">
        <f>SUM(E193:AH193)</f>
        <v>2767806.4993000003</v>
      </c>
      <c r="AJ193" s="26">
        <v>2039590.6905115158</v>
      </c>
      <c r="AK193" s="33">
        <f>$AJ193/$AI193*E193</f>
        <v>64115.191180900874</v>
      </c>
      <c r="AL193" s="33">
        <f>$AJ193/$AI193*F193</f>
        <v>58703.405916717224</v>
      </c>
      <c r="AM193" s="33">
        <f>$AJ193/$AI193*G193</f>
        <v>57210.760346323783</v>
      </c>
      <c r="AN193" s="33">
        <f>$AJ193/$AI193*H193</f>
        <v>67454.664909861953</v>
      </c>
      <c r="AO193" s="33">
        <f>$AJ193/$AI193*I193</f>
        <v>71548.633621304311</v>
      </c>
      <c r="AP193" s="33">
        <f>$AJ193/$AI193*J193</f>
        <v>100381.58996104794</v>
      </c>
      <c r="AQ193" s="33">
        <f>$AJ193/$AI193*K193</f>
        <v>58823.232877983472</v>
      </c>
      <c r="AR193" s="33">
        <f>$AJ193/$AI193*L193</f>
        <v>59410.938398482082</v>
      </c>
      <c r="AS193" s="33">
        <f>$AJ193/$AI193*M193</f>
        <v>71112.714322327258</v>
      </c>
      <c r="AT193" s="33">
        <f>$AJ193/$AI193*N193</f>
        <v>59968.254251170474</v>
      </c>
      <c r="AU193" s="33">
        <f>$AJ193/$AI193*O193</f>
        <v>60370.246772601888</v>
      </c>
      <c r="AV193" s="33">
        <f>$AJ193/$AI193*P193</f>
        <v>69657.709494701674</v>
      </c>
      <c r="AW193" s="33">
        <f>$AJ193/$AI193*Q193</f>
        <v>82209.224449633155</v>
      </c>
      <c r="AX193" s="33">
        <f>$AJ193/$AI193*R193</f>
        <v>52495.011957264847</v>
      </c>
      <c r="AY193" s="33">
        <f>$AJ193/$AI193*S193</f>
        <v>55006.647259584824</v>
      </c>
      <c r="AZ193" s="33">
        <f>$AJ193/$AI193*T193</f>
        <v>51047.818246971663</v>
      </c>
      <c r="BA193" s="33">
        <f>$AJ193/$AI193*U193</f>
        <v>57947.297127919148</v>
      </c>
      <c r="BB193" s="33">
        <f>$AJ193/$AI193*V193</f>
        <v>62220.936275964028</v>
      </c>
      <c r="BC193" s="33">
        <f>$AJ193/$AI193*W193</f>
        <v>67178.195570166543</v>
      </c>
      <c r="BD193" s="33">
        <f>$AJ193/$AI193*X193</f>
        <v>90608.916842012171</v>
      </c>
      <c r="BE193" s="33">
        <f>$AJ193/$AI193*Y193</f>
        <v>63058.531230292036</v>
      </c>
      <c r="BF193" s="33">
        <f>$AJ193/$AI193*Z193</f>
        <v>81451.907148342143</v>
      </c>
      <c r="BG193" s="33">
        <f>$AJ193/$AI193*AA193</f>
        <v>61803.969989985984</v>
      </c>
      <c r="BH193" s="33">
        <f>$AJ193/$AI193*AB193</f>
        <v>58346.541020326993</v>
      </c>
      <c r="BI193" s="33">
        <f>$AJ193/$AI193*AC193</f>
        <v>59438.122560594566</v>
      </c>
      <c r="BJ193" s="33">
        <f>$AJ193/$AI193*AD193</f>
        <v>74517.455094885605</v>
      </c>
      <c r="BK193" s="33">
        <f>$AJ193/$AI193*AE193</f>
        <v>94808.21036480552</v>
      </c>
      <c r="BL193" s="33">
        <f>$AJ193/$AI193*AF193</f>
        <v>78318.631663170789</v>
      </c>
      <c r="BM193" s="33">
        <f>$AJ193/$AI193*AG193</f>
        <v>94047.245419099854</v>
      </c>
      <c r="BN193" s="33">
        <f>$AJ193/$AI193*AH193</f>
        <v>56328.686237072776</v>
      </c>
    </row>
    <row r="194" spans="1:66" ht="24.75" x14ac:dyDescent="0.25">
      <c r="A194" s="4" t="s">
        <v>47</v>
      </c>
      <c r="B194" s="4">
        <v>48</v>
      </c>
      <c r="C194" s="4" t="s">
        <v>2</v>
      </c>
      <c r="D194" s="4" t="str">
        <f>A194&amp;C194</f>
        <v>MACHAKOS EXPRESSDELI</v>
      </c>
      <c r="E194" s="2">
        <v>39592.97</v>
      </c>
      <c r="F194" s="2">
        <v>41475.4</v>
      </c>
      <c r="G194" s="2">
        <v>42754.98</v>
      </c>
      <c r="H194" s="2">
        <v>50091.47</v>
      </c>
      <c r="I194" s="2">
        <v>60408.79</v>
      </c>
      <c r="J194" s="2">
        <v>47902.13</v>
      </c>
      <c r="K194" s="2">
        <v>39767.47</v>
      </c>
      <c r="L194" s="2">
        <v>36346.730000000003</v>
      </c>
      <c r="M194" s="2">
        <v>89582.79</v>
      </c>
      <c r="N194" s="2">
        <v>38926.74</v>
      </c>
      <c r="O194" s="2">
        <v>43170.41</v>
      </c>
      <c r="P194" s="2">
        <v>55283.98</v>
      </c>
      <c r="Q194" s="2">
        <v>41102.300000000003</v>
      </c>
      <c r="R194" s="2">
        <v>39448.25</v>
      </c>
      <c r="S194" s="2">
        <v>38252.6</v>
      </c>
      <c r="T194" s="2">
        <v>37317.53</v>
      </c>
      <c r="U194" s="2">
        <v>41628.199999999997</v>
      </c>
      <c r="V194" s="2">
        <v>45253.919999999998</v>
      </c>
      <c r="W194" s="2">
        <v>46225.440000000002</v>
      </c>
      <c r="X194" s="2">
        <v>49321.71</v>
      </c>
      <c r="Y194" s="2">
        <v>53954.85</v>
      </c>
      <c r="Z194" s="2">
        <v>58042.57</v>
      </c>
      <c r="AA194" s="2">
        <v>53619.19</v>
      </c>
      <c r="AB194" s="2">
        <v>38434.089999999997</v>
      </c>
      <c r="AC194" s="2">
        <v>46384.13</v>
      </c>
      <c r="AD194" s="2">
        <v>49225.35</v>
      </c>
      <c r="AE194" s="2">
        <v>37916</v>
      </c>
      <c r="AF194" s="3">
        <v>50325.328289999998</v>
      </c>
      <c r="AG194" s="2">
        <v>47934.04</v>
      </c>
      <c r="AH194" s="2">
        <v>47976.3</v>
      </c>
      <c r="AI194" s="24">
        <f>SUM(E194:AH194)</f>
        <v>1407665.6582899999</v>
      </c>
      <c r="AJ194" s="26">
        <v>917504.25926231954</v>
      </c>
      <c r="AK194" s="33">
        <f>$AJ194/$AI194*E194</f>
        <v>25806.354227589884</v>
      </c>
      <c r="AL194" s="33">
        <f>$AJ194/$AI194*F194</f>
        <v>27033.305764406701</v>
      </c>
      <c r="AM194" s="33">
        <f>$AJ194/$AI194*G194</f>
        <v>27867.324903221986</v>
      </c>
      <c r="AN194" s="33">
        <f>$AJ194/$AI194*H194</f>
        <v>32649.185413488605</v>
      </c>
      <c r="AO194" s="33">
        <f>$AJ194/$AI194*I194</f>
        <v>39373.925047807468</v>
      </c>
      <c r="AP194" s="33">
        <f>$AJ194/$AI194*J194</f>
        <v>31222.192602274095</v>
      </c>
      <c r="AQ194" s="33">
        <f>$AJ194/$AI194*K194</f>
        <v>25920.091813143947</v>
      </c>
      <c r="AR194" s="33">
        <f>$AJ194/$AI194*L194</f>
        <v>23690.483168970859</v>
      </c>
      <c r="AS194" s="33">
        <f>$AJ194/$AI194*M194</f>
        <v>58389.285053275788</v>
      </c>
      <c r="AT194" s="33">
        <f>$AJ194/$AI194*N194</f>
        <v>25372.111295649007</v>
      </c>
      <c r="AU194" s="33">
        <f>$AJ194/$AI194*O194</f>
        <v>28138.098571799204</v>
      </c>
      <c r="AV194" s="33">
        <f>$AJ194/$AI194*P194</f>
        <v>36033.61836687156</v>
      </c>
      <c r="AW194" s="33">
        <f>$AJ194/$AI194*Q194</f>
        <v>26790.122422457011</v>
      </c>
      <c r="AX194" s="33">
        <f>$AJ194/$AI194*R194</f>
        <v>25712.026987581954</v>
      </c>
      <c r="AY194" s="33">
        <f>$AJ194/$AI194*S194</f>
        <v>24932.712694357226</v>
      </c>
      <c r="AZ194" s="33">
        <f>$AJ194/$AI194*T194</f>
        <v>24323.242183617756</v>
      </c>
      <c r="BA194" s="33">
        <f>$AJ194/$AI194*U194</f>
        <v>27132.899478290139</v>
      </c>
      <c r="BB194" s="33">
        <f>$AJ194/$AI194*V194</f>
        <v>29496.112307488282</v>
      </c>
      <c r="BC194" s="33">
        <f>$AJ194/$AI194*W194</f>
        <v>30129.34061188647</v>
      </c>
      <c r="BD194" s="33">
        <f>$AJ194/$AI194*X194</f>
        <v>32147.462526061121</v>
      </c>
      <c r="BE194" s="33">
        <f>$AJ194/$AI194*Y194</f>
        <v>35167.302968089491</v>
      </c>
      <c r="BF194" s="33">
        <f>$AJ194/$AI194*Z194</f>
        <v>37831.643387694377</v>
      </c>
      <c r="BG194" s="33">
        <f>$AJ194/$AI194*AA194</f>
        <v>34948.522693206527</v>
      </c>
      <c r="BH194" s="33">
        <f>$AJ194/$AI194*AB194</f>
        <v>25051.00630124666</v>
      </c>
      <c r="BI194" s="33">
        <f>$AJ194/$AI194*AC194</f>
        <v>30232.773376651934</v>
      </c>
      <c r="BJ194" s="33">
        <f>$AJ194/$AI194*AD194</f>
        <v>32084.655914347717</v>
      </c>
      <c r="BK194" s="33">
        <f>$AJ194/$AI194*AE194</f>
        <v>24713.319735632311</v>
      </c>
      <c r="BL194" s="33">
        <f>$AJ194/$AI194*AF194</f>
        <v>32801.61221730752</v>
      </c>
      <c r="BM194" s="33">
        <f>$AJ194/$AI194*AG194</f>
        <v>31242.991263334443</v>
      </c>
      <c r="BN194" s="33">
        <f>$AJ194/$AI194*AH194</f>
        <v>31270.535964569484</v>
      </c>
    </row>
    <row r="195" spans="1:66" ht="24.75" x14ac:dyDescent="0.25">
      <c r="A195" s="4" t="s">
        <v>48</v>
      </c>
      <c r="B195" s="4">
        <v>49</v>
      </c>
      <c r="C195" s="4" t="s">
        <v>2</v>
      </c>
      <c r="D195" s="4" t="str">
        <f>A195&amp;C195</f>
        <v>MACHAKOS PIONEERDELI</v>
      </c>
      <c r="E195" s="2">
        <v>38857.15</v>
      </c>
      <c r="F195" s="2">
        <v>34194.11</v>
      </c>
      <c r="G195" s="2">
        <v>35092.53</v>
      </c>
      <c r="H195" s="2">
        <v>40612.85</v>
      </c>
      <c r="I195" s="2">
        <v>50127.44</v>
      </c>
      <c r="J195" s="2">
        <v>38540.019999999997</v>
      </c>
      <c r="K195" s="2">
        <v>31622.02</v>
      </c>
      <c r="L195" s="2">
        <v>34596.26</v>
      </c>
      <c r="M195" s="2">
        <v>30343.19</v>
      </c>
      <c r="N195" s="2">
        <v>37421.89</v>
      </c>
      <c r="O195" s="2">
        <v>39828.910000000003</v>
      </c>
      <c r="P195" s="2">
        <v>42324.38</v>
      </c>
      <c r="Q195" s="2">
        <v>33860.15</v>
      </c>
      <c r="R195" s="2">
        <v>32721.98</v>
      </c>
      <c r="S195" s="2">
        <v>35802.89</v>
      </c>
      <c r="T195" s="2">
        <v>31319.7</v>
      </c>
      <c r="U195" s="2">
        <v>36493.18</v>
      </c>
      <c r="V195" s="2">
        <v>32087.94</v>
      </c>
      <c r="W195" s="2">
        <v>41622.800000000003</v>
      </c>
      <c r="X195" s="2">
        <v>41297.629999999997</v>
      </c>
      <c r="Y195" s="2">
        <v>43298.06</v>
      </c>
      <c r="Z195" s="2">
        <v>44771.43</v>
      </c>
      <c r="AA195" s="2">
        <v>43393.8</v>
      </c>
      <c r="AB195" s="2">
        <v>35263.919999999998</v>
      </c>
      <c r="AC195" s="2">
        <v>39116.33</v>
      </c>
      <c r="AD195" s="2">
        <v>43799.839999999997</v>
      </c>
      <c r="AE195" s="2">
        <v>40206.85</v>
      </c>
      <c r="AF195" s="3">
        <v>47141.621160000002</v>
      </c>
      <c r="AG195" s="2">
        <v>38828.68</v>
      </c>
      <c r="AH195" s="2">
        <v>38188</v>
      </c>
      <c r="AI195" s="24">
        <f>SUM(E195:AH195)</f>
        <v>1152775.55116</v>
      </c>
      <c r="AJ195" s="26">
        <v>873624.61338974012</v>
      </c>
      <c r="AK195" s="33">
        <f>$AJ195/$AI195*E195</f>
        <v>29447.677487623529</v>
      </c>
      <c r="AL195" s="33">
        <f>$AJ195/$AI195*F195</f>
        <v>25913.818261409357</v>
      </c>
      <c r="AM195" s="33">
        <f>$AJ195/$AI195*G195</f>
        <v>26594.680918820686</v>
      </c>
      <c r="AN195" s="33">
        <f>$AJ195/$AI195*H195</f>
        <v>30778.22507963737</v>
      </c>
      <c r="AO195" s="33">
        <f>$AJ195/$AI195*I195</f>
        <v>37988.804799121892</v>
      </c>
      <c r="AP195" s="33">
        <f>$AJ195/$AI195*J195</f>
        <v>29207.342260730918</v>
      </c>
      <c r="AQ195" s="33">
        <f>$AJ195/$AI195*K195</f>
        <v>23964.573996476349</v>
      </c>
      <c r="AR195" s="33">
        <f>$AJ195/$AI195*L195</f>
        <v>26218.585427854858</v>
      </c>
      <c r="AS195" s="33">
        <f>$AJ195/$AI195*M195</f>
        <v>22995.419712091167</v>
      </c>
      <c r="AT195" s="33">
        <f>$AJ195/$AI195*N195</f>
        <v>28359.973587803634</v>
      </c>
      <c r="AU195" s="33">
        <f>$AJ195/$AI195*O195</f>
        <v>30184.120460805378</v>
      </c>
      <c r="AV195" s="33">
        <f>$AJ195/$AI195*P195</f>
        <v>32075.298680001582</v>
      </c>
      <c r="AW195" s="33">
        <f>$AJ195/$AI195*Q195</f>
        <v>25660.728511549507</v>
      </c>
      <c r="AX195" s="33">
        <f>$AJ195/$AI195*R195</f>
        <v>24798.172634803821</v>
      </c>
      <c r="AY195" s="33">
        <f>$AJ195/$AI195*S195</f>
        <v>27133.023339201703</v>
      </c>
      <c r="AZ195" s="33">
        <f>$AJ195/$AI195*T195</f>
        <v>23735.462446657119</v>
      </c>
      <c r="BA195" s="33">
        <f>$AJ195/$AI195*U195</f>
        <v>27656.155820429271</v>
      </c>
      <c r="BB195" s="33">
        <f>$AJ195/$AI195*V195</f>
        <v>24317.668906809031</v>
      </c>
      <c r="BC195" s="33">
        <f>$AJ195/$AI195*W195</f>
        <v>31543.610134347389</v>
      </c>
      <c r="BD195" s="33">
        <f>$AJ195/$AI195*X195</f>
        <v>31297.181837659376</v>
      </c>
      <c r="BE195" s="33">
        <f>$AJ195/$AI195*Y195</f>
        <v>32813.196714627105</v>
      </c>
      <c r="BF195" s="33">
        <f>$AJ195/$AI195*Z195</f>
        <v>33929.782068415021</v>
      </c>
      <c r="BG195" s="33">
        <f>$AJ195/$AI195*AA195</f>
        <v>32885.752747240542</v>
      </c>
      <c r="BH195" s="33">
        <f>$AJ195/$AI195*AB195</f>
        <v>26724.567888004061</v>
      </c>
      <c r="BI195" s="33">
        <f>$AJ195/$AI195*AC195</f>
        <v>29644.095625630107</v>
      </c>
      <c r="BJ195" s="33">
        <f>$AJ195/$AI195*AD195</f>
        <v>33193.467928798498</v>
      </c>
      <c r="BK195" s="33">
        <f>$AJ195/$AI195*AE195</f>
        <v>30470.54021185949</v>
      </c>
      <c r="BL195" s="33">
        <f>$AJ195/$AI195*AF195</f>
        <v>35726.018407510819</v>
      </c>
      <c r="BM195" s="33">
        <f>$AJ195/$AI195*AG195</f>
        <v>29426.101654653983</v>
      </c>
      <c r="BN195" s="33">
        <f>$AJ195/$AI195*AH195</f>
        <v>28940.565839166469</v>
      </c>
    </row>
    <row r="196" spans="1:66" x14ac:dyDescent="0.25">
      <c r="A196" s="4" t="s">
        <v>49</v>
      </c>
      <c r="B196" s="4">
        <v>50</v>
      </c>
      <c r="C196" s="4" t="s">
        <v>2</v>
      </c>
      <c r="D196" s="4" t="str">
        <f>A196&amp;C196</f>
        <v>MLOLONGODELI</v>
      </c>
      <c r="E196" s="2">
        <v>63238.51</v>
      </c>
      <c r="F196" s="2">
        <v>64184.57</v>
      </c>
      <c r="G196" s="2">
        <v>68157.8</v>
      </c>
      <c r="H196" s="2">
        <v>72640.62</v>
      </c>
      <c r="I196" s="2">
        <v>86788.26</v>
      </c>
      <c r="J196" s="2">
        <v>83017.27</v>
      </c>
      <c r="K196" s="2">
        <v>56531.78</v>
      </c>
      <c r="L196" s="2">
        <v>62412.89</v>
      </c>
      <c r="M196" s="2">
        <v>64378.62</v>
      </c>
      <c r="N196" s="2">
        <v>60800.63</v>
      </c>
      <c r="O196" s="2">
        <v>65997.960000000006</v>
      </c>
      <c r="P196" s="2">
        <v>72294.759999999995</v>
      </c>
      <c r="Q196" s="2">
        <v>70603.39</v>
      </c>
      <c r="R196" s="2">
        <v>47720.01</v>
      </c>
      <c r="S196" s="2">
        <v>80401.94</v>
      </c>
      <c r="T196" s="2">
        <v>51126.42</v>
      </c>
      <c r="U196" s="2">
        <v>56371.91</v>
      </c>
      <c r="V196" s="2">
        <v>52398.49</v>
      </c>
      <c r="W196" s="2">
        <v>67734.78</v>
      </c>
      <c r="X196" s="2">
        <v>83640.41</v>
      </c>
      <c r="Y196" s="2">
        <v>55206.080000000002</v>
      </c>
      <c r="Z196" s="2">
        <v>55643.87</v>
      </c>
      <c r="AA196" s="2">
        <v>55125.42</v>
      </c>
      <c r="AB196" s="2">
        <v>48626.239999999998</v>
      </c>
      <c r="AC196" s="2">
        <v>60487.13</v>
      </c>
      <c r="AD196" s="2">
        <v>68227.58</v>
      </c>
      <c r="AE196" s="2">
        <v>73948.62</v>
      </c>
      <c r="AF196" s="3">
        <v>82176.216570000004</v>
      </c>
      <c r="AG196" s="2">
        <v>83691.23</v>
      </c>
      <c r="AH196" s="2">
        <v>57940.21</v>
      </c>
      <c r="AI196" s="24">
        <f>SUM(E196:AH196)</f>
        <v>1971513.6165699998</v>
      </c>
      <c r="AJ196" s="26">
        <v>1367389.3340752122</v>
      </c>
      <c r="AK196" s="33">
        <f>$AJ196/$AI196*E196</f>
        <v>43860.546206751715</v>
      </c>
      <c r="AL196" s="33">
        <f>$AJ196/$AI196*F196</f>
        <v>44516.708224869457</v>
      </c>
      <c r="AM196" s="33">
        <f>$AJ196/$AI196*G196</f>
        <v>47272.434727676882</v>
      </c>
      <c r="AN196" s="33">
        <f>$AJ196/$AI196*H196</f>
        <v>50381.599281784031</v>
      </c>
      <c r="AO196" s="33">
        <f>$AJ196/$AI196*I196</f>
        <v>60194.02556976091</v>
      </c>
      <c r="AP196" s="33">
        <f>$AJ196/$AI196*J196</f>
        <v>57578.567344382129</v>
      </c>
      <c r="AQ196" s="33">
        <f>$AJ196/$AI196*K196</f>
        <v>39208.936909486358</v>
      </c>
      <c r="AR196" s="33">
        <f>$AJ196/$AI196*L196</f>
        <v>43287.918164768773</v>
      </c>
      <c r="AS196" s="33">
        <f>$AJ196/$AI196*M196</f>
        <v>44651.296136435063</v>
      </c>
      <c r="AT196" s="33">
        <f>$AJ196/$AI196*N196</f>
        <v>42169.697570588149</v>
      </c>
      <c r="AU196" s="33">
        <f>$AJ196/$AI196*O196</f>
        <v>45774.427230043075</v>
      </c>
      <c r="AV196" s="33">
        <f>$AJ196/$AI196*P196</f>
        <v>50141.719997609449</v>
      </c>
      <c r="AW196" s="33">
        <f>$AJ196/$AI196*Q196</f>
        <v>48968.630814488068</v>
      </c>
      <c r="AX196" s="33">
        <f>$AJ196/$AI196*R196</f>
        <v>33097.327935013869</v>
      </c>
      <c r="AY196" s="33">
        <f>$AJ196/$AI196*S196</f>
        <v>55764.64411451944</v>
      </c>
      <c r="AZ196" s="33">
        <f>$AJ196/$AI196*T196</f>
        <v>35459.923182816841</v>
      </c>
      <c r="BA196" s="33">
        <f>$AJ196/$AI196*U196</f>
        <v>39098.05533555185</v>
      </c>
      <c r="BB196" s="33">
        <f>$AJ196/$AI196*V196</f>
        <v>36342.197053804986</v>
      </c>
      <c r="BC196" s="33">
        <f>$AJ196/$AI196*W196</f>
        <v>46979.039322624165</v>
      </c>
      <c r="BD196" s="33">
        <f>$AJ196/$AI196*X196</f>
        <v>58010.760651328725</v>
      </c>
      <c r="BE196" s="33">
        <f>$AJ196/$AI196*Y196</f>
        <v>38289.46669890912</v>
      </c>
      <c r="BF196" s="33">
        <f>$AJ196/$AI196*Z196</f>
        <v>38593.106182569536</v>
      </c>
      <c r="BG196" s="33">
        <f>$AJ196/$AI196*AA196</f>
        <v>38233.523071251911</v>
      </c>
      <c r="BH196" s="33">
        <f>$AJ196/$AI196*AB196</f>
        <v>33725.864925985734</v>
      </c>
      <c r="BI196" s="33">
        <f>$AJ196/$AI196*AC196</f>
        <v>41952.262320519527</v>
      </c>
      <c r="BJ196" s="33">
        <f>$AJ196/$AI196*AD196</f>
        <v>47320.832277117996</v>
      </c>
      <c r="BK196" s="33">
        <f>$AJ196/$AI196*AE196</f>
        <v>51288.793243792803</v>
      </c>
      <c r="BL196" s="33">
        <f>$AJ196/$AI196*AF196</f>
        <v>56995.235086413653</v>
      </c>
      <c r="BM196" s="33">
        <f>$AJ196/$AI196*AG196</f>
        <v>58046.008049760894</v>
      </c>
      <c r="BN196" s="33">
        <f>$AJ196/$AI196*AH196</f>
        <v>40185.786444587284</v>
      </c>
    </row>
    <row r="197" spans="1:66" x14ac:dyDescent="0.25">
      <c r="A197" s="4" t="s">
        <v>50</v>
      </c>
      <c r="B197" s="4">
        <v>51</v>
      </c>
      <c r="C197" s="4" t="s">
        <v>2</v>
      </c>
      <c r="D197" s="4" t="str">
        <f>A197&amp;C197</f>
        <v>KITUIDELI</v>
      </c>
      <c r="E197" s="2">
        <v>44815.360000000001</v>
      </c>
      <c r="F197" s="2">
        <v>39979.99</v>
      </c>
      <c r="G197" s="2">
        <v>49038.58</v>
      </c>
      <c r="H197" s="2">
        <v>51207.12</v>
      </c>
      <c r="I197" s="2">
        <v>48052.83</v>
      </c>
      <c r="J197" s="2">
        <v>54684.58</v>
      </c>
      <c r="K197" s="2">
        <v>36220.19</v>
      </c>
      <c r="L197" s="2">
        <v>42090.13</v>
      </c>
      <c r="M197" s="2">
        <v>41646.93</v>
      </c>
      <c r="N197" s="2">
        <v>43941.06</v>
      </c>
      <c r="O197" s="2">
        <v>48317.32</v>
      </c>
      <c r="P197" s="2">
        <v>48415.74</v>
      </c>
      <c r="Q197" s="2">
        <v>52378.16</v>
      </c>
      <c r="R197" s="2">
        <v>40087.86</v>
      </c>
      <c r="S197" s="2">
        <v>46726.91</v>
      </c>
      <c r="T197" s="2">
        <v>45408.33</v>
      </c>
      <c r="U197" s="2">
        <v>54750.55</v>
      </c>
      <c r="V197" s="2">
        <v>47004.54</v>
      </c>
      <c r="W197" s="2">
        <v>52640.62</v>
      </c>
      <c r="X197" s="2">
        <v>53320.58</v>
      </c>
      <c r="Y197" s="2">
        <v>44055.19</v>
      </c>
      <c r="Z197" s="2">
        <v>58998.23</v>
      </c>
      <c r="AA197" s="2">
        <v>54054.41</v>
      </c>
      <c r="AB197" s="2">
        <v>39079.57</v>
      </c>
      <c r="AC197" s="2">
        <v>49290.9</v>
      </c>
      <c r="AD197" s="2">
        <v>46192.71</v>
      </c>
      <c r="AE197" s="2">
        <v>48046.03</v>
      </c>
      <c r="AF197" s="3">
        <v>54997.52622</v>
      </c>
      <c r="AG197" s="2">
        <v>57784.77</v>
      </c>
      <c r="AH197" s="2">
        <v>52269.91</v>
      </c>
      <c r="AI197" s="24">
        <f>SUM(E197:AH197)</f>
        <v>1445496.6262199997</v>
      </c>
      <c r="AJ197" s="26">
        <v>1107600.406621469</v>
      </c>
      <c r="AK197" s="33">
        <f>$AJ197/$AI197*E197</f>
        <v>34339.416681096322</v>
      </c>
      <c r="AL197" s="33">
        <f>$AJ197/$AI197*F197</f>
        <v>30634.352496913201</v>
      </c>
      <c r="AM197" s="33">
        <f>$AJ197/$AI197*G197</f>
        <v>37575.425748432601</v>
      </c>
      <c r="AN197" s="33">
        <f>$AJ197/$AI197*H197</f>
        <v>39237.052446279602</v>
      </c>
      <c r="AO197" s="33">
        <f>$AJ197/$AI197*I197</f>
        <v>36820.102573668621</v>
      </c>
      <c r="AP197" s="33">
        <f>$AJ197/$AI197*J197</f>
        <v>41901.628786441666</v>
      </c>
      <c r="AQ197" s="33">
        <f>$AJ197/$AI197*K197</f>
        <v>27753.43535516569</v>
      </c>
      <c r="AR197" s="33">
        <f>$AJ197/$AI197*L197</f>
        <v>32251.230654657524</v>
      </c>
      <c r="AS197" s="33">
        <f>$AJ197/$AI197*M197</f>
        <v>31911.632144837189</v>
      </c>
      <c r="AT197" s="33">
        <f>$AJ197/$AI197*N197</f>
        <v>33669.491191168701</v>
      </c>
      <c r="AU197" s="33">
        <f>$AJ197/$AI197*O197</f>
        <v>37022.765953322007</v>
      </c>
      <c r="AV197" s="33">
        <f>$AJ197/$AI197*P197</f>
        <v>37098.179503269021</v>
      </c>
      <c r="AW197" s="33">
        <f>$AJ197/$AI197*Q197</f>
        <v>40134.352624393337</v>
      </c>
      <c r="AX197" s="33">
        <f>$AJ197/$AI197*R197</f>
        <v>30717.007034941904</v>
      </c>
      <c r="AY197" s="33">
        <f>$AJ197/$AI197*S197</f>
        <v>35804.126815227784</v>
      </c>
      <c r="AZ197" s="33">
        <f>$AJ197/$AI197*T197</f>
        <v>34793.775273984778</v>
      </c>
      <c r="BA197" s="33">
        <f>$AJ197/$AI197*U197</f>
        <v>41952.177779430946</v>
      </c>
      <c r="BB197" s="33">
        <f>$AJ197/$AI197*V197</f>
        <v>36016.858616404272</v>
      </c>
      <c r="BC197" s="33">
        <f>$AJ197/$AI197*W197</f>
        <v>40335.460532532881</v>
      </c>
      <c r="BD197" s="33">
        <f>$AJ197/$AI197*X197</f>
        <v>40856.47452787908</v>
      </c>
      <c r="BE197" s="33">
        <f>$AJ197/$AI197*Y197</f>
        <v>33756.94240490019</v>
      </c>
      <c r="BF197" s="33">
        <f>$AJ197/$AI197*Z197</f>
        <v>45206.929129145843</v>
      </c>
      <c r="BG197" s="33">
        <f>$AJ197/$AI197*AA197</f>
        <v>41418.765986501501</v>
      </c>
      <c r="BH197" s="33">
        <f>$AJ197/$AI197*AB197</f>
        <v>29944.412762679389</v>
      </c>
      <c r="BI197" s="33">
        <f>$AJ197/$AI197*AC197</f>
        <v>37768.763961424178</v>
      </c>
      <c r="BJ197" s="33">
        <f>$AJ197/$AI197*AD197</f>
        <v>35394.800272028267</v>
      </c>
      <c r="BK197" s="33">
        <f>$AJ197/$AI197*AE197</f>
        <v>36814.892127218307</v>
      </c>
      <c r="BL197" s="33">
        <f>$AJ197/$AI197*AF197</f>
        <v>42141.421363079542</v>
      </c>
      <c r="BM197" s="33">
        <f>$AJ197/$AI197*AG197</f>
        <v>44277.124960087662</v>
      </c>
      <c r="BN197" s="33">
        <f>$AJ197/$AI197*AH197</f>
        <v>40051.406914357118</v>
      </c>
    </row>
    <row r="198" spans="1:66" x14ac:dyDescent="0.25">
      <c r="A198" s="4" t="s">
        <v>83</v>
      </c>
      <c r="B198" s="4">
        <v>52</v>
      </c>
      <c r="C198" s="4" t="s">
        <v>2</v>
      </c>
      <c r="D198" s="4" t="str">
        <f>A198&amp;C198</f>
        <v>T-MALLDELI</v>
      </c>
      <c r="E198" s="2">
        <v>65601.259999999995</v>
      </c>
      <c r="F198" s="2">
        <v>62502.73</v>
      </c>
      <c r="G198" s="2">
        <v>65977.47</v>
      </c>
      <c r="H198" s="2">
        <v>78532.59</v>
      </c>
      <c r="I198" s="2">
        <v>60152.14</v>
      </c>
      <c r="J198" s="2">
        <v>53979.21</v>
      </c>
      <c r="K198" s="2">
        <v>62108.72</v>
      </c>
      <c r="L198" s="2">
        <v>69006.77</v>
      </c>
      <c r="M198" s="2">
        <v>71552.08</v>
      </c>
      <c r="N198" s="2">
        <v>54660.14</v>
      </c>
      <c r="O198" s="2">
        <v>69389.259999999995</v>
      </c>
      <c r="P198" s="2">
        <v>63213.47</v>
      </c>
      <c r="Q198" s="2">
        <v>52511.44</v>
      </c>
      <c r="R198" s="2">
        <v>59120.800000000003</v>
      </c>
      <c r="S198" s="2">
        <v>61415.28</v>
      </c>
      <c r="T198" s="2">
        <v>67051.33</v>
      </c>
      <c r="U198" s="2">
        <v>69479.240000000005</v>
      </c>
      <c r="V198" s="2">
        <v>75711.360000000001</v>
      </c>
      <c r="W198" s="2">
        <v>61096.62</v>
      </c>
      <c r="X198" s="2">
        <v>64281.05</v>
      </c>
      <c r="Y198" s="2">
        <v>71014.94</v>
      </c>
      <c r="Z198" s="2">
        <v>75404.160000000003</v>
      </c>
      <c r="AA198" s="2">
        <v>73286.13</v>
      </c>
      <c r="AB198" s="2">
        <v>59610.78</v>
      </c>
      <c r="AC198" s="2">
        <v>70766.75</v>
      </c>
      <c r="AD198" s="2">
        <v>69484.639999999999</v>
      </c>
      <c r="AE198" s="2">
        <v>60658.13</v>
      </c>
      <c r="AF198" s="3">
        <v>62563.610260000001</v>
      </c>
      <c r="AG198" s="2">
        <v>61405.4</v>
      </c>
      <c r="AH198" s="2">
        <v>70998.64</v>
      </c>
      <c r="AI198" s="24">
        <f>SUM(E198:AH198)</f>
        <v>1962536.14026</v>
      </c>
      <c r="AJ198" s="26">
        <v>1645920.9797110036</v>
      </c>
      <c r="AK198" s="33">
        <f>$AJ198/$AI198*E198</f>
        <v>55017.835297123049</v>
      </c>
      <c r="AL198" s="33">
        <f>$AJ198/$AI198*F198</f>
        <v>52419.189886909982</v>
      </c>
      <c r="AM198" s="33">
        <f>$AJ198/$AI198*G198</f>
        <v>55333.351490213412</v>
      </c>
      <c r="AN198" s="33">
        <f>$AJ198/$AI198*H198</f>
        <v>65862.959066281546</v>
      </c>
      <c r="AO198" s="33">
        <f>$AJ198/$AI198*I198</f>
        <v>50447.819619462913</v>
      </c>
      <c r="AP198" s="33">
        <f>$AJ198/$AI198*J198</f>
        <v>45270.765915911034</v>
      </c>
      <c r="AQ198" s="33">
        <f>$AJ198/$AI198*K198</f>
        <v>52088.745360609428</v>
      </c>
      <c r="AR198" s="33">
        <f>$AJ198/$AI198*L198</f>
        <v>57873.935748283686</v>
      </c>
      <c r="AS198" s="33">
        <f>$AJ198/$AI198*M198</f>
        <v>60008.611917005444</v>
      </c>
      <c r="AT198" s="33">
        <f>$AJ198/$AI198*N198</f>
        <v>45841.841754833484</v>
      </c>
      <c r="AU198" s="33">
        <f>$AJ198/$AI198*O198</f>
        <v>58194.718791517858</v>
      </c>
      <c r="AV198" s="33">
        <f>$AJ198/$AI198*P198</f>
        <v>53015.266490607486</v>
      </c>
      <c r="AW198" s="33">
        <f>$AJ198/$AI198*Q198</f>
        <v>44039.790655465455</v>
      </c>
      <c r="AX198" s="33">
        <f>$AJ198/$AI198*R198</f>
        <v>49582.865283900843</v>
      </c>
      <c r="AY198" s="33">
        <f>$AJ198/$AI198*S198</f>
        <v>51507.177754919576</v>
      </c>
      <c r="AZ198" s="33">
        <f>$AJ198/$AI198*T198</f>
        <v>56233.96609139895</v>
      </c>
      <c r="BA198" s="33">
        <f>$AJ198/$AI198*U198</f>
        <v>58270.182354565819</v>
      </c>
      <c r="BB198" s="33">
        <f>$AJ198/$AI198*V198</f>
        <v>63496.876959393623</v>
      </c>
      <c r="BC198" s="33">
        <f>$AJ198/$AI198*W198</f>
        <v>51239.927043640848</v>
      </c>
      <c r="BD198" s="33">
        <f>$AJ198/$AI198*X198</f>
        <v>53910.6142416492</v>
      </c>
      <c r="BE198" s="33">
        <f>$AJ198/$AI198*Y198</f>
        <v>59558.128495627614</v>
      </c>
      <c r="BF198" s="33">
        <f>$AJ198/$AI198*Z198</f>
        <v>63239.237410956965</v>
      </c>
      <c r="BG198" s="33">
        <f>$AJ198/$AI198*AA198</f>
        <v>61462.908332912339</v>
      </c>
      <c r="BH198" s="33">
        <f>$AJ198/$AI198*AB198</f>
        <v>49993.797008975693</v>
      </c>
      <c r="BI198" s="33">
        <f>$AJ198/$AI198*AC198</f>
        <v>59349.978887793972</v>
      </c>
      <c r="BJ198" s="33">
        <f>$AJ198/$AI198*AD198</f>
        <v>58274.711174753174</v>
      </c>
      <c r="BK198" s="33">
        <f>$AJ198/$AI198*AE198</f>
        <v>50872.178457722897</v>
      </c>
      <c r="BL198" s="33">
        <f>$AJ198/$AI198*AF198</f>
        <v>52470.248359224781</v>
      </c>
      <c r="BM198" s="33">
        <f>$AJ198/$AI198*AG198</f>
        <v>51498.891691317513</v>
      </c>
      <c r="BN198" s="33">
        <f>$AJ198/$AI198*AH198</f>
        <v>59544.458168025019</v>
      </c>
    </row>
    <row r="199" spans="1:66" x14ac:dyDescent="0.25">
      <c r="A199" s="4" t="s">
        <v>84</v>
      </c>
      <c r="B199" s="4">
        <v>53</v>
      </c>
      <c r="C199" s="4" t="s">
        <v>2</v>
      </c>
      <c r="D199" s="4" t="str">
        <f>A199&amp;C199</f>
        <v>MILELE-NGONGDELI</v>
      </c>
      <c r="E199" s="2">
        <v>54248.480000000003</v>
      </c>
      <c r="F199" s="2">
        <v>53990.94</v>
      </c>
      <c r="G199" s="2">
        <v>58655.24</v>
      </c>
      <c r="H199" s="2">
        <v>65078.400000000001</v>
      </c>
      <c r="I199" s="2">
        <v>75171.179999999993</v>
      </c>
      <c r="J199" s="2">
        <v>79660.399999999994</v>
      </c>
      <c r="K199" s="2">
        <v>51745.47</v>
      </c>
      <c r="L199" s="2">
        <v>54787.3</v>
      </c>
      <c r="M199" s="2">
        <v>50137.72</v>
      </c>
      <c r="N199" s="2">
        <v>56003.53</v>
      </c>
      <c r="O199" s="2">
        <v>73488.649999999994</v>
      </c>
      <c r="P199" s="2">
        <v>67261.81</v>
      </c>
      <c r="Q199" s="2">
        <v>75065.509999999995</v>
      </c>
      <c r="R199" s="2">
        <v>52127.26</v>
      </c>
      <c r="S199" s="2">
        <v>46875.42</v>
      </c>
      <c r="T199" s="2">
        <v>45901.71</v>
      </c>
      <c r="U199" s="2">
        <v>50570.94</v>
      </c>
      <c r="V199" s="2">
        <v>53803.35</v>
      </c>
      <c r="W199" s="2">
        <v>62989.87</v>
      </c>
      <c r="X199" s="2">
        <v>66239.179999999993</v>
      </c>
      <c r="Y199" s="2">
        <v>57704.66</v>
      </c>
      <c r="Z199" s="2">
        <v>61689.24</v>
      </c>
      <c r="AA199" s="2">
        <v>55519.28</v>
      </c>
      <c r="AB199" s="2">
        <v>52077.79</v>
      </c>
      <c r="AC199" s="2">
        <v>57948.78</v>
      </c>
      <c r="AD199" s="2">
        <v>70580.5</v>
      </c>
      <c r="AE199" s="2">
        <v>70210.8</v>
      </c>
      <c r="AF199" s="3">
        <v>79697.786410000001</v>
      </c>
      <c r="AG199" s="2">
        <v>78557.600000000006</v>
      </c>
      <c r="AH199" s="2">
        <v>55541.32</v>
      </c>
      <c r="AI199" s="24">
        <f>SUM(E199:AH199)</f>
        <v>1833330.1164100005</v>
      </c>
      <c r="AJ199" s="26">
        <v>1287042.0145142169</v>
      </c>
      <c r="AK199" s="33">
        <f>$AJ199/$AI199*E199</f>
        <v>38083.742997826725</v>
      </c>
      <c r="AL199" s="33">
        <f>$AJ199/$AI199*F199</f>
        <v>37902.943698534647</v>
      </c>
      <c r="AM199" s="33">
        <f>$AJ199/$AI199*G199</f>
        <v>41177.394935965873</v>
      </c>
      <c r="AN199" s="33">
        <f>$AJ199/$AI199*H199</f>
        <v>45686.608367824621</v>
      </c>
      <c r="AO199" s="33">
        <f>$AJ199/$AI199*I199</f>
        <v>52771.983656747099</v>
      </c>
      <c r="AP199" s="33">
        <f>$AJ199/$AI199*J199</f>
        <v>55923.524506199537</v>
      </c>
      <c r="AQ199" s="33">
        <f>$AJ199/$AI199*K199</f>
        <v>36326.56953304042</v>
      </c>
      <c r="AR199" s="33">
        <f>$AJ199/$AI199*L199</f>
        <v>38462.007649704326</v>
      </c>
      <c r="AS199" s="33">
        <f>$AJ199/$AI199*M199</f>
        <v>35197.890207744014</v>
      </c>
      <c r="AT199" s="33">
        <f>$AJ199/$AI199*N199</f>
        <v>39315.830480247161</v>
      </c>
      <c r="AU199" s="33">
        <f>$AJ199/$AI199*O199</f>
        <v>51590.806965600481</v>
      </c>
      <c r="AV199" s="33">
        <f>$AJ199/$AI199*P199</f>
        <v>47219.414914641871</v>
      </c>
      <c r="AW199" s="33">
        <f>$AJ199/$AI199*Q199</f>
        <v>52697.800764939246</v>
      </c>
      <c r="AX199" s="33">
        <f>$AJ199/$AI199*R199</f>
        <v>36594.595332825789</v>
      </c>
      <c r="AY199" s="33">
        <f>$AJ199/$AI199*S199</f>
        <v>32907.676826985502</v>
      </c>
      <c r="AZ199" s="33">
        <f>$AJ199/$AI199*T199</f>
        <v>32224.108893019173</v>
      </c>
      <c r="BA199" s="33">
        <f>$AJ199/$AI199*U199</f>
        <v>35502.021109504181</v>
      </c>
      <c r="BB199" s="33">
        <f>$AJ199/$AI199*V199</f>
        <v>37771.250988453874</v>
      </c>
      <c r="BC199" s="33">
        <f>$AJ199/$AI199*W199</f>
        <v>44220.409872249242</v>
      </c>
      <c r="BD199" s="33">
        <f>$AJ199/$AI199*X199</f>
        <v>46501.503959314316</v>
      </c>
      <c r="BE199" s="33">
        <f>$AJ199/$AI199*Y199</f>
        <v>40510.064820562198</v>
      </c>
      <c r="BF199" s="33">
        <f>$AJ199/$AI199*Z199</f>
        <v>43307.336203544357</v>
      </c>
      <c r="BG199" s="33">
        <f>$AJ199/$AI199*AA199</f>
        <v>38975.875286171722</v>
      </c>
      <c r="BH199" s="33">
        <f>$AJ199/$AI199*AB199</f>
        <v>36559.866198182703</v>
      </c>
      <c r="BI199" s="33">
        <f>$AJ199/$AI199*AC199</f>
        <v>40681.442955776845</v>
      </c>
      <c r="BJ199" s="33">
        <f>$AJ199/$AI199*AD199</f>
        <v>49549.215437153427</v>
      </c>
      <c r="BK199" s="33">
        <f>$AJ199/$AI199*AE199</f>
        <v>49289.677109327531</v>
      </c>
      <c r="BL199" s="33">
        <f>$AJ199/$AI199*AF199</f>
        <v>55949.770668857949</v>
      </c>
      <c r="BM199" s="33">
        <f>$AJ199/$AI199*AG199</f>
        <v>55149.332274859546</v>
      </c>
      <c r="BN199" s="33">
        <f>$AJ199/$AI199*AH199</f>
        <v>38991.347898412147</v>
      </c>
    </row>
    <row r="200" spans="1:66" x14ac:dyDescent="0.25">
      <c r="A200" s="4" t="s">
        <v>51</v>
      </c>
      <c r="B200" s="4">
        <v>54</v>
      </c>
      <c r="C200" s="4" t="s">
        <v>2</v>
      </c>
      <c r="D200" s="4" t="str">
        <f>A200&amp;C200</f>
        <v>KARENDELI</v>
      </c>
      <c r="E200" s="2">
        <v>60409.43</v>
      </c>
      <c r="F200" s="2">
        <v>57008.77</v>
      </c>
      <c r="G200" s="2">
        <v>61353.82</v>
      </c>
      <c r="H200" s="2">
        <v>67582.03</v>
      </c>
      <c r="I200" s="2">
        <v>38188.400000000001</v>
      </c>
      <c r="J200" s="2">
        <v>46436.38</v>
      </c>
      <c r="K200" s="2">
        <v>51340.25</v>
      </c>
      <c r="L200" s="2">
        <v>59177.65</v>
      </c>
      <c r="M200" s="2">
        <v>63862.13</v>
      </c>
      <c r="N200" s="2">
        <v>52576.34</v>
      </c>
      <c r="O200" s="2">
        <v>57801.74</v>
      </c>
      <c r="P200" s="2">
        <v>51929.01</v>
      </c>
      <c r="Q200" s="2">
        <v>43030.27</v>
      </c>
      <c r="R200" s="2">
        <v>54980.32</v>
      </c>
      <c r="S200" s="2">
        <v>53628.19</v>
      </c>
      <c r="T200" s="2">
        <v>51930</v>
      </c>
      <c r="U200" s="2">
        <v>56807.44</v>
      </c>
      <c r="V200" s="2">
        <v>66877.56</v>
      </c>
      <c r="W200" s="2">
        <v>51770.87</v>
      </c>
      <c r="X200" s="2">
        <v>50889.41</v>
      </c>
      <c r="Y200" s="2">
        <v>58979.360000000001</v>
      </c>
      <c r="Z200" s="2">
        <v>63324</v>
      </c>
      <c r="AA200" s="2">
        <v>58183.09</v>
      </c>
      <c r="AB200" s="2">
        <v>63824.15</v>
      </c>
      <c r="AC200" s="2">
        <v>64551.26</v>
      </c>
      <c r="AD200" s="2">
        <v>58185.88</v>
      </c>
      <c r="AE200" s="2">
        <v>54511.11</v>
      </c>
      <c r="AF200" s="3">
        <v>56125.401680000003</v>
      </c>
      <c r="AG200" s="2">
        <v>46844.05</v>
      </c>
      <c r="AH200" s="2">
        <v>58682.48</v>
      </c>
      <c r="AI200" s="24">
        <f>SUM(E200:AH200)</f>
        <v>1680790.79168</v>
      </c>
      <c r="AJ200" s="26">
        <v>1213423.0344103707</v>
      </c>
      <c r="AK200" s="33">
        <f>$AJ200/$AI200*E200</f>
        <v>43611.729800312132</v>
      </c>
      <c r="AL200" s="33">
        <f>$AJ200/$AI200*F200</f>
        <v>41156.671623753777</v>
      </c>
      <c r="AM200" s="33">
        <f>$AJ200/$AI200*G200</f>
        <v>44293.518744622925</v>
      </c>
      <c r="AN200" s="33">
        <f>$AJ200/$AI200*H200</f>
        <v>48789.88647495248</v>
      </c>
      <c r="AO200" s="33">
        <f>$AJ200/$AI200*I200</f>
        <v>27569.572868114134</v>
      </c>
      <c r="AP200" s="33">
        <f>$AJ200/$AI200*J200</f>
        <v>33524.084856695685</v>
      </c>
      <c r="AQ200" s="33">
        <f>$AJ200/$AI200*K200</f>
        <v>37064.364137858523</v>
      </c>
      <c r="AR200" s="33">
        <f>$AJ200/$AI200*L200</f>
        <v>42722.46372821994</v>
      </c>
      <c r="AS200" s="33">
        <f>$AJ200/$AI200*M200</f>
        <v>46104.357515580057</v>
      </c>
      <c r="AT200" s="33">
        <f>$AJ200/$AI200*N200</f>
        <v>37956.741753222013</v>
      </c>
      <c r="AU200" s="33">
        <f>$AJ200/$AI200*O200</f>
        <v>41729.145050166735</v>
      </c>
      <c r="AV200" s="33">
        <f>$AJ200/$AI200*P200</f>
        <v>37489.411055818717</v>
      </c>
      <c r="AW200" s="33">
        <f>$AJ200/$AI200*Q200</f>
        <v>31065.092130061101</v>
      </c>
      <c r="AX200" s="33">
        <f>$AJ200/$AI200*R200</f>
        <v>39692.260962811553</v>
      </c>
      <c r="AY200" s="33">
        <f>$AJ200/$AI200*S200</f>
        <v>38716.10991793502</v>
      </c>
      <c r="AZ200" s="33">
        <f>$AJ200/$AI200*T200</f>
        <v>37490.125772254578</v>
      </c>
      <c r="BA200" s="33">
        <f>$AJ200/$AI200*U200</f>
        <v>41011.324290387172</v>
      </c>
      <c r="BB200" s="33">
        <f>$AJ200/$AI200*V200</f>
        <v>48281.304366291202</v>
      </c>
      <c r="BC200" s="33">
        <f>$AJ200/$AI200*W200</f>
        <v>37375.244129386512</v>
      </c>
      <c r="BD200" s="33">
        <f>$AJ200/$AI200*X200</f>
        <v>36738.88660457982</v>
      </c>
      <c r="BE200" s="33">
        <f>$AJ200/$AI200*Y200</f>
        <v>42579.311079666491</v>
      </c>
      <c r="BF200" s="33">
        <f>$AJ200/$AI200*Z200</f>
        <v>45715.862206860176</v>
      </c>
      <c r="BG200" s="33">
        <f>$AJ200/$AI200*AA200</f>
        <v>42004.455265133984</v>
      </c>
      <c r="BH200" s="33">
        <f>$AJ200/$AI200*AB200</f>
        <v>46076.938394131372</v>
      </c>
      <c r="BI200" s="33">
        <f>$AJ200/$AI200*AC200</f>
        <v>46601.865129164384</v>
      </c>
      <c r="BJ200" s="33">
        <f>$AJ200/$AI200*AD200</f>
        <v>42006.469465998693</v>
      </c>
      <c r="BK200" s="33">
        <f>$AJ200/$AI200*AE200</f>
        <v>39353.521469000661</v>
      </c>
      <c r="BL200" s="33">
        <f>$AJ200/$AI200*AF200</f>
        <v>40518.936414433054</v>
      </c>
      <c r="BM200" s="33">
        <f>$AJ200/$AI200*AG200</f>
        <v>33818.396421755868</v>
      </c>
      <c r="BN200" s="33">
        <f>$AJ200/$AI200*AH200</f>
        <v>42364.982781201892</v>
      </c>
    </row>
    <row r="201" spans="1:66" x14ac:dyDescent="0.25">
      <c r="A201" s="4" t="s">
        <v>70</v>
      </c>
      <c r="B201" s="4">
        <v>55</v>
      </c>
      <c r="C201" s="4" t="s">
        <v>2</v>
      </c>
      <c r="D201" s="4" t="str">
        <f>A201&amp;C201</f>
        <v>SHABAABDELI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24"/>
      <c r="AJ201" s="26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</row>
    <row r="202" spans="1:66" x14ac:dyDescent="0.25">
      <c r="A202" s="4" t="s">
        <v>52</v>
      </c>
      <c r="B202" s="4">
        <v>56</v>
      </c>
      <c r="C202" s="4" t="s">
        <v>2</v>
      </c>
      <c r="D202" s="4" t="str">
        <f>A202&amp;C202</f>
        <v>THOMEDELI</v>
      </c>
      <c r="E202" s="2">
        <v>65027.71</v>
      </c>
      <c r="F202" s="2">
        <v>73834.19</v>
      </c>
      <c r="G202" s="2">
        <v>72416.72</v>
      </c>
      <c r="H202" s="2">
        <v>69019.990000000005</v>
      </c>
      <c r="I202" s="2">
        <v>69946.25</v>
      </c>
      <c r="J202" s="2">
        <v>87817.65</v>
      </c>
      <c r="K202" s="2">
        <v>64953.120000000003</v>
      </c>
      <c r="L202" s="2">
        <v>65501.71</v>
      </c>
      <c r="M202" s="2">
        <v>61213.919999999998</v>
      </c>
      <c r="N202" s="2">
        <v>67910.070000000007</v>
      </c>
      <c r="O202" s="2">
        <v>68266.539999999994</v>
      </c>
      <c r="P202" s="2">
        <v>70685.27</v>
      </c>
      <c r="Q202" s="2">
        <v>92822.62</v>
      </c>
      <c r="R202" s="2">
        <v>60206.96</v>
      </c>
      <c r="S202" s="2">
        <v>65292.79</v>
      </c>
      <c r="T202" s="2">
        <v>62116.4</v>
      </c>
      <c r="U202" s="2">
        <v>62980.800000000003</v>
      </c>
      <c r="V202" s="2">
        <v>68607.509999999995</v>
      </c>
      <c r="W202" s="2">
        <v>69909.320000000007</v>
      </c>
      <c r="X202" s="2">
        <v>84465.97</v>
      </c>
      <c r="Y202" s="2">
        <v>60649.21</v>
      </c>
      <c r="Z202" s="2">
        <v>70986.880000000005</v>
      </c>
      <c r="AA202" s="2">
        <v>70088.95</v>
      </c>
      <c r="AB202" s="2">
        <v>54745.84</v>
      </c>
      <c r="AC202" s="2">
        <v>69720.800000000003</v>
      </c>
      <c r="AD202" s="2">
        <v>75142.2</v>
      </c>
      <c r="AE202" s="2">
        <v>92480.86</v>
      </c>
      <c r="AF202" s="3">
        <v>78803.629849999998</v>
      </c>
      <c r="AG202" s="2">
        <v>86562.27</v>
      </c>
      <c r="AH202" s="2">
        <v>69474.62</v>
      </c>
      <c r="AI202" s="24">
        <f>SUM(E202:AH202)</f>
        <v>2131650.7698500003</v>
      </c>
      <c r="AJ202" s="26">
        <v>1582789.0141683861</v>
      </c>
      <c r="AK202" s="33">
        <f>$AJ202/$AI202*E202</f>
        <v>48284.243582625088</v>
      </c>
      <c r="AL202" s="33">
        <f>$AJ202/$AI202*F202</f>
        <v>54823.213283780431</v>
      </c>
      <c r="AM202" s="33">
        <f>$AJ202/$AI202*G202</f>
        <v>53770.716329004332</v>
      </c>
      <c r="AN202" s="33">
        <f>$AJ202/$AI202*H202</f>
        <v>51248.583245978494</v>
      </c>
      <c r="AO202" s="33">
        <f>$AJ202/$AI202*I202</f>
        <v>51936.347945993948</v>
      </c>
      <c r="AP202" s="33">
        <f>$AJ202/$AI202*J202</f>
        <v>65206.183693900894</v>
      </c>
      <c r="AQ202" s="33">
        <f>$AJ202/$AI202*K202</f>
        <v>48228.859166830225</v>
      </c>
      <c r="AR202" s="33">
        <f>$AJ202/$AI202*L202</f>
        <v>48636.197103026847</v>
      </c>
      <c r="AS202" s="33">
        <f>$AJ202/$AI202*M202</f>
        <v>45452.435952724241</v>
      </c>
      <c r="AT202" s="33">
        <f>$AJ202/$AI202*N202</f>
        <v>50424.447694576993</v>
      </c>
      <c r="AU202" s="33">
        <f>$AJ202/$AI202*O202</f>
        <v>50689.13307731456</v>
      </c>
      <c r="AV202" s="33">
        <f>$AJ202/$AI202*P202</f>
        <v>52485.083580270963</v>
      </c>
      <c r="AW202" s="33">
        <f>$AJ202/$AI202*Q202</f>
        <v>68922.463885894904</v>
      </c>
      <c r="AX202" s="33">
        <f>$AJ202/$AI202*R202</f>
        <v>44704.750052083422</v>
      </c>
      <c r="AY202" s="33">
        <f>$AJ202/$AI202*S202</f>
        <v>48481.070247578878</v>
      </c>
      <c r="AZ202" s="33">
        <f>$AJ202/$AI202*T202</f>
        <v>46122.543575281576</v>
      </c>
      <c r="BA202" s="33">
        <f>$AJ202/$AI202*U202</f>
        <v>46764.376113330676</v>
      </c>
      <c r="BB202" s="33">
        <f>$AJ202/$AI202*V202</f>
        <v>50942.309431431408</v>
      </c>
      <c r="BC202" s="33">
        <f>$AJ202/$AI202*W202</f>
        <v>51908.926757157591</v>
      </c>
      <c r="BD202" s="33">
        <f>$AJ202/$AI202*X202</f>
        <v>62717.50104567274</v>
      </c>
      <c r="BE202" s="33">
        <f>$AJ202/$AI202*Y202</f>
        <v>45033.12862676206</v>
      </c>
      <c r="BF202" s="33">
        <f>$AJ202/$AI202*Z202</f>
        <v>52709.034426870909</v>
      </c>
      <c r="BG202" s="33">
        <f>$AJ202/$AI202*AA202</f>
        <v>52042.305261102243</v>
      </c>
      <c r="BH202" s="33">
        <f>$AJ202/$AI202*AB202</f>
        <v>40649.770285550883</v>
      </c>
      <c r="BI202" s="33">
        <f>$AJ202/$AI202*AC202</f>
        <v>51768.947268410462</v>
      </c>
      <c r="BJ202" s="33">
        <f>$AJ202/$AI202*AD202</f>
        <v>55794.4342209549</v>
      </c>
      <c r="BK202" s="33">
        <f>$AJ202/$AI202*AE202</f>
        <v>68668.700942577401</v>
      </c>
      <c r="BL202" s="33">
        <f>$AJ202/$AI202*AF202</f>
        <v>58513.111700726127</v>
      </c>
      <c r="BM202" s="33">
        <f>$AJ202/$AI202*AG202</f>
        <v>64274.041477778635</v>
      </c>
      <c r="BN202" s="33">
        <f>$AJ202/$AI202*AH202</f>
        <v>51586.154193194205</v>
      </c>
    </row>
    <row r="203" spans="1:66" x14ac:dyDescent="0.25">
      <c r="A203" s="4" t="s">
        <v>53</v>
      </c>
      <c r="B203" s="4">
        <v>57</v>
      </c>
      <c r="C203" s="4" t="s">
        <v>2</v>
      </c>
      <c r="D203" s="4" t="str">
        <f>A203&amp;C203</f>
        <v>KILELESHWADELI</v>
      </c>
      <c r="E203" s="2">
        <v>107555.87</v>
      </c>
      <c r="F203" s="2">
        <v>130416.63</v>
      </c>
      <c r="G203" s="2">
        <v>111295.81</v>
      </c>
      <c r="H203" s="2">
        <v>134971.81</v>
      </c>
      <c r="I203" s="2">
        <v>116203.14</v>
      </c>
      <c r="J203" s="2">
        <v>130244.67</v>
      </c>
      <c r="K203" s="2">
        <v>111115.66</v>
      </c>
      <c r="L203" s="2">
        <v>104182.47</v>
      </c>
      <c r="M203" s="2">
        <v>110326.01</v>
      </c>
      <c r="N203" s="2">
        <v>102818.31</v>
      </c>
      <c r="O203" s="2">
        <v>108999.69</v>
      </c>
      <c r="P203" s="2">
        <v>113280.9</v>
      </c>
      <c r="Q203" s="2">
        <v>114213.42</v>
      </c>
      <c r="R203" s="2">
        <v>109809.14</v>
      </c>
      <c r="S203" s="2">
        <v>99906.64</v>
      </c>
      <c r="T203" s="2">
        <v>114937.88</v>
      </c>
      <c r="U203" s="2">
        <v>112569.01</v>
      </c>
      <c r="V203" s="2">
        <v>109437.17</v>
      </c>
      <c r="W203" s="2">
        <v>99667.36</v>
      </c>
      <c r="X203" s="2">
        <v>109023.72</v>
      </c>
      <c r="Y203" s="2">
        <v>95132.91</v>
      </c>
      <c r="Z203" s="2">
        <v>110777</v>
      </c>
      <c r="AA203" s="2">
        <v>117975.89</v>
      </c>
      <c r="AB203" s="2">
        <v>91895.679999999993</v>
      </c>
      <c r="AC203" s="2">
        <v>103688.79</v>
      </c>
      <c r="AD203" s="2">
        <v>125685.75</v>
      </c>
      <c r="AE203" s="2">
        <v>122203.49</v>
      </c>
      <c r="AF203" s="3">
        <v>135873.60569999999</v>
      </c>
      <c r="AG203" s="2">
        <v>118614.24</v>
      </c>
      <c r="AH203" s="2">
        <v>103097.51</v>
      </c>
      <c r="AI203" s="24">
        <f>SUM(E203:AH203)</f>
        <v>3375920.175700001</v>
      </c>
      <c r="AJ203" s="26">
        <v>2593588.0343737062</v>
      </c>
      <c r="AK203" s="33">
        <f>$AJ203/$AI203*E203</f>
        <v>82630.987387257192</v>
      </c>
      <c r="AL203" s="33">
        <f>$AJ203/$AI203*F203</f>
        <v>100194.01924431078</v>
      </c>
      <c r="AM203" s="33">
        <f>$AJ203/$AI203*G203</f>
        <v>85504.237680050137</v>
      </c>
      <c r="AN203" s="33">
        <f>$AJ203/$AI203*H203</f>
        <v>103693.58668890201</v>
      </c>
      <c r="AO203" s="33">
        <f>$AJ203/$AI203*I203</f>
        <v>89274.348259185499</v>
      </c>
      <c r="AP203" s="33">
        <f>$AJ203/$AI203*J203</f>
        <v>100061.90907132707</v>
      </c>
      <c r="AQ203" s="33">
        <f>$AJ203/$AI203*K203</f>
        <v>85365.835448932354</v>
      </c>
      <c r="AR203" s="33">
        <f>$AJ203/$AI203*L203</f>
        <v>80039.335505754367</v>
      </c>
      <c r="AS203" s="33">
        <f>$AJ203/$AI203*M203</f>
        <v>84759.178097824057</v>
      </c>
      <c r="AT203" s="33">
        <f>$AJ203/$AI203*N203</f>
        <v>78991.304489370043</v>
      </c>
      <c r="AU203" s="33">
        <f>$AJ203/$AI203*O203</f>
        <v>83740.218080193532</v>
      </c>
      <c r="AV203" s="33">
        <f>$AJ203/$AI203*P203</f>
        <v>87029.305040414285</v>
      </c>
      <c r="AW203" s="33">
        <f>$AJ203/$AI203*Q203</f>
        <v>87745.72385008377</v>
      </c>
      <c r="AX203" s="33">
        <f>$AJ203/$AI203*R203</f>
        <v>84362.087000417174</v>
      </c>
      <c r="AY203" s="33">
        <f>$AJ203/$AI203*S203</f>
        <v>76754.381790071013</v>
      </c>
      <c r="AZ203" s="33">
        <f>$AJ203/$AI203*T203</f>
        <v>88302.298262271332</v>
      </c>
      <c r="BA203" s="33">
        <f>$AJ203/$AI203*U203</f>
        <v>86482.387669831776</v>
      </c>
      <c r="BB203" s="33">
        <f>$AJ203/$AI203*V203</f>
        <v>84076.316931536348</v>
      </c>
      <c r="BC203" s="33">
        <f>$AJ203/$AI203*W203</f>
        <v>76570.552282095086</v>
      </c>
      <c r="BD203" s="33">
        <f>$AJ203/$AI203*X203</f>
        <v>83758.679393619896</v>
      </c>
      <c r="BE203" s="33">
        <f>$AJ203/$AI203*Y203</f>
        <v>73086.91088941101</v>
      </c>
      <c r="BF203" s="33">
        <f>$AJ203/$AI203*Z203</f>
        <v>85105.656156174373</v>
      </c>
      <c r="BG203" s="33">
        <f>$AJ203/$AI203*AA203</f>
        <v>90636.283064703413</v>
      </c>
      <c r="BH203" s="33">
        <f>$AJ203/$AI203*AB203</f>
        <v>70599.873117324256</v>
      </c>
      <c r="BI203" s="33">
        <f>$AJ203/$AI203*AC203</f>
        <v>79660.060382478056</v>
      </c>
      <c r="BJ203" s="33">
        <f>$AJ203/$AI203*AD203</f>
        <v>96559.468330347401</v>
      </c>
      <c r="BK203" s="33">
        <f>$AJ203/$AI203*AE203</f>
        <v>93884.183549152745</v>
      </c>
      <c r="BL203" s="33">
        <f>$AJ203/$AI203*AF203</f>
        <v>104386.40121508809</v>
      </c>
      <c r="BM203" s="33">
        <f>$AJ203/$AI203*AG203</f>
        <v>91126.7025164605</v>
      </c>
      <c r="BN203" s="33">
        <f>$AJ203/$AI203*AH203</f>
        <v>79205.802979117943</v>
      </c>
    </row>
    <row r="204" spans="1:66" x14ac:dyDescent="0.25">
      <c r="A204" s="4" t="s">
        <v>54</v>
      </c>
      <c r="B204" s="4">
        <v>58</v>
      </c>
      <c r="C204" s="4" t="s">
        <v>2</v>
      </c>
      <c r="D204" s="4" t="str">
        <f>A204&amp;C204</f>
        <v>NYALIDELI</v>
      </c>
      <c r="E204" s="2">
        <v>77156.039999999994</v>
      </c>
      <c r="F204" s="2">
        <v>84806.48</v>
      </c>
      <c r="G204" s="2">
        <v>74438.559999999998</v>
      </c>
      <c r="H204" s="2">
        <v>75915.070000000007</v>
      </c>
      <c r="I204" s="2">
        <v>82444.97</v>
      </c>
      <c r="J204" s="2">
        <v>102026.42</v>
      </c>
      <c r="K204" s="2">
        <v>85187.78</v>
      </c>
      <c r="L204" s="2">
        <v>77884.600000000006</v>
      </c>
      <c r="M204" s="2">
        <v>73912.39</v>
      </c>
      <c r="N204" s="2">
        <v>73086.02</v>
      </c>
      <c r="O204" s="2">
        <v>71219.86</v>
      </c>
      <c r="P204" s="2">
        <v>84490.59</v>
      </c>
      <c r="Q204" s="2">
        <v>94805.87</v>
      </c>
      <c r="R204" s="2">
        <v>75707.78</v>
      </c>
      <c r="S204" s="2">
        <v>73405.210000000006</v>
      </c>
      <c r="T204" s="2">
        <v>69173.97</v>
      </c>
      <c r="U204" s="2">
        <v>65880.97</v>
      </c>
      <c r="V204" s="2">
        <v>83751.98</v>
      </c>
      <c r="W204" s="2">
        <v>71034.210000000006</v>
      </c>
      <c r="X204" s="2">
        <v>90872.56</v>
      </c>
      <c r="Y204" s="2">
        <v>72590.87</v>
      </c>
      <c r="Z204" s="2">
        <v>70229.539999999994</v>
      </c>
      <c r="AA204" s="2">
        <v>70948.649999999994</v>
      </c>
      <c r="AB204" s="2">
        <v>81144.179999999993</v>
      </c>
      <c r="AC204" s="2">
        <v>88280.9</v>
      </c>
      <c r="AD204" s="2">
        <v>73720.11</v>
      </c>
      <c r="AE204" s="2">
        <v>93265.56</v>
      </c>
      <c r="AF204" s="3">
        <v>81423.482300000003</v>
      </c>
      <c r="AG204" s="2">
        <v>78616.08</v>
      </c>
      <c r="AH204" s="2">
        <v>95419.19</v>
      </c>
      <c r="AI204" s="24">
        <f>SUM(E204:AH204)</f>
        <v>2392839.8922999995</v>
      </c>
      <c r="AJ204" s="26">
        <v>1096363.1301334535</v>
      </c>
      <c r="AK204" s="33">
        <f>$AJ204/$AI204*E204</f>
        <v>35351.73322515656</v>
      </c>
      <c r="AL204" s="33">
        <f>$AJ204/$AI204*F204</f>
        <v>38857.049386212348</v>
      </c>
      <c r="AM204" s="33">
        <f>$AJ204/$AI204*G204</f>
        <v>34106.624896570771</v>
      </c>
      <c r="AN204" s="33">
        <f>$AJ204/$AI204*H204</f>
        <v>34783.139497686592</v>
      </c>
      <c r="AO204" s="33">
        <f>$AJ204/$AI204*I204</f>
        <v>37775.041139955298</v>
      </c>
      <c r="AP204" s="33">
        <f>$AJ204/$AI204*J204</f>
        <v>46746.966041255851</v>
      </c>
      <c r="AQ204" s="33">
        <f>$AJ204/$AI204*K204</f>
        <v>39031.75529230541</v>
      </c>
      <c r="AR204" s="33">
        <f>$AJ204/$AI204*L204</f>
        <v>35685.548423014312</v>
      </c>
      <c r="AS204" s="33">
        <f>$AJ204/$AI204*M204</f>
        <v>33865.541742600188</v>
      </c>
      <c r="AT204" s="33">
        <f>$AJ204/$AI204*N204</f>
        <v>33486.911478718415</v>
      </c>
      <c r="AU204" s="33">
        <f>$AJ204/$AI204*O204</f>
        <v>32631.865127513011</v>
      </c>
      <c r="AV204" s="33">
        <f>$AJ204/$AI204*P204</f>
        <v>38712.313355066966</v>
      </c>
      <c r="AW204" s="33">
        <f>$AJ204/$AI204*Q204</f>
        <v>43438.61899105856</v>
      </c>
      <c r="AX204" s="33">
        <f>$AJ204/$AI204*R204</f>
        <v>34688.162347741585</v>
      </c>
      <c r="AY204" s="33">
        <f>$AJ204/$AI204*S204</f>
        <v>33633.159520066023</v>
      </c>
      <c r="AZ204" s="33">
        <f>$AJ204/$AI204*T204</f>
        <v>31694.469202475702</v>
      </c>
      <c r="BA204" s="33">
        <f>$AJ204/$AI204*U204</f>
        <v>30185.666294622468</v>
      </c>
      <c r="BB204" s="33">
        <f>$AJ204/$AI204*V204</f>
        <v>38373.893398866086</v>
      </c>
      <c r="BC204" s="33">
        <f>$AJ204/$AI204*W204</f>
        <v>32546.803099015306</v>
      </c>
      <c r="BD204" s="33">
        <f>$AJ204/$AI204*X204</f>
        <v>41636.435703634263</v>
      </c>
      <c r="BE204" s="33">
        <f>$AJ204/$AI204*Y204</f>
        <v>33260.041220648709</v>
      </c>
      <c r="BF204" s="33">
        <f>$AJ204/$AI204*Z204</f>
        <v>32178.115447675409</v>
      </c>
      <c r="BG204" s="33">
        <f>$AJ204/$AI204*AA204</f>
        <v>32507.600798135882</v>
      </c>
      <c r="BH204" s="33">
        <f>$AJ204/$AI204*AB204</f>
        <v>37179.038791183222</v>
      </c>
      <c r="BI204" s="33">
        <f>$AJ204/$AI204*AC204</f>
        <v>40448.976200394995</v>
      </c>
      <c r="BJ204" s="33">
        <f>$AJ204/$AI204*AD204</f>
        <v>33777.441948150743</v>
      </c>
      <c r="BK204" s="33">
        <f>$AJ204/$AI204*AE204</f>
        <v>42732.872192699797</v>
      </c>
      <c r="BL204" s="33">
        <f>$AJ204/$AI204*AF204</f>
        <v>37307.010890305639</v>
      </c>
      <c r="BM204" s="33">
        <f>$AJ204/$AI204*AG204</f>
        <v>36020.701520808565</v>
      </c>
      <c r="BN204" s="33">
        <f>$AJ204/$AI204*AH204</f>
        <v>43719.632959915092</v>
      </c>
    </row>
    <row r="205" spans="1:66" x14ac:dyDescent="0.25">
      <c r="A205" s="4" t="s">
        <v>55</v>
      </c>
      <c r="B205" s="4">
        <v>59</v>
      </c>
      <c r="C205" s="4" t="s">
        <v>2</v>
      </c>
      <c r="D205" s="4" t="str">
        <f>A205&amp;C205</f>
        <v>OUTERING 2DELI</v>
      </c>
      <c r="E205" s="2">
        <v>69567.350000000006</v>
      </c>
      <c r="F205" s="2">
        <v>58562.26</v>
      </c>
      <c r="G205" s="2">
        <v>72027.210000000006</v>
      </c>
      <c r="H205" s="2">
        <v>64404.83</v>
      </c>
      <c r="I205" s="2">
        <v>79220.17</v>
      </c>
      <c r="J205" s="2">
        <v>106799.99</v>
      </c>
      <c r="K205" s="2">
        <v>51291.79</v>
      </c>
      <c r="L205" s="2">
        <v>60844.05</v>
      </c>
      <c r="M205" s="2">
        <v>58262.17</v>
      </c>
      <c r="N205" s="2">
        <v>63846.02</v>
      </c>
      <c r="O205" s="2">
        <v>69734.039999999994</v>
      </c>
      <c r="P205" s="2">
        <v>71776.53</v>
      </c>
      <c r="Q205" s="2">
        <v>91802.98</v>
      </c>
      <c r="R205" s="2">
        <v>56918.52</v>
      </c>
      <c r="S205" s="2">
        <v>61550.080000000002</v>
      </c>
      <c r="T205" s="2">
        <v>60505.33</v>
      </c>
      <c r="U205" s="2">
        <v>53553.4</v>
      </c>
      <c r="V205" s="2">
        <v>61895.45</v>
      </c>
      <c r="W205" s="2">
        <v>68260.05</v>
      </c>
      <c r="X205" s="2">
        <v>104194.58</v>
      </c>
      <c r="Y205" s="2">
        <v>61724.11</v>
      </c>
      <c r="Z205" s="2">
        <v>72076.149999999994</v>
      </c>
      <c r="AA205" s="2">
        <v>64759.03</v>
      </c>
      <c r="AB205" s="2">
        <v>55858.47</v>
      </c>
      <c r="AC205" s="2">
        <v>74760.490000000005</v>
      </c>
      <c r="AD205" s="2">
        <v>76077.259999999995</v>
      </c>
      <c r="AE205" s="2">
        <v>100760.88</v>
      </c>
      <c r="AF205" s="3">
        <v>86143.882429999998</v>
      </c>
      <c r="AG205" s="2">
        <v>112524.67</v>
      </c>
      <c r="AH205" s="2">
        <v>74870.009999999995</v>
      </c>
      <c r="AI205" s="24">
        <f>SUM(E205:AH205)</f>
        <v>2164571.7524299999</v>
      </c>
      <c r="AJ205" s="26">
        <v>1826417.7152055234</v>
      </c>
      <c r="AK205" s="33">
        <f>$AJ205/$AI205*E205</f>
        <v>58699.38952001174</v>
      </c>
      <c r="AL205" s="33">
        <f>$AJ205/$AI205*F205</f>
        <v>49413.538260580608</v>
      </c>
      <c r="AM205" s="33">
        <f>$AJ205/$AI205*G205</f>
        <v>60774.964920033388</v>
      </c>
      <c r="AN205" s="33">
        <f>$AJ205/$AI205*H205</f>
        <v>54343.369456219581</v>
      </c>
      <c r="AO205" s="33">
        <f>$AJ205/$AI205*I205</f>
        <v>66844.225296371762</v>
      </c>
      <c r="AP205" s="33">
        <f>$AJ205/$AI205*J205</f>
        <v>90115.466720284123</v>
      </c>
      <c r="AQ205" s="33">
        <f>$AJ205/$AI205*K205</f>
        <v>43278.876662524053</v>
      </c>
      <c r="AR205" s="33">
        <f>$AJ205/$AI205*L205</f>
        <v>51338.862137555479</v>
      </c>
      <c r="AS205" s="33">
        <f>$AJ205/$AI205*M205</f>
        <v>49160.328963387881</v>
      </c>
      <c r="AT205" s="33">
        <f>$AJ205/$AI205*N205</f>
        <v>53871.857951790014</v>
      </c>
      <c r="AU205" s="33">
        <f>$AJ205/$AI205*O205</f>
        <v>58840.038851042598</v>
      </c>
      <c r="AV205" s="33">
        <f>$AJ205/$AI205*P205</f>
        <v>60563.446686769115</v>
      </c>
      <c r="AW205" s="33">
        <f>$AJ205/$AI205*Q205</f>
        <v>77461.321756798934</v>
      </c>
      <c r="AX205" s="33">
        <f>$AJ205/$AI205*R205</f>
        <v>48026.586845446574</v>
      </c>
      <c r="AY205" s="33">
        <f>$AJ205/$AI205*S205</f>
        <v>51934.594618134564</v>
      </c>
      <c r="AZ205" s="33">
        <f>$AJ205/$AI205*T205</f>
        <v>51053.057701735823</v>
      </c>
      <c r="BA205" s="33">
        <f>$AJ205/$AI205*U205</f>
        <v>45187.173102338907</v>
      </c>
      <c r="BB205" s="33">
        <f>$AJ205/$AI205*V205</f>
        <v>52226.010176705167</v>
      </c>
      <c r="BC205" s="33">
        <f>$AJ205/$AI205*W205</f>
        <v>57596.318727182748</v>
      </c>
      <c r="BD205" s="33">
        <f>$AJ205/$AI205*X205</f>
        <v>87917.079453134618</v>
      </c>
      <c r="BE205" s="33">
        <f>$AJ205/$AI205*Y205</f>
        <v>52081.437278637917</v>
      </c>
      <c r="BF205" s="33">
        <f>$AJ205/$AI205*Z205</f>
        <v>60816.259408368918</v>
      </c>
      <c r="BG205" s="33">
        <f>$AJ205/$AI205*AA205</f>
        <v>54642.235573270009</v>
      </c>
      <c r="BH205" s="33">
        <f>$AJ205/$AI205*AB205</f>
        <v>47132.140127831372</v>
      </c>
      <c r="BI205" s="33">
        <f>$AJ205/$AI205*AC205</f>
        <v>63081.246061793965</v>
      </c>
      <c r="BJ205" s="33">
        <f>$AJ205/$AI205*AD205</f>
        <v>64192.307430931425</v>
      </c>
      <c r="BK205" s="33">
        <f>$AJ205/$AI205*AE205</f>
        <v>85019.799424574318</v>
      </c>
      <c r="BL205" s="33">
        <f>$AJ205/$AI205*AF205</f>
        <v>72686.300535016271</v>
      </c>
      <c r="BM205" s="33">
        <f>$AJ205/$AI205*AG205</f>
        <v>94945.824944327745</v>
      </c>
      <c r="BN205" s="33">
        <f>$AJ205/$AI205*AH205</f>
        <v>63173.656612723833</v>
      </c>
    </row>
    <row r="206" spans="1:66" x14ac:dyDescent="0.25">
      <c r="A206" s="4" t="s">
        <v>85</v>
      </c>
      <c r="B206" s="4">
        <v>60</v>
      </c>
      <c r="C206" s="4" t="s">
        <v>2</v>
      </c>
      <c r="D206" s="4" t="str">
        <f>A206&amp;C206</f>
        <v>NAROK MORANDELI</v>
      </c>
      <c r="E206" s="2">
        <v>98605.95</v>
      </c>
      <c r="F206" s="2">
        <v>111153.67</v>
      </c>
      <c r="G206" s="2">
        <v>105675.69</v>
      </c>
      <c r="H206" s="2">
        <v>134023.18</v>
      </c>
      <c r="I206" s="2">
        <v>121371.39</v>
      </c>
      <c r="J206" s="2">
        <v>136919.01</v>
      </c>
      <c r="K206" s="2">
        <v>107011.02</v>
      </c>
      <c r="L206" s="2">
        <v>113100.27</v>
      </c>
      <c r="M206" s="2">
        <v>107123.78</v>
      </c>
      <c r="N206" s="2">
        <v>99295.89</v>
      </c>
      <c r="O206" s="2">
        <v>121253.93</v>
      </c>
      <c r="P206" s="2">
        <v>116363.25</v>
      </c>
      <c r="Q206" s="2">
        <v>125237.61</v>
      </c>
      <c r="R206" s="2">
        <v>116023.92</v>
      </c>
      <c r="S206" s="2">
        <v>106817.47</v>
      </c>
      <c r="T206" s="2">
        <v>101747.65</v>
      </c>
      <c r="U206" s="2">
        <v>112903.29</v>
      </c>
      <c r="V206" s="2">
        <v>116108.81</v>
      </c>
      <c r="W206" s="2">
        <v>109235.46</v>
      </c>
      <c r="X206" s="2">
        <v>145970.18</v>
      </c>
      <c r="Y206" s="2">
        <v>123837.3</v>
      </c>
      <c r="Z206" s="2">
        <v>109065.11</v>
      </c>
      <c r="AA206" s="2">
        <v>111415.21</v>
      </c>
      <c r="AB206" s="2">
        <v>111840.63</v>
      </c>
      <c r="AC206" s="2">
        <v>97074.51</v>
      </c>
      <c r="AD206" s="2">
        <v>96420.88</v>
      </c>
      <c r="AE206" s="2">
        <v>109458.45</v>
      </c>
      <c r="AF206" s="3">
        <v>135430.1311</v>
      </c>
      <c r="AG206" s="2">
        <v>126272.05</v>
      </c>
      <c r="AH206" s="2">
        <v>77899.78</v>
      </c>
      <c r="AI206" s="24">
        <f>SUM(E206:AH206)</f>
        <v>3404655.4710999993</v>
      </c>
      <c r="AJ206" s="26">
        <v>2341973.2997396849</v>
      </c>
      <c r="AK206" s="33">
        <f>$AJ206/$AI206*E206</f>
        <v>67828.449620147658</v>
      </c>
      <c r="AL206" s="33">
        <f>$AJ206/$AI206*F206</f>
        <v>76459.697469468301</v>
      </c>
      <c r="AM206" s="33">
        <f>$AJ206/$AI206*G206</f>
        <v>72691.538545486779</v>
      </c>
      <c r="AN206" s="33">
        <f>$AJ206/$AI206*H206</f>
        <v>92191.034238420514</v>
      </c>
      <c r="AO206" s="33">
        <f>$AJ206/$AI206*I206</f>
        <v>83488.199362637781</v>
      </c>
      <c r="AP206" s="33">
        <f>$AJ206/$AI206*J206</f>
        <v>94182.999827348089</v>
      </c>
      <c r="AQ206" s="33">
        <f>$AJ206/$AI206*K206</f>
        <v>73610.077068073617</v>
      </c>
      <c r="AR206" s="33">
        <f>$AJ206/$AI206*L206</f>
        <v>77798.712610345508</v>
      </c>
      <c r="AS206" s="33">
        <f>$AJ206/$AI206*M206</f>
        <v>73687.641717865714</v>
      </c>
      <c r="AT206" s="33">
        <f>$AJ206/$AI206*N206</f>
        <v>68303.04127035664</v>
      </c>
      <c r="AU206" s="33">
        <f>$AJ206/$AI206*O206</f>
        <v>83407.401705981334</v>
      </c>
      <c r="AV206" s="33">
        <f>$AJ206/$AI206*P206</f>
        <v>80043.231065282031</v>
      </c>
      <c r="AW206" s="33">
        <f>$AJ206/$AI206*Q206</f>
        <v>86147.670809243267</v>
      </c>
      <c r="AX206" s="33">
        <f>$AJ206/$AI206*R206</f>
        <v>79809.814848414753</v>
      </c>
      <c r="AY206" s="33">
        <f>$AJ206/$AI206*S206</f>
        <v>73476.939093904919</v>
      </c>
      <c r="AZ206" s="33">
        <f>$AJ206/$AI206*T206</f>
        <v>69989.542740508216</v>
      </c>
      <c r="BA206" s="33">
        <f>$AJ206/$AI206*U206</f>
        <v>77663.215229039633</v>
      </c>
      <c r="BB206" s="33">
        <f>$AJ206/$AI206*V206</f>
        <v>79868.208455375119</v>
      </c>
      <c r="BC206" s="33">
        <f>$AJ206/$AI206*W206</f>
        <v>75140.211065799333</v>
      </c>
      <c r="BD206" s="33">
        <f>$AJ206/$AI206*X206</f>
        <v>100409.06253805054</v>
      </c>
      <c r="BE206" s="33">
        <f>$AJ206/$AI206*Y206</f>
        <v>85184.434247072437</v>
      </c>
      <c r="BF206" s="33">
        <f>$AJ206/$AI206*Z206</f>
        <v>75023.031763812047</v>
      </c>
      <c r="BG206" s="33">
        <f>$AJ206/$AI206*AA206</f>
        <v>76639.603983361783</v>
      </c>
      <c r="BH206" s="33">
        <f>$AJ206/$AI206*AB206</f>
        <v>76932.239255750537</v>
      </c>
      <c r="BI206" s="33">
        <f>$AJ206/$AI206*AC206</f>
        <v>66775.012166461762</v>
      </c>
      <c r="BJ206" s="33">
        <f>$AJ206/$AI206*AD206</f>
        <v>66325.397213964301</v>
      </c>
      <c r="BK206" s="33">
        <f>$AJ206/$AI206*AE206</f>
        <v>75293.600044667197</v>
      </c>
      <c r="BL206" s="33">
        <f>$AJ206/$AI206*AF206</f>
        <v>93158.839039290659</v>
      </c>
      <c r="BM206" s="33">
        <f>$AJ206/$AI206*AG206</f>
        <v>86859.234983870308</v>
      </c>
      <c r="BN206" s="33">
        <f>$AJ206/$AI206*AH206</f>
        <v>53585.217759684747</v>
      </c>
    </row>
    <row r="207" spans="1:66" x14ac:dyDescent="0.25">
      <c r="A207" s="27" t="s">
        <v>66</v>
      </c>
      <c r="B207" s="4">
        <v>61</v>
      </c>
      <c r="C207" s="4" t="s">
        <v>2</v>
      </c>
      <c r="D207" s="4" t="str">
        <f>A207&amp;C207</f>
        <v>JOSKADELI</v>
      </c>
      <c r="E207" s="2">
        <v>59844.97</v>
      </c>
      <c r="F207" s="2">
        <v>55820.76</v>
      </c>
      <c r="G207" s="2">
        <v>62476.39</v>
      </c>
      <c r="H207" s="2">
        <v>75136.34</v>
      </c>
      <c r="I207" s="2">
        <v>88749.1</v>
      </c>
      <c r="J207" s="2">
        <v>103234.02</v>
      </c>
      <c r="K207" s="2">
        <v>56149.9</v>
      </c>
      <c r="L207" s="2">
        <v>61860.81</v>
      </c>
      <c r="M207" s="2">
        <v>63033.11</v>
      </c>
      <c r="N207" s="2">
        <v>57108.03</v>
      </c>
      <c r="O207" s="2">
        <v>64419.63</v>
      </c>
      <c r="P207" s="2">
        <v>81049.490000000005</v>
      </c>
      <c r="Q207" s="2">
        <v>95197.05</v>
      </c>
      <c r="R207" s="2">
        <v>53799.46</v>
      </c>
      <c r="S207" s="2">
        <v>53878.23</v>
      </c>
      <c r="T207" s="2">
        <v>71265.17</v>
      </c>
      <c r="U207" s="2">
        <v>54639.43</v>
      </c>
      <c r="V207" s="2">
        <v>72623.520000000004</v>
      </c>
      <c r="W207" s="2">
        <v>90183.33</v>
      </c>
      <c r="X207" s="2">
        <v>96536.960000000006</v>
      </c>
      <c r="Y207" s="2">
        <v>72670.17</v>
      </c>
      <c r="Z207" s="2">
        <v>107770.95</v>
      </c>
      <c r="AA207" s="2">
        <v>79570.91</v>
      </c>
      <c r="AB207" s="2">
        <v>55754.33</v>
      </c>
      <c r="AC207" s="2">
        <v>59626.239999999998</v>
      </c>
      <c r="AD207" s="2">
        <v>82206.59</v>
      </c>
      <c r="AE207" s="2">
        <v>93369.75</v>
      </c>
      <c r="AF207" s="3">
        <v>89015.564670000007</v>
      </c>
      <c r="AG207" s="2">
        <v>111708.05</v>
      </c>
      <c r="AH207" s="2">
        <v>56432.07</v>
      </c>
      <c r="AI207" s="24">
        <f>SUM(E207:AH207)</f>
        <v>2225130.3246699995</v>
      </c>
      <c r="AJ207" s="26">
        <v>1437613.8068726035</v>
      </c>
      <c r="AK207" s="33">
        <f>$AJ207/$AI207*E207</f>
        <v>38664.681430125274</v>
      </c>
      <c r="AL207" s="33">
        <f>$AJ207/$AI207*F207</f>
        <v>36064.716927545953</v>
      </c>
      <c r="AM207" s="33">
        <f>$AJ207/$AI207*G207</f>
        <v>40364.791163806483</v>
      </c>
      <c r="AN207" s="33">
        <f>$AJ207/$AI207*H207</f>
        <v>48544.140801233232</v>
      </c>
      <c r="AO207" s="33">
        <f>$AJ207/$AI207*I207</f>
        <v>57339.082611459758</v>
      </c>
      <c r="AP207" s="33">
        <f>$AJ207/$AI207*J207</f>
        <v>66697.510184250757</v>
      </c>
      <c r="AQ207" s="33">
        <f>$AJ207/$AI207*K207</f>
        <v>36277.367936409544</v>
      </c>
      <c r="AR207" s="33">
        <f>$AJ207/$AI207*L207</f>
        <v>39967.076792911881</v>
      </c>
      <c r="AS207" s="33">
        <f>$AJ207/$AI207*M207</f>
        <v>40724.477223399786</v>
      </c>
      <c r="AT207" s="33">
        <f>$AJ207/$AI207*N207</f>
        <v>36896.397258650759</v>
      </c>
      <c r="AU207" s="33">
        <f>$AJ207/$AI207*O207</f>
        <v>41620.281066170486</v>
      </c>
      <c r="AV207" s="33">
        <f>$AJ207/$AI207*P207</f>
        <v>52364.513022967913</v>
      </c>
      <c r="AW207" s="33">
        <f>$AJ207/$AI207*Q207</f>
        <v>61504.978803359867</v>
      </c>
      <c r="AX207" s="33">
        <f>$AJ207/$AI207*R207</f>
        <v>34758.793964016812</v>
      </c>
      <c r="AY207" s="33">
        <f>$AJ207/$AI207*S207</f>
        <v>34809.685742494621</v>
      </c>
      <c r="AZ207" s="33">
        <f>$AJ207/$AI207*T207</f>
        <v>46043.052492360184</v>
      </c>
      <c r="BA207" s="33">
        <f>$AJ207/$AI207*U207</f>
        <v>35301.482388137709</v>
      </c>
      <c r="BB207" s="33">
        <f>$AJ207/$AI207*V207</f>
        <v>46920.656241190052</v>
      </c>
      <c r="BC207" s="33">
        <f>$AJ207/$AI207*W207</f>
        <v>58265.710965480634</v>
      </c>
      <c r="BD207" s="33">
        <f>$AJ207/$AI207*X207</f>
        <v>62370.668823674678</v>
      </c>
      <c r="BE207" s="33">
        <f>$AJ207/$AI207*Y207</f>
        <v>46950.795906874824</v>
      </c>
      <c r="BF207" s="33">
        <f>$AJ207/$AI207*Z207</f>
        <v>69628.733194652101</v>
      </c>
      <c r="BG207" s="33">
        <f>$AJ207/$AI207*AA207</f>
        <v>51409.230988923038</v>
      </c>
      <c r="BH207" s="33">
        <f>$AJ207/$AI207*AB207</f>
        <v>36021.797785178547</v>
      </c>
      <c r="BI207" s="33">
        <f>$AJ207/$AI207*AC207</f>
        <v>38523.364193785921</v>
      </c>
      <c r="BJ207" s="33">
        <f>$AJ207/$AI207*AD207</f>
        <v>53112.093026480281</v>
      </c>
      <c r="BK207" s="33">
        <f>$AJ207/$AI207*AE207</f>
        <v>60324.395499913182</v>
      </c>
      <c r="BL207" s="33">
        <f>$AJ207/$AI207*AF207</f>
        <v>57511.240297860699</v>
      </c>
      <c r="BM207" s="33">
        <f>$AJ207/$AI207*AG207</f>
        <v>72172.417605531518</v>
      </c>
      <c r="BN207" s="33">
        <f>$AJ207/$AI207*AH207</f>
        <v>36459.672533757301</v>
      </c>
    </row>
    <row r="208" spans="1:66" x14ac:dyDescent="0.25">
      <c r="A208" s="4" t="s">
        <v>71</v>
      </c>
      <c r="B208" s="4">
        <v>62</v>
      </c>
      <c r="C208" s="4" t="s">
        <v>2</v>
      </c>
      <c r="D208" s="4" t="str">
        <f>A208&amp;C208</f>
        <v>CIRCLE MALLDELI</v>
      </c>
      <c r="E208" s="2">
        <v>45914.99</v>
      </c>
      <c r="F208" s="2">
        <v>47207.27</v>
      </c>
      <c r="G208" s="2">
        <v>37913.25</v>
      </c>
      <c r="H208" s="2">
        <v>46824.23</v>
      </c>
      <c r="I208" s="2">
        <v>27693.48</v>
      </c>
      <c r="J208" s="2">
        <v>20148.919999999998</v>
      </c>
      <c r="K208" s="2">
        <v>36898.74</v>
      </c>
      <c r="L208" s="2">
        <v>39319.19</v>
      </c>
      <c r="M208" s="2">
        <v>49705.84</v>
      </c>
      <c r="N208" s="2">
        <v>61199.82</v>
      </c>
      <c r="O208" s="2">
        <v>45021.2</v>
      </c>
      <c r="P208" s="2">
        <v>24657.1</v>
      </c>
      <c r="Q208" s="2">
        <v>19049.91</v>
      </c>
      <c r="R208" s="2">
        <v>41091.24</v>
      </c>
      <c r="S208" s="2">
        <v>52010.44</v>
      </c>
      <c r="T208" s="2">
        <v>39980.68</v>
      </c>
      <c r="U208" s="2">
        <v>46241.09</v>
      </c>
      <c r="V208" s="2">
        <v>43206.91</v>
      </c>
      <c r="W208" s="2">
        <v>28077.14</v>
      </c>
      <c r="X208" s="2">
        <v>24803.439999999999</v>
      </c>
      <c r="Y208" s="2">
        <v>33108.54</v>
      </c>
      <c r="Z208" s="2">
        <v>40323.53</v>
      </c>
      <c r="AA208" s="2">
        <v>41011.120000000003</v>
      </c>
      <c r="AB208" s="2">
        <v>42159.79</v>
      </c>
      <c r="AC208" s="2">
        <v>43552.85</v>
      </c>
      <c r="AD208" s="2">
        <v>34645.97</v>
      </c>
      <c r="AE208" s="2">
        <v>22732.85</v>
      </c>
      <c r="AF208" s="3">
        <v>29003.217980000001</v>
      </c>
      <c r="AG208" s="2">
        <v>20580.21</v>
      </c>
      <c r="AH208" s="2">
        <v>39531.279999999999</v>
      </c>
      <c r="AI208" s="24">
        <f>SUM(E208:AH208)</f>
        <v>1123614.2379800002</v>
      </c>
      <c r="AJ208" s="26">
        <v>747318.45317209256</v>
      </c>
      <c r="AK208" s="33">
        <f>$AJ208/$AI208*E208</f>
        <v>30538.167054468078</v>
      </c>
      <c r="AL208" s="33">
        <f>$AJ208/$AI208*F208</f>
        <v>31397.665499772065</v>
      </c>
      <c r="AM208" s="33">
        <f>$AJ208/$AI208*G208</f>
        <v>25216.191097456667</v>
      </c>
      <c r="AN208" s="33">
        <f>$AJ208/$AI208*H208</f>
        <v>31142.904701424002</v>
      </c>
      <c r="AO208" s="33">
        <f>$AJ208/$AI208*I208</f>
        <v>18418.998208636673</v>
      </c>
      <c r="AP208" s="33">
        <f>$AJ208/$AI208*J208</f>
        <v>13401.093737080482</v>
      </c>
      <c r="AQ208" s="33">
        <f>$AJ208/$AI208*K208</f>
        <v>24541.438127709131</v>
      </c>
      <c r="AR208" s="33">
        <f>$AJ208/$AI208*L208</f>
        <v>26151.285074141819</v>
      </c>
      <c r="AS208" s="33">
        <f>$AJ208/$AI208*M208</f>
        <v>33059.470240604685</v>
      </c>
      <c r="AT208" s="33">
        <f>$AJ208/$AI208*N208</f>
        <v>40704.143175537589</v>
      </c>
      <c r="AU208" s="33">
        <f>$AJ208/$AI208*O208</f>
        <v>29943.705238585881</v>
      </c>
      <c r="AV208" s="33">
        <f>$AJ208/$AI208*P208</f>
        <v>16399.494781088375</v>
      </c>
      <c r="AW208" s="33">
        <f>$AJ208/$AI208*Q208</f>
        <v>12670.139620036551</v>
      </c>
      <c r="AX208" s="33">
        <f>$AJ208/$AI208*R208</f>
        <v>27329.879666645706</v>
      </c>
      <c r="AY208" s="33">
        <f>$AJ208/$AI208*S208</f>
        <v>34592.265081542842</v>
      </c>
      <c r="AZ208" s="33">
        <f>$AJ208/$AI208*T208</f>
        <v>26591.243617634042</v>
      </c>
      <c r="BA208" s="33">
        <f>$AJ208/$AI208*U208</f>
        <v>30755.056925868725</v>
      </c>
      <c r="BB208" s="33">
        <f>$AJ208/$AI208*V208</f>
        <v>28737.016723457145</v>
      </c>
      <c r="BC208" s="33">
        <f>$AJ208/$AI208*W208</f>
        <v>18674.171370432356</v>
      </c>
      <c r="BD208" s="33">
        <f>$AJ208/$AI208*X208</f>
        <v>16496.825856773045</v>
      </c>
      <c r="BE208" s="33">
        <f>$AJ208/$AI208*Y208</f>
        <v>22020.567258090192</v>
      </c>
      <c r="BF208" s="33">
        <f>$AJ208/$AI208*Z208</f>
        <v>26819.27395314374</v>
      </c>
      <c r="BG208" s="33">
        <f>$AJ208/$AI208*AA208</f>
        <v>27276.591667576038</v>
      </c>
      <c r="BH208" s="33">
        <f>$AJ208/$AI208*AB208</f>
        <v>28040.574766569542</v>
      </c>
      <c r="BI208" s="33">
        <f>$AJ208/$AI208*AC208</f>
        <v>28967.102225181581</v>
      </c>
      <c r="BJ208" s="33">
        <f>$AJ208/$AI208*AD208</f>
        <v>23043.115540787214</v>
      </c>
      <c r="BK208" s="33">
        <f>$AJ208/$AI208*AE208</f>
        <v>15119.671613217484</v>
      </c>
      <c r="BL208" s="33">
        <f>$AJ208/$AI208*AF208</f>
        <v>19290.107997200746</v>
      </c>
      <c r="BM208" s="33">
        <f>$AJ208/$AI208*AG208</f>
        <v>13687.945723085957</v>
      </c>
      <c r="BN208" s="33">
        <f>$AJ208/$AI208*AH208</f>
        <v>26292.346628344098</v>
      </c>
    </row>
    <row r="209" spans="1:66" x14ac:dyDescent="0.25">
      <c r="A209" s="4" t="s">
        <v>72</v>
      </c>
      <c r="B209" s="4">
        <v>63</v>
      </c>
      <c r="C209" s="4" t="s">
        <v>2</v>
      </c>
      <c r="D209" s="4" t="str">
        <f>A209&amp;C209</f>
        <v>BANANA RDDELI</v>
      </c>
      <c r="E209" s="2">
        <v>35529.31</v>
      </c>
      <c r="F209" s="2">
        <v>40439.97</v>
      </c>
      <c r="G209" s="2">
        <v>37576.339999999997</v>
      </c>
      <c r="H209" s="2">
        <v>38989.620000000003</v>
      </c>
      <c r="I209" s="2">
        <v>46718.22</v>
      </c>
      <c r="J209" s="2">
        <v>58709.07</v>
      </c>
      <c r="K209" s="2">
        <v>25738.04</v>
      </c>
      <c r="L209" s="2">
        <v>36645.94</v>
      </c>
      <c r="M209" s="2">
        <v>36556.199999999997</v>
      </c>
      <c r="N209" s="2">
        <v>33136.04</v>
      </c>
      <c r="O209" s="2">
        <v>33395.96</v>
      </c>
      <c r="P209" s="2">
        <v>46804.47</v>
      </c>
      <c r="Q209" s="2">
        <v>56659.59</v>
      </c>
      <c r="R209" s="2">
        <v>33717.32</v>
      </c>
      <c r="S209" s="2">
        <v>33838.14</v>
      </c>
      <c r="T209" s="2">
        <v>33060.36</v>
      </c>
      <c r="U209" s="2">
        <v>32969.910000000003</v>
      </c>
      <c r="V209" s="2">
        <v>30190.31</v>
      </c>
      <c r="W209" s="2">
        <v>40087.730000000003</v>
      </c>
      <c r="X209" s="2">
        <v>58505.29</v>
      </c>
      <c r="Y209" s="2">
        <v>37482.42</v>
      </c>
      <c r="Z209" s="2">
        <v>35681.839999999997</v>
      </c>
      <c r="AA209" s="2">
        <v>35552.080000000002</v>
      </c>
      <c r="AB209" s="2">
        <v>36384.31</v>
      </c>
      <c r="AC209" s="2">
        <v>40442.11</v>
      </c>
      <c r="AD209" s="2">
        <v>52733.33</v>
      </c>
      <c r="AE209" s="2">
        <v>53813.760000000002</v>
      </c>
      <c r="AF209" s="3">
        <v>51669.89933</v>
      </c>
      <c r="AG209" s="2">
        <v>59207.37</v>
      </c>
      <c r="AH209" s="2">
        <v>39372.69</v>
      </c>
      <c r="AI209" s="24">
        <f>SUM(E209:AH209)</f>
        <v>1231607.6393299999</v>
      </c>
      <c r="AJ209" s="26">
        <v>1201575.7687415027</v>
      </c>
      <c r="AK209" s="33">
        <f>$AJ209/$AI209*E209</f>
        <v>34662.953210755768</v>
      </c>
      <c r="AL209" s="33">
        <f>$AJ209/$AI209*F209</f>
        <v>39453.870282152035</v>
      </c>
      <c r="AM209" s="33">
        <f>$AJ209/$AI209*G209</f>
        <v>36660.067849655694</v>
      </c>
      <c r="AN209" s="33">
        <f>$AJ209/$AI209*H209</f>
        <v>38038.886028609828</v>
      </c>
      <c r="AO209" s="33">
        <f>$AJ209/$AI209*I209</f>
        <v>45579.029650443379</v>
      </c>
      <c r="AP209" s="33">
        <f>$AJ209/$AI209*J209</f>
        <v>57277.491357332452</v>
      </c>
      <c r="AQ209" s="33">
        <f>$AJ209/$AI209*K209</f>
        <v>25110.436320225766</v>
      </c>
      <c r="AR209" s="33">
        <f>$AJ209/$AI209*L209</f>
        <v>35752.354987590908</v>
      </c>
      <c r="AS209" s="33">
        <f>$AJ209/$AI209*M209</f>
        <v>35664.803233246865</v>
      </c>
      <c r="AT209" s="33">
        <f>$AJ209/$AI209*N209</f>
        <v>32328.041386385823</v>
      </c>
      <c r="AU209" s="33">
        <f>$AJ209/$AI209*O209</f>
        <v>32581.623423260156</v>
      </c>
      <c r="AV209" s="33">
        <f>$AJ209/$AI209*P209</f>
        <v>45663.176505938965</v>
      </c>
      <c r="AW209" s="33">
        <f>$AJ209/$AI209*Q209</f>
        <v>55277.986459928594</v>
      </c>
      <c r="AX209" s="33">
        <f>$AJ209/$AI209*R209</f>
        <v>32895.147289718821</v>
      </c>
      <c r="AY209" s="33">
        <f>$AJ209/$AI209*S209</f>
        <v>33013.021180512747</v>
      </c>
      <c r="AZ209" s="33">
        <f>$AJ209/$AI209*T209</f>
        <v>32254.20678900721</v>
      </c>
      <c r="BA209" s="33">
        <f>$AJ209/$AI209*U209</f>
        <v>32165.96234750489</v>
      </c>
      <c r="BB209" s="33">
        <f>$AJ209/$AI209*V209</f>
        <v>29454.140903614851</v>
      </c>
      <c r="BC209" s="33">
        <f>$AJ209/$AI209*W209</f>
        <v>39110.219402386669</v>
      </c>
      <c r="BD209" s="33">
        <f>$AJ209/$AI209*X209</f>
        <v>57078.680386748223</v>
      </c>
      <c r="BE209" s="33">
        <f>$AJ209/$AI209*Y209</f>
        <v>36568.438021619229</v>
      </c>
      <c r="BF209" s="33">
        <f>$AJ209/$AI209*Z209</f>
        <v>34811.763875900593</v>
      </c>
      <c r="BG209" s="33">
        <f>$AJ209/$AI209*AA209</f>
        <v>34685.167980606609</v>
      </c>
      <c r="BH209" s="33">
        <f>$AJ209/$AI209*AB209</f>
        <v>35497.104647842396</v>
      </c>
      <c r="BI209" s="33">
        <f>$AJ209/$AI209*AC209</f>
        <v>39455.958099784038</v>
      </c>
      <c r="BJ209" s="33">
        <f>$AJ209/$AI209*AD209</f>
        <v>51447.465499255224</v>
      </c>
      <c r="BK209" s="33">
        <f>$AJ209/$AI209*AE209</f>
        <v>52501.549987175116</v>
      </c>
      <c r="BL209" s="33">
        <f>$AJ209/$AI209*AF209</f>
        <v>50409.965824842955</v>
      </c>
      <c r="BM209" s="33">
        <f>$AJ209/$AI209*AG209</f>
        <v>57763.640668560831</v>
      </c>
      <c r="BN209" s="33">
        <f>$AJ209/$AI209*AH209</f>
        <v>38412.615140896116</v>
      </c>
    </row>
    <row r="210" spans="1:66" ht="24.75" x14ac:dyDescent="0.25">
      <c r="A210" s="28" t="s">
        <v>79</v>
      </c>
      <c r="B210" s="4">
        <v>64</v>
      </c>
      <c r="C210" s="4" t="s">
        <v>2</v>
      </c>
      <c r="D210" s="4" t="str">
        <f>A210&amp;C210</f>
        <v>NAKURU STATEHOUSEDELI</v>
      </c>
      <c r="E210" s="2">
        <v>42887.96</v>
      </c>
      <c r="F210" s="2">
        <v>32397.68</v>
      </c>
      <c r="G210" s="2">
        <v>45409.2</v>
      </c>
      <c r="H210" s="2">
        <v>31156.99</v>
      </c>
      <c r="I210" s="2">
        <v>37863.050000000003</v>
      </c>
      <c r="J210" s="2">
        <v>52465.85</v>
      </c>
      <c r="K210" s="2">
        <v>28212.53</v>
      </c>
      <c r="L210" s="2">
        <v>27435.9</v>
      </c>
      <c r="M210" s="2">
        <v>35010.82</v>
      </c>
      <c r="N210" s="2">
        <v>27920.99</v>
      </c>
      <c r="O210" s="2">
        <v>31946.63</v>
      </c>
      <c r="P210" s="2">
        <v>34252.69</v>
      </c>
      <c r="Q210" s="2">
        <v>42578.14</v>
      </c>
      <c r="R210" s="2">
        <v>26414.37</v>
      </c>
      <c r="S210" s="2">
        <v>28064.6</v>
      </c>
      <c r="T210" s="2">
        <v>29339.040000000001</v>
      </c>
      <c r="U210" s="2">
        <v>26173.82</v>
      </c>
      <c r="V210" s="2">
        <v>34436.65</v>
      </c>
      <c r="W210" s="2">
        <v>37061.78</v>
      </c>
      <c r="X210" s="2">
        <v>40147.26</v>
      </c>
      <c r="Y210" s="2">
        <v>33588.269999999997</v>
      </c>
      <c r="Z210" s="2">
        <v>38253.620000000003</v>
      </c>
      <c r="AA210" s="2">
        <v>30949.33</v>
      </c>
      <c r="AB210" s="2">
        <v>30264.69</v>
      </c>
      <c r="AC210" s="2">
        <v>24601.98</v>
      </c>
      <c r="AD210" s="2">
        <v>36410.839999999997</v>
      </c>
      <c r="AE210" s="2">
        <v>43550.32</v>
      </c>
      <c r="AF210" s="3">
        <v>43748.693789999998</v>
      </c>
      <c r="AG210" s="2">
        <v>44313.71</v>
      </c>
      <c r="AH210" s="2">
        <v>26877.37</v>
      </c>
      <c r="AI210" s="24">
        <f>SUM(E210:AH210)</f>
        <v>1043734.7737899999</v>
      </c>
      <c r="AJ210" s="26">
        <v>2341973.2997396849</v>
      </c>
      <c r="AK210" s="33">
        <f>$AJ210/$AI210*E210</f>
        <v>96233.698179450221</v>
      </c>
      <c r="AL210" s="33">
        <f>$AJ210/$AI210*F210</f>
        <v>72695.193682199184</v>
      </c>
      <c r="AM210" s="33">
        <f>$AJ210/$AI210*G210</f>
        <v>101890.95604851084</v>
      </c>
      <c r="AN210" s="33">
        <f>$AJ210/$AI210*H210</f>
        <v>69911.28446865156</v>
      </c>
      <c r="AO210" s="33">
        <f>$AJ210/$AI210*I210</f>
        <v>84958.606701121564</v>
      </c>
      <c r="AP210" s="33">
        <f>$AJ210/$AI210*J210</f>
        <v>117724.94596684731</v>
      </c>
      <c r="AQ210" s="33">
        <f>$AJ210/$AI210*K210</f>
        <v>63304.388851758973</v>
      </c>
      <c r="AR210" s="33">
        <f>$AJ210/$AI210*L210</f>
        <v>61561.755790706266</v>
      </c>
      <c r="AS210" s="33">
        <f>$AJ210/$AI210*M210</f>
        <v>78558.660400146327</v>
      </c>
      <c r="AT210" s="33">
        <f>$AJ210/$AI210*N210</f>
        <v>62650.219887619933</v>
      </c>
      <c r="AU210" s="33">
        <f>$AJ210/$AI210*O210</f>
        <v>71683.109881434561</v>
      </c>
      <c r="AV210" s="33">
        <f>$AJ210/$AI210*P210</f>
        <v>76857.538369609407</v>
      </c>
      <c r="AW210" s="33">
        <f>$AJ210/$AI210*Q210</f>
        <v>95538.51182948261</v>
      </c>
      <c r="AX210" s="33">
        <f>$AJ210/$AI210*R210</f>
        <v>59269.606439204028</v>
      </c>
      <c r="AY210" s="33">
        <f>$AJ210/$AI210*S210</f>
        <v>62972.4576763968</v>
      </c>
      <c r="AZ210" s="33">
        <f>$AJ210/$AI210*T210</f>
        <v>65832.096472642152</v>
      </c>
      <c r="BA210" s="33">
        <f>$AJ210/$AI210*U210</f>
        <v>58729.850850524439</v>
      </c>
      <c r="BB210" s="33">
        <f>$AJ210/$AI210*V210</f>
        <v>77270.315081700435</v>
      </c>
      <c r="BC210" s="33">
        <f>$AJ210/$AI210*W210</f>
        <v>83160.685435100779</v>
      </c>
      <c r="BD210" s="33">
        <f>$AJ210/$AI210*X210</f>
        <v>90084.007296498021</v>
      </c>
      <c r="BE210" s="33">
        <f>$AJ210/$AI210*Y210</f>
        <v>75366.686537431073</v>
      </c>
      <c r="BF210" s="33">
        <f>$AJ210/$AI210*Z210</f>
        <v>85834.983089691872</v>
      </c>
      <c r="BG210" s="33">
        <f>$AJ210/$AI210*AA210</f>
        <v>69445.328760710574</v>
      </c>
      <c r="BH210" s="33">
        <f>$AJ210/$AI210*AB210</f>
        <v>67909.106494098232</v>
      </c>
      <c r="BI210" s="33">
        <f>$AJ210/$AI210*AC210</f>
        <v>55202.894190744228</v>
      </c>
      <c r="BJ210" s="33">
        <f>$AJ210/$AI210*AD210</f>
        <v>81700.080559211798</v>
      </c>
      <c r="BK210" s="33">
        <f>$AJ210/$AI210*AE210</f>
        <v>97719.927702284622</v>
      </c>
      <c r="BL210" s="33">
        <f>$AJ210/$AI210*AF210</f>
        <v>98165.046645539871</v>
      </c>
      <c r="BM210" s="33">
        <f>$AJ210/$AI210*AG210</f>
        <v>99432.852328524954</v>
      </c>
      <c r="BN210" s="33">
        <f>$AJ210/$AI210*AH210</f>
        <v>60308.504121842358</v>
      </c>
    </row>
    <row r="211" spans="1:66" x14ac:dyDescent="0.25">
      <c r="A211" s="27" t="s">
        <v>86</v>
      </c>
      <c r="B211" s="4">
        <v>65</v>
      </c>
      <c r="C211" s="4" t="s">
        <v>2</v>
      </c>
      <c r="D211" s="4" t="str">
        <f>A211&amp;C211</f>
        <v>KITENGELA TOWNDELI</v>
      </c>
      <c r="E211" s="2">
        <v>79905.8</v>
      </c>
      <c r="F211" s="2">
        <v>73005.13</v>
      </c>
      <c r="G211" s="2">
        <v>77127.42</v>
      </c>
      <c r="H211" s="2">
        <v>71705.61</v>
      </c>
      <c r="I211" s="2">
        <v>85130.29</v>
      </c>
      <c r="J211" s="2">
        <v>91114.55</v>
      </c>
      <c r="K211" s="2">
        <v>79022.45</v>
      </c>
      <c r="L211" s="2">
        <v>64518.59</v>
      </c>
      <c r="M211" s="2">
        <v>59954.75</v>
      </c>
      <c r="N211" s="2">
        <v>74554.31</v>
      </c>
      <c r="O211" s="2">
        <v>73596.59</v>
      </c>
      <c r="P211" s="2">
        <v>75474.05</v>
      </c>
      <c r="Q211" s="2">
        <v>81419.58</v>
      </c>
      <c r="R211" s="2">
        <v>66960.259999999995</v>
      </c>
      <c r="S211" s="2">
        <v>65871.539999999994</v>
      </c>
      <c r="T211" s="2">
        <v>63936.85</v>
      </c>
      <c r="U211" s="2">
        <v>68572.34</v>
      </c>
      <c r="V211" s="2">
        <v>69123.850000000006</v>
      </c>
      <c r="W211" s="2">
        <v>78379.34</v>
      </c>
      <c r="X211" s="2">
        <v>79131.89</v>
      </c>
      <c r="Y211" s="2">
        <v>78771.61</v>
      </c>
      <c r="Z211" s="2">
        <v>82220.3</v>
      </c>
      <c r="AA211" s="2">
        <v>69098.19</v>
      </c>
      <c r="AB211" s="2">
        <v>62042.52</v>
      </c>
      <c r="AC211" s="2">
        <v>71105.039999999994</v>
      </c>
      <c r="AD211" s="2">
        <v>79954.86</v>
      </c>
      <c r="AE211" s="2">
        <v>96509.23</v>
      </c>
      <c r="AF211" s="3">
        <v>93451.427330000006</v>
      </c>
      <c r="AG211" s="2">
        <v>107131.79</v>
      </c>
      <c r="AH211" s="2">
        <v>76785.070000000007</v>
      </c>
      <c r="AI211" s="24">
        <f>SUM(E211:AH211)</f>
        <v>2295575.2273300001</v>
      </c>
      <c r="AJ211" s="26">
        <v>2834336.0277717579</v>
      </c>
      <c r="AK211" s="33">
        <f>$AJ211/$AI211*E211</f>
        <v>98659.318619387996</v>
      </c>
      <c r="AL211" s="33">
        <f>$AJ211/$AI211*F211</f>
        <v>90139.093551655096</v>
      </c>
      <c r="AM211" s="33">
        <f>$AJ211/$AI211*G211</f>
        <v>95228.865790360127</v>
      </c>
      <c r="AN211" s="33">
        <f>$AJ211/$AI211*H211</f>
        <v>88534.582267965205</v>
      </c>
      <c r="AO211" s="33">
        <f>$AJ211/$AI211*I211</f>
        <v>105109.97205798452</v>
      </c>
      <c r="AP211" s="33">
        <f>$AJ211/$AI211*J211</f>
        <v>112498.70997239448</v>
      </c>
      <c r="AQ211" s="33">
        <f>$AJ211/$AI211*K211</f>
        <v>97568.650493889771</v>
      </c>
      <c r="AR211" s="33">
        <f>$AJ211/$AI211*L211</f>
        <v>79660.802190625211</v>
      </c>
      <c r="AS211" s="33">
        <f>$AJ211/$AI211*M211</f>
        <v>74025.850226088121</v>
      </c>
      <c r="AT211" s="33">
        <f>$AJ211/$AI211*N211</f>
        <v>92051.858873055826</v>
      </c>
      <c r="AU211" s="33">
        <f>$AJ211/$AI211*O211</f>
        <v>90869.366455382013</v>
      </c>
      <c r="AV211" s="33">
        <f>$AJ211/$AI211*P211</f>
        <v>93187.45756184934</v>
      </c>
      <c r="AW211" s="33">
        <f>$AJ211/$AI211*Q211</f>
        <v>100528.3757258766</v>
      </c>
      <c r="AX211" s="33">
        <f>$AJ211/$AI211*R211</f>
        <v>82675.5207528998</v>
      </c>
      <c r="AY211" s="33">
        <f>$AJ211/$AI211*S211</f>
        <v>81331.283246144347</v>
      </c>
      <c r="AZ211" s="33">
        <f>$AJ211/$AI211*T211</f>
        <v>78942.530525569076</v>
      </c>
      <c r="BA211" s="33">
        <f>$AJ211/$AI211*U211</f>
        <v>84665.948410966463</v>
      </c>
      <c r="BB211" s="33">
        <f>$AJ211/$AI211*V211</f>
        <v>85346.895236000186</v>
      </c>
      <c r="BC211" s="33">
        <f>$AJ211/$AI211*W211</f>
        <v>96774.605576032554</v>
      </c>
      <c r="BD211" s="33">
        <f>$AJ211/$AI211*X211</f>
        <v>97703.775551516446</v>
      </c>
      <c r="BE211" s="33">
        <f>$AJ211/$AI211*Y211</f>
        <v>97258.939515681835</v>
      </c>
      <c r="BF211" s="33">
        <f>$AJ211/$AI211*Z211</f>
        <v>101517.02097571974</v>
      </c>
      <c r="BG211" s="33">
        <f>$AJ211/$AI211*AA211</f>
        <v>85315.21295366557</v>
      </c>
      <c r="BH211" s="33">
        <f>$AJ211/$AI211*AB211</f>
        <v>76603.610108774985</v>
      </c>
      <c r="BI211" s="33">
        <f>$AJ211/$AI211*AC211</f>
        <v>87793.06128972274</v>
      </c>
      <c r="BJ211" s="33">
        <f>$AJ211/$AI211*AD211</f>
        <v>98719.892772596737</v>
      </c>
      <c r="BK211" s="33">
        <f>$AJ211/$AI211*AE211</f>
        <v>119159.49621031011</v>
      </c>
      <c r="BL211" s="33">
        <f>$AJ211/$AI211*AF211</f>
        <v>115384.04151372059</v>
      </c>
      <c r="BM211" s="33">
        <f>$AJ211/$AI211*AG211</f>
        <v>132275.12150401302</v>
      </c>
      <c r="BN211" s="33">
        <f>$AJ211/$AI211*AH211</f>
        <v>94806.167841908988</v>
      </c>
    </row>
    <row r="212" spans="1:66" x14ac:dyDescent="0.25">
      <c r="A212" s="27" t="s">
        <v>87</v>
      </c>
      <c r="B212" s="4">
        <v>66</v>
      </c>
      <c r="C212" s="4" t="s">
        <v>2</v>
      </c>
      <c r="D212" s="4" t="str">
        <f>A212&amp;C212</f>
        <v>LIKONI FERRYDELI</v>
      </c>
      <c r="E212" s="2">
        <v>19982.04</v>
      </c>
      <c r="F212" s="2">
        <v>69965.73</v>
      </c>
      <c r="G212" s="2">
        <v>48293.21</v>
      </c>
      <c r="H212" s="2">
        <v>49321.55</v>
      </c>
      <c r="I212" s="2">
        <v>53927.97</v>
      </c>
      <c r="J212" s="2">
        <v>62413.64</v>
      </c>
      <c r="K212" s="2">
        <v>49793.49</v>
      </c>
      <c r="L212" s="2">
        <v>52088.02</v>
      </c>
      <c r="M212" s="2">
        <v>41770.04</v>
      </c>
      <c r="N212" s="2">
        <v>50071.45</v>
      </c>
      <c r="O212" s="2">
        <v>46843.98</v>
      </c>
      <c r="P212" s="2">
        <v>58086.74</v>
      </c>
      <c r="Q212" s="2">
        <v>68753.89</v>
      </c>
      <c r="R212" s="2">
        <v>42256.66</v>
      </c>
      <c r="S212" s="2">
        <v>39712.269999999997</v>
      </c>
      <c r="T212" s="2">
        <v>47238</v>
      </c>
      <c r="U212" s="2">
        <v>61134.8</v>
      </c>
      <c r="V212" s="2">
        <v>47025.45</v>
      </c>
      <c r="W212" s="2">
        <v>55635.24</v>
      </c>
      <c r="X212" s="2">
        <v>69198.78</v>
      </c>
      <c r="Y212" s="2">
        <v>49278.67</v>
      </c>
      <c r="Z212" s="2">
        <v>45118.12</v>
      </c>
      <c r="AA212" s="2">
        <v>51853.96</v>
      </c>
      <c r="AB212" s="2">
        <v>47227.03</v>
      </c>
      <c r="AC212" s="2">
        <v>47588.35</v>
      </c>
      <c r="AD212" s="2">
        <v>59114.16</v>
      </c>
      <c r="AE212" s="2">
        <v>66156.98</v>
      </c>
      <c r="AF212" s="3">
        <v>67945.685589999994</v>
      </c>
      <c r="AG212" s="2">
        <v>72712.34</v>
      </c>
      <c r="AH212" s="2">
        <v>48002.51</v>
      </c>
      <c r="AI212" s="24">
        <f>SUM(E212:AH212)</f>
        <v>1588510.7555900002</v>
      </c>
      <c r="AJ212" s="26">
        <v>1096363.1301334535</v>
      </c>
      <c r="AK212" s="33">
        <f>$AJ212/$AI212*E212</f>
        <v>13791.264455565506</v>
      </c>
      <c r="AL212" s="33">
        <f>$AJ212/$AI212*F212</f>
        <v>48289.157926652792</v>
      </c>
      <c r="AM212" s="33">
        <f>$AJ212/$AI212*G212</f>
        <v>33331.152901213325</v>
      </c>
      <c r="AN212" s="33">
        <f>$AJ212/$AI212*H212</f>
        <v>34040.895694753737</v>
      </c>
      <c r="AO212" s="33">
        <f>$AJ212/$AI212*I212</f>
        <v>37220.168502405308</v>
      </c>
      <c r="AP212" s="33">
        <f>$AJ212/$AI212*J212</f>
        <v>43076.833740421971</v>
      </c>
      <c r="AQ212" s="33">
        <f>$AJ212/$AI212*K212</f>
        <v>34366.620663133319</v>
      </c>
      <c r="AR212" s="33">
        <f>$AJ212/$AI212*L212</f>
        <v>35950.266278457311</v>
      </c>
      <c r="AS212" s="33">
        <f>$AJ212/$AI212*M212</f>
        <v>28828.971814667042</v>
      </c>
      <c r="AT212" s="33">
        <f>$AJ212/$AI212*N212</f>
        <v>34558.463931792023</v>
      </c>
      <c r="AU212" s="33">
        <f>$AJ212/$AI212*O212</f>
        <v>32330.918981806739</v>
      </c>
      <c r="AV212" s="33">
        <f>$AJ212/$AI212*P212</f>
        <v>40090.48088692021</v>
      </c>
      <c r="AW212" s="33">
        <f>$AJ212/$AI212*Q212</f>
        <v>47452.766551306107</v>
      </c>
      <c r="AX212" s="33">
        <f>$AJ212/$AI212*R212</f>
        <v>29164.82866959113</v>
      </c>
      <c r="AY212" s="33">
        <f>$AJ212/$AI212*S212</f>
        <v>27408.733928108457</v>
      </c>
      <c r="AZ212" s="33">
        <f>$AJ212/$AI212*T212</f>
        <v>32602.864890271634</v>
      </c>
      <c r="BA212" s="33">
        <f>$AJ212/$AI212*U212</f>
        <v>42194.200103598341</v>
      </c>
      <c r="BB212" s="33">
        <f>$AJ212/$AI212*V212</f>
        <v>32456.166492108558</v>
      </c>
      <c r="BC212" s="33">
        <f>$AJ212/$AI212*W212</f>
        <v>38398.497244968792</v>
      </c>
      <c r="BD212" s="33">
        <f>$AJ212/$AI212*X212</f>
        <v>47759.822069343129</v>
      </c>
      <c r="BE212" s="33">
        <f>$AJ212/$AI212*Y212</f>
        <v>34011.300647408483</v>
      </c>
      <c r="BF212" s="33">
        <f>$AJ212/$AI212*Z212</f>
        <v>31139.759737140914</v>
      </c>
      <c r="BG212" s="33">
        <f>$AJ212/$AI212*AA212</f>
        <v>35788.722043811118</v>
      </c>
      <c r="BH212" s="33">
        <f>$AJ212/$AI212*AB212</f>
        <v>32595.293582683542</v>
      </c>
      <c r="BI212" s="33">
        <f>$AJ212/$AI212*AC212</f>
        <v>32844.670506815659</v>
      </c>
      <c r="BJ212" s="33">
        <f>$AJ212/$AI212*AD212</f>
        <v>40799.588712094075</v>
      </c>
      <c r="BK212" s="33">
        <f>$AJ212/$AI212*AE212</f>
        <v>45660.423398289568</v>
      </c>
      <c r="BL212" s="33">
        <f>$AJ212/$AI212*AF212</f>
        <v>46894.957601245733</v>
      </c>
      <c r="BM212" s="33">
        <f>$AJ212/$AI212*AG212</f>
        <v>50184.821475834993</v>
      </c>
      <c r="BN212" s="33">
        <f>$AJ212/$AI212*AH212</f>
        <v>33130.516701043925</v>
      </c>
    </row>
    <row r="213" spans="1:66" x14ac:dyDescent="0.25">
      <c r="A213" s="27" t="s">
        <v>92</v>
      </c>
      <c r="B213" s="4">
        <v>67</v>
      </c>
      <c r="C213" s="4" t="s">
        <v>2</v>
      </c>
      <c r="D213" s="4" t="str">
        <f>A213&amp;C213</f>
        <v>ELGON VIEWDELI</v>
      </c>
      <c r="E213" s="2">
        <v>108273.07</v>
      </c>
      <c r="F213" s="2">
        <v>98683.02</v>
      </c>
      <c r="G213" s="2">
        <v>105172.39</v>
      </c>
      <c r="H213" s="2">
        <v>116486.15</v>
      </c>
      <c r="I213" s="2">
        <v>116220.36</v>
      </c>
      <c r="J213" s="2">
        <v>145021.01</v>
      </c>
      <c r="K213" s="2">
        <v>108847.46</v>
      </c>
      <c r="L213" s="2">
        <v>97275.79</v>
      </c>
      <c r="M213" s="2">
        <v>90506.94</v>
      </c>
      <c r="N213" s="2">
        <v>105389.44</v>
      </c>
      <c r="O213" s="2">
        <v>108500.18</v>
      </c>
      <c r="P213" s="2">
        <v>120303.57</v>
      </c>
      <c r="Q213" s="2">
        <v>142528.6</v>
      </c>
      <c r="R213" s="2">
        <v>104118.39</v>
      </c>
      <c r="S213" s="2">
        <v>94884.94</v>
      </c>
      <c r="T213" s="2">
        <v>92918.84</v>
      </c>
      <c r="U213" s="2">
        <v>112075.62</v>
      </c>
      <c r="V213" s="2">
        <v>105942.1</v>
      </c>
      <c r="W213" s="2">
        <v>129699.23</v>
      </c>
      <c r="X213" s="2">
        <v>140523.95000000001</v>
      </c>
      <c r="Y213" s="2">
        <v>98622.59</v>
      </c>
      <c r="Z213" s="2">
        <v>111448.85</v>
      </c>
      <c r="AA213" s="2">
        <v>112976.02</v>
      </c>
      <c r="AB213" s="2">
        <v>105076.19</v>
      </c>
      <c r="AC213" s="2">
        <v>119046</v>
      </c>
      <c r="AD213" s="2">
        <v>114810.2</v>
      </c>
      <c r="AE213" s="2">
        <v>144109.18</v>
      </c>
      <c r="AF213" s="3">
        <v>121914.891</v>
      </c>
      <c r="AG213" s="2">
        <v>149592.82</v>
      </c>
      <c r="AH213" s="2">
        <v>119960.9</v>
      </c>
      <c r="AI213" s="24">
        <f>SUM(E213:AH213)</f>
        <v>3440928.6910000001</v>
      </c>
      <c r="AJ213" s="26">
        <v>1977343.7090922976</v>
      </c>
      <c r="AK213" s="33">
        <f>$AJ213/$AI213*E213</f>
        <v>62219.561361031985</v>
      </c>
      <c r="AL213" s="33">
        <f>$AJ213/$AI213*F213</f>
        <v>56708.600007203517</v>
      </c>
      <c r="AM213" s="33">
        <f>$AJ213/$AI213*G213</f>
        <v>60437.742950221938</v>
      </c>
      <c r="AN213" s="33">
        <f>$AJ213/$AI213*H213</f>
        <v>66939.241287195196</v>
      </c>
      <c r="AO213" s="33">
        <f>$AJ213/$AI213*I213</f>
        <v>66786.503979440386</v>
      </c>
      <c r="AP213" s="33">
        <f>$AJ213/$AI213*J213</f>
        <v>83336.914990346471</v>
      </c>
      <c r="AQ213" s="33">
        <f>$AJ213/$AI213*K213</f>
        <v>62549.636917679294</v>
      </c>
      <c r="AR213" s="33">
        <f>$AJ213/$AI213*L213</f>
        <v>55899.929547096624</v>
      </c>
      <c r="AS213" s="33">
        <f>$AJ213/$AI213*M213</f>
        <v>52010.182281976857</v>
      </c>
      <c r="AT213" s="33">
        <f>$AJ213/$AI213*N213</f>
        <v>60562.471618148433</v>
      </c>
      <c r="AU213" s="33">
        <f>$AJ213/$AI213*O213</f>
        <v>62350.071048996899</v>
      </c>
      <c r="AV213" s="33">
        <f>$AJ213/$AI213*P213</f>
        <v>69132.937262850377</v>
      </c>
      <c r="AW213" s="33">
        <f>$AJ213/$AI213*Q213</f>
        <v>81904.641416392682</v>
      </c>
      <c r="AX213" s="33">
        <f>$AJ213/$AI213*R213</f>
        <v>59832.057550569669</v>
      </c>
      <c r="AY213" s="33">
        <f>$AJ213/$AI213*S213</f>
        <v>54526.017841443288</v>
      </c>
      <c r="AZ213" s="33">
        <f>$AJ213/$AI213*T213</f>
        <v>53396.190456000855</v>
      </c>
      <c r="BA213" s="33">
        <f>$AJ213/$AI213*U213</f>
        <v>64404.712230526973</v>
      </c>
      <c r="BB213" s="33">
        <f>$AJ213/$AI213*V213</f>
        <v>60880.05994165111</v>
      </c>
      <c r="BC213" s="33">
        <f>$AJ213/$AI213*W213</f>
        <v>74532.191610190785</v>
      </c>
      <c r="BD213" s="33">
        <f>$AJ213/$AI213*X213</f>
        <v>80752.661116190677</v>
      </c>
      <c r="BE213" s="33">
        <f>$AJ213/$AI213*Y213</f>
        <v>56673.87366118739</v>
      </c>
      <c r="BF213" s="33">
        <f>$AJ213/$AI213*Z213</f>
        <v>64044.536293202451</v>
      </c>
      <c r="BG213" s="33">
        <f>$AJ213/$AI213*AA213</f>
        <v>64922.130763588553</v>
      </c>
      <c r="BH213" s="33">
        <f>$AJ213/$AI213*AB213</f>
        <v>60382.461227786887</v>
      </c>
      <c r="BI213" s="33">
        <f>$AJ213/$AI213*AC213</f>
        <v>68410.269532261475</v>
      </c>
      <c r="BJ213" s="33">
        <f>$AJ213/$AI213*AD213</f>
        <v>65976.149782880952</v>
      </c>
      <c r="BK213" s="33">
        <f>$AJ213/$AI213*AE213</f>
        <v>82812.928161157732</v>
      </c>
      <c r="BL213" s="33">
        <f>$AJ213/$AI213*AF213</f>
        <v>70058.889448669244</v>
      </c>
      <c r="BM213" s="33">
        <f>$AJ213/$AI213*AG213</f>
        <v>85964.124256934927</v>
      </c>
      <c r="BN213" s="33">
        <f>$AJ213/$AI213*AH213</f>
        <v>68936.020549473847</v>
      </c>
    </row>
    <row r="214" spans="1:66" x14ac:dyDescent="0.25">
      <c r="A214" s="27" t="s">
        <v>93</v>
      </c>
      <c r="B214" s="4">
        <v>68</v>
      </c>
      <c r="C214" s="4" t="s">
        <v>2</v>
      </c>
      <c r="D214" s="4" t="str">
        <f>A214&amp;C214</f>
        <v>NGONG RD ADAMSDELI</v>
      </c>
      <c r="E214" s="2">
        <v>68809.69</v>
      </c>
      <c r="F214" s="2">
        <v>70361.710000000006</v>
      </c>
      <c r="G214" s="2">
        <v>70845.86</v>
      </c>
      <c r="H214" s="2">
        <v>67676.52</v>
      </c>
      <c r="I214" s="2">
        <v>65966.58</v>
      </c>
      <c r="J214" s="2">
        <v>75530.210000000006</v>
      </c>
      <c r="K214" s="2">
        <v>65501.94</v>
      </c>
      <c r="L214" s="2">
        <v>70962.289999999994</v>
      </c>
      <c r="M214" s="2">
        <v>71002.06</v>
      </c>
      <c r="N214" s="2">
        <v>58782.34</v>
      </c>
      <c r="O214" s="2">
        <v>70381.89</v>
      </c>
      <c r="P214" s="2">
        <v>56231.69</v>
      </c>
      <c r="Q214" s="2">
        <v>68585.13</v>
      </c>
      <c r="R214" s="2">
        <v>66541.210000000006</v>
      </c>
      <c r="S214" s="2">
        <v>66335.95</v>
      </c>
      <c r="T214" s="2">
        <v>67957.03</v>
      </c>
      <c r="U214" s="2">
        <v>67513.039999999994</v>
      </c>
      <c r="V214" s="2">
        <v>71434.899999999994</v>
      </c>
      <c r="W214" s="2">
        <v>69652.06</v>
      </c>
      <c r="X214" s="2">
        <v>70752.570000000007</v>
      </c>
      <c r="Y214" s="2">
        <v>62975.5</v>
      </c>
      <c r="Z214" s="2">
        <v>66066.12</v>
      </c>
      <c r="AA214" s="2">
        <v>68527.509999999995</v>
      </c>
      <c r="AB214" s="2">
        <v>77722.23</v>
      </c>
      <c r="AC214" s="2">
        <v>76677.33</v>
      </c>
      <c r="AD214" s="2">
        <v>69835.66</v>
      </c>
      <c r="AE214" s="2">
        <v>71176.25</v>
      </c>
      <c r="AF214" s="3">
        <v>78717.539210000003</v>
      </c>
      <c r="AG214" s="2">
        <v>65233</v>
      </c>
      <c r="AH214" s="2">
        <v>65823.679999999993</v>
      </c>
      <c r="AI214" s="24">
        <f>SUM(E214:AH214)</f>
        <v>2063579.48921</v>
      </c>
      <c r="AJ214" s="26">
        <v>2395653.9559272984</v>
      </c>
      <c r="AK214" s="33">
        <f>$AJ214/$AI214*E214</f>
        <v>79882.653862652209</v>
      </c>
      <c r="AL214" s="33">
        <f>$AJ214/$AI214*F214</f>
        <v>81684.427369376528</v>
      </c>
      <c r="AM214" s="33">
        <f>$AJ214/$AI214*G214</f>
        <v>82246.487551127138</v>
      </c>
      <c r="AN214" s="33">
        <f>$AJ214/$AI214*H214</f>
        <v>78567.132358667208</v>
      </c>
      <c r="AO214" s="33">
        <f>$AJ214/$AI214*I214</f>
        <v>76582.026116422785</v>
      </c>
      <c r="AP214" s="33">
        <f>$AJ214/$AI214*J214</f>
        <v>87684.650542727817</v>
      </c>
      <c r="AQ214" s="33">
        <f>$AJ214/$AI214*K214</f>
        <v>76042.615514649355</v>
      </c>
      <c r="AR214" s="33">
        <f>$AJ214/$AI214*L214</f>
        <v>82381.653650396402</v>
      </c>
      <c r="AS214" s="33">
        <f>$AJ214/$AI214*M214</f>
        <v>82427.823501533916</v>
      </c>
      <c r="AT214" s="33">
        <f>$AJ214/$AI214*N214</f>
        <v>68241.686882425056</v>
      </c>
      <c r="AU214" s="33">
        <f>$AJ214/$AI214*O214</f>
        <v>81707.854766810633</v>
      </c>
      <c r="AV214" s="33">
        <f>$AJ214/$AI214*P214</f>
        <v>65280.582260753705</v>
      </c>
      <c r="AW214" s="33">
        <f>$AJ214/$AI214*Q214</f>
        <v>79621.957313206964</v>
      </c>
      <c r="AX214" s="33">
        <f>$AJ214/$AI214*R214</f>
        <v>77249.126482506341</v>
      </c>
      <c r="AY214" s="33">
        <f>$AJ214/$AI214*S214</f>
        <v>77010.835719506998</v>
      </c>
      <c r="AZ214" s="33">
        <f>$AJ214/$AI214*T214</f>
        <v>78892.782470374033</v>
      </c>
      <c r="BA214" s="33">
        <f>$AJ214/$AI214*U214</f>
        <v>78377.344899176154</v>
      </c>
      <c r="BB214" s="33">
        <f>$AJ214/$AI214*V214</f>
        <v>82930.316797142572</v>
      </c>
      <c r="BC214" s="33">
        <f>$AJ214/$AI214*W214</f>
        <v>80860.579371897809</v>
      </c>
      <c r="BD214" s="33">
        <f>$AJ214/$AI214*X214</f>
        <v>82138.185177161402</v>
      </c>
      <c r="BE214" s="33">
        <f>$AJ214/$AI214*Y214</f>
        <v>73109.616804369463</v>
      </c>
      <c r="BF214" s="33">
        <f>$AJ214/$AI214*Z214</f>
        <v>76697.58425024795</v>
      </c>
      <c r="BG214" s="33">
        <f>$AJ214/$AI214*AA214</f>
        <v>79555.06501191092</v>
      </c>
      <c r="BH214" s="33">
        <f>$AJ214/$AI214*AB214</f>
        <v>90229.413859057386</v>
      </c>
      <c r="BI214" s="33">
        <f>$AJ214/$AI214*AC214</f>
        <v>89016.366902719048</v>
      </c>
      <c r="BJ214" s="33">
        <f>$AJ214/$AI214*AD214</f>
        <v>81073.724573528321</v>
      </c>
      <c r="BK214" s="33">
        <f>$AJ214/$AI214*AE214</f>
        <v>82630.04443112007</v>
      </c>
      <c r="BL214" s="33">
        <f>$AJ214/$AI214*AF214</f>
        <v>91384.88979723907</v>
      </c>
      <c r="BM214" s="33">
        <f>$AJ214/$AI214*AG214</f>
        <v>75730.397265594293</v>
      </c>
      <c r="BN214" s="33">
        <f>$AJ214/$AI214*AH214</f>
        <v>76416.130422996852</v>
      </c>
    </row>
    <row r="215" spans="1:66" x14ac:dyDescent="0.25">
      <c r="A215" s="27" t="s">
        <v>94</v>
      </c>
      <c r="B215" s="4">
        <v>69</v>
      </c>
      <c r="C215" s="4" t="s">
        <v>2</v>
      </c>
      <c r="D215" s="4" t="str">
        <f>A215&amp;C215</f>
        <v>NAKURU SEC 58DELI</v>
      </c>
      <c r="E215" s="2">
        <v>72969.83</v>
      </c>
      <c r="F215" s="2">
        <v>70019.38</v>
      </c>
      <c r="G215" s="2">
        <v>73335.44</v>
      </c>
      <c r="H215" s="2">
        <v>97856.93</v>
      </c>
      <c r="I215" s="2">
        <v>89294.13</v>
      </c>
      <c r="J215" s="2">
        <v>95849.19</v>
      </c>
      <c r="K215" s="2">
        <v>60903.5</v>
      </c>
      <c r="L215" s="2">
        <v>67745.240000000005</v>
      </c>
      <c r="M215" s="2">
        <v>71365.45</v>
      </c>
      <c r="N215" s="2">
        <v>67831.95</v>
      </c>
      <c r="O215" s="2">
        <v>98341.34</v>
      </c>
      <c r="P215" s="2">
        <v>76375.31</v>
      </c>
      <c r="Q215" s="2">
        <v>80684.039999999994</v>
      </c>
      <c r="R215" s="2">
        <v>62601.1</v>
      </c>
      <c r="S215" s="2">
        <v>66682.83</v>
      </c>
      <c r="T215" s="2">
        <v>51502.76</v>
      </c>
      <c r="U215" s="2">
        <v>54640.55</v>
      </c>
      <c r="V215" s="2">
        <v>68152.490000000005</v>
      </c>
      <c r="W215" s="2">
        <v>86480.34</v>
      </c>
      <c r="X215" s="2">
        <v>90582.42</v>
      </c>
      <c r="Y215" s="2">
        <v>63427.3</v>
      </c>
      <c r="Z215" s="2">
        <v>59192.639999999999</v>
      </c>
      <c r="AA215" s="2">
        <v>69914.2</v>
      </c>
      <c r="AB215" s="2">
        <v>74969.22</v>
      </c>
      <c r="AC215" s="2">
        <v>63966.98</v>
      </c>
      <c r="AD215" s="2">
        <v>81296.55</v>
      </c>
      <c r="AE215" s="2">
        <v>89776.6</v>
      </c>
      <c r="AF215" s="3">
        <v>98064.614709999994</v>
      </c>
      <c r="AG215" s="2">
        <v>110855.03999999999</v>
      </c>
      <c r="AH215" s="2">
        <v>67859.34</v>
      </c>
      <c r="AI215" s="24">
        <f>SUM(E215:AH215)</f>
        <v>2282536.7047100002</v>
      </c>
      <c r="AJ215" s="26">
        <v>1977343.7090922976</v>
      </c>
      <c r="AK215" s="33">
        <f>$AJ215/$AI215*E215</f>
        <v>63213.193464227872</v>
      </c>
      <c r="AL215" s="33">
        <f>$AJ215/$AI215*F215</f>
        <v>60657.241687219066</v>
      </c>
      <c r="AM215" s="33">
        <f>$AJ215/$AI215*G215</f>
        <v>63529.918549957911</v>
      </c>
      <c r="AN215" s="33">
        <f>$AJ215/$AI215*H215</f>
        <v>84772.693699648255</v>
      </c>
      <c r="AO215" s="33">
        <f>$AJ215/$AI215*I215</f>
        <v>77354.806978581619</v>
      </c>
      <c r="AP215" s="33">
        <f>$AJ215/$AI215*J215</f>
        <v>83033.404228289088</v>
      </c>
      <c r="AQ215" s="33">
        <f>$AJ215/$AI215*K215</f>
        <v>52760.226084514688</v>
      </c>
      <c r="AR215" s="33">
        <f>$AJ215/$AI215*L215</f>
        <v>58687.171977796155</v>
      </c>
      <c r="AS215" s="33">
        <f>$AJ215/$AI215*M215</f>
        <v>61823.33160857961</v>
      </c>
      <c r="AT215" s="33">
        <f>$AJ215/$AI215*N215</f>
        <v>58762.288173150897</v>
      </c>
      <c r="AU215" s="33">
        <f>$AJ215/$AI215*O215</f>
        <v>85192.334296947258</v>
      </c>
      <c r="AV215" s="33">
        <f>$AJ215/$AI215*P215</f>
        <v>66163.334174142627</v>
      </c>
      <c r="AW215" s="33">
        <f>$AJ215/$AI215*Q215</f>
        <v>69895.95330008991</v>
      </c>
      <c r="AX215" s="33">
        <f>$AJ215/$AI215*R215</f>
        <v>54230.843697641554</v>
      </c>
      <c r="AY215" s="33">
        <f>$AJ215/$AI215*S215</f>
        <v>57766.814497611114</v>
      </c>
      <c r="AZ215" s="33">
        <f>$AJ215/$AI215*T215</f>
        <v>44616.438490012886</v>
      </c>
      <c r="BA215" s="33">
        <f>$AJ215/$AI215*U215</f>
        <v>47334.681444945352</v>
      </c>
      <c r="BB215" s="33">
        <f>$AJ215/$AI215*V215</f>
        <v>59039.969470106422</v>
      </c>
      <c r="BC215" s="33">
        <f>$AJ215/$AI215*W215</f>
        <v>74917.242691564505</v>
      </c>
      <c r="BD215" s="33">
        <f>$AJ215/$AI215*X215</f>
        <v>78470.842537497272</v>
      </c>
      <c r="BE215" s="33">
        <f>$AJ215/$AI215*Y215</f>
        <v>54946.574300825705</v>
      </c>
      <c r="BF215" s="33">
        <f>$AJ215/$AI215*Z215</f>
        <v>51278.121437015725</v>
      </c>
      <c r="BG215" s="33">
        <f>$AJ215/$AI215*AA215</f>
        <v>60566.125075208758</v>
      </c>
      <c r="BH215" s="33">
        <f>$AJ215/$AI215*AB215</f>
        <v>64945.249395842933</v>
      </c>
      <c r="BI215" s="33">
        <f>$AJ215/$AI215*AC215</f>
        <v>55414.094867185457</v>
      </c>
      <c r="BJ215" s="33">
        <f>$AJ215/$AI215*AD215</f>
        <v>70426.565926277675</v>
      </c>
      <c r="BK215" s="33">
        <f>$AJ215/$AI215*AE215</f>
        <v>77772.76696904187</v>
      </c>
      <c r="BL215" s="33">
        <f>$AJ215/$AI215*AF215</f>
        <v>84952.609340849449</v>
      </c>
      <c r="BM215" s="33">
        <f>$AJ215/$AI215*AG215</f>
        <v>96032.854811429861</v>
      </c>
      <c r="BN215" s="33">
        <f>$AJ215/$AI215*AH215</f>
        <v>58786.015916095967</v>
      </c>
    </row>
    <row r="216" spans="1:66" ht="24.75" x14ac:dyDescent="0.25">
      <c r="A216" s="27" t="s">
        <v>95</v>
      </c>
      <c r="B216" s="4">
        <v>70</v>
      </c>
      <c r="C216" s="4" t="s">
        <v>2</v>
      </c>
      <c r="D216" s="4" t="str">
        <f>A216&amp;C216</f>
        <v>NAKURU KENYATTA AVENUEDELI</v>
      </c>
      <c r="E216" s="2">
        <v>68135.39</v>
      </c>
      <c r="F216" s="2">
        <v>63496.74</v>
      </c>
      <c r="G216" s="2">
        <v>64647.67</v>
      </c>
      <c r="H216" s="2">
        <v>74645.740000000005</v>
      </c>
      <c r="I216" s="2">
        <v>73868.69</v>
      </c>
      <c r="J216" s="2">
        <v>49158.3</v>
      </c>
      <c r="K216" s="2">
        <v>59368.74</v>
      </c>
      <c r="L216" s="2">
        <v>64169.95</v>
      </c>
      <c r="M216" s="2">
        <v>60483.34</v>
      </c>
      <c r="N216" s="2">
        <v>57414.33</v>
      </c>
      <c r="O216" s="2">
        <v>69110.06</v>
      </c>
      <c r="P216" s="2">
        <v>64723.98</v>
      </c>
      <c r="Q216" s="2">
        <v>55248.99</v>
      </c>
      <c r="R216" s="2">
        <v>55772.38</v>
      </c>
      <c r="S216" s="2">
        <v>56099.18</v>
      </c>
      <c r="T216" s="2">
        <v>61927.92</v>
      </c>
      <c r="U216" s="2">
        <v>65329.16</v>
      </c>
      <c r="V216" s="2">
        <v>76069.179999999993</v>
      </c>
      <c r="W216" s="2">
        <v>78145.14</v>
      </c>
      <c r="X216" s="2">
        <v>69613.919999999998</v>
      </c>
      <c r="Y216" s="2">
        <v>63489.49</v>
      </c>
      <c r="Z216" s="2">
        <v>58036.639999999999</v>
      </c>
      <c r="AA216" s="2">
        <v>63943.7</v>
      </c>
      <c r="AB216" s="2">
        <v>50299.02</v>
      </c>
      <c r="AC216" s="2">
        <v>70642.929999999993</v>
      </c>
      <c r="AD216" s="2">
        <v>67082.63</v>
      </c>
      <c r="AE216" s="2">
        <v>56661.94</v>
      </c>
      <c r="AF216" s="3">
        <v>80655.66661</v>
      </c>
      <c r="AG216" s="2">
        <v>64262.3</v>
      </c>
      <c r="AH216" s="2">
        <v>70408.429999999993</v>
      </c>
      <c r="AI216" s="24">
        <f>SUM(E216:AH216)</f>
        <v>1932911.5466099994</v>
      </c>
      <c r="AJ216" s="26">
        <v>2341973.2997396849</v>
      </c>
      <c r="AK216" s="33">
        <f>$AJ216/$AI216*E216</f>
        <v>82554.871394509173</v>
      </c>
      <c r="AL216" s="33">
        <f>$AJ216/$AI216*F216</f>
        <v>76934.54465690424</v>
      </c>
      <c r="AM216" s="33">
        <f>$AJ216/$AI216*G216</f>
        <v>78329.045783764785</v>
      </c>
      <c r="AN216" s="33">
        <f>$AJ216/$AI216*H216</f>
        <v>90443.005695688684</v>
      </c>
      <c r="AO216" s="33">
        <f>$AJ216/$AI216*I216</f>
        <v>89501.508731818612</v>
      </c>
      <c r="AP216" s="33">
        <f>$AJ216/$AI216*J216</f>
        <v>59561.662954783125</v>
      </c>
      <c r="AQ216" s="33">
        <f>$AJ216/$AI216*K216</f>
        <v>71932.936694925389</v>
      </c>
      <c r="AR216" s="33">
        <f>$AJ216/$AI216*L216</f>
        <v>77750.225978629955</v>
      </c>
      <c r="AS216" s="33">
        <f>$AJ216/$AI216*M216</f>
        <v>73283.41930985311</v>
      </c>
      <c r="AT216" s="33">
        <f>$AJ216/$AI216*N216</f>
        <v>69564.915227635895</v>
      </c>
      <c r="AU216" s="33">
        <f>$AJ216/$AI216*O216</f>
        <v>83735.810646520302</v>
      </c>
      <c r="AV216" s="33">
        <f>$AJ216/$AI216*P216</f>
        <v>78421.505256530916</v>
      </c>
      <c r="AW216" s="33">
        <f>$AJ216/$AI216*Q216</f>
        <v>66941.324679091485</v>
      </c>
      <c r="AX216" s="33">
        <f>$AJ216/$AI216*R216</f>
        <v>67575.479618825048</v>
      </c>
      <c r="AY216" s="33">
        <f>$AJ216/$AI216*S216</f>
        <v>67971.440249148378</v>
      </c>
      <c r="AZ216" s="33">
        <f>$AJ216/$AI216*T216</f>
        <v>75033.715537981843</v>
      </c>
      <c r="BA216" s="33">
        <f>$AJ216/$AI216*U216</f>
        <v>79154.759400530529</v>
      </c>
      <c r="BB216" s="33">
        <f>$AJ216/$AI216*V216</f>
        <v>92167.688069089636</v>
      </c>
      <c r="BC216" s="33">
        <f>$AJ216/$AI216*W216</f>
        <v>94682.983142914643</v>
      </c>
      <c r="BD216" s="33">
        <f>$AJ216/$AI216*X216</f>
        <v>84346.302455561643</v>
      </c>
      <c r="BE216" s="33">
        <f>$AJ216/$AI216*Y216</f>
        <v>76925.76034059505</v>
      </c>
      <c r="BF216" s="33">
        <f>$AJ216/$AI216*Z216</f>
        <v>70318.924590721901</v>
      </c>
      <c r="BG216" s="33">
        <f>$AJ216/$AI216*AA216</f>
        <v>77476.094728291369</v>
      </c>
      <c r="BH216" s="33">
        <f>$AJ216/$AI216*AB216</f>
        <v>60943.793341020646</v>
      </c>
      <c r="BI216" s="33">
        <f>$AJ216/$AI216*AC216</f>
        <v>85593.08167284746</v>
      </c>
      <c r="BJ216" s="33">
        <f>$AJ216/$AI216*AD216</f>
        <v>81279.315968624287</v>
      </c>
      <c r="BK216" s="33">
        <f>$AJ216/$AI216*AE216</f>
        <v>68653.297055515432</v>
      </c>
      <c r="BL216" s="33">
        <f>$AJ216/$AI216*AF216</f>
        <v>97724.812087036684</v>
      </c>
      <c r="BM216" s="33">
        <f>$AJ216/$AI216*AG216</f>
        <v>77862.119993961547</v>
      </c>
      <c r="BN216" s="33">
        <f>$AJ216/$AI216*AH216</f>
        <v>85308.954476363913</v>
      </c>
    </row>
    <row r="217" spans="1:66" ht="24.75" x14ac:dyDescent="0.25">
      <c r="A217" s="45" t="s">
        <v>96</v>
      </c>
      <c r="B217" s="4">
        <v>71</v>
      </c>
      <c r="C217" s="4" t="s">
        <v>2</v>
      </c>
      <c r="D217" s="4" t="str">
        <f>A217&amp;C217</f>
        <v>SYOKIMAU DIAMOND BIZDELI</v>
      </c>
      <c r="E217" s="42">
        <v>75516.5</v>
      </c>
      <c r="F217" s="42">
        <v>61369.3</v>
      </c>
      <c r="G217" s="42">
        <v>66129.33</v>
      </c>
      <c r="H217" s="2">
        <v>53542.48</v>
      </c>
      <c r="I217" s="2">
        <v>93256.61</v>
      </c>
      <c r="J217" s="2">
        <v>103502.06</v>
      </c>
      <c r="K217" s="2">
        <v>88008.320000000007</v>
      </c>
      <c r="L217" s="2">
        <v>75516.5</v>
      </c>
      <c r="M217" s="2">
        <v>61369.3</v>
      </c>
      <c r="N217" s="2">
        <v>66129.33</v>
      </c>
      <c r="O217" s="2">
        <v>70839.8</v>
      </c>
      <c r="P217" s="2">
        <v>79134.5</v>
      </c>
      <c r="Q217" s="2">
        <v>95774.77</v>
      </c>
      <c r="R217" s="2">
        <v>63669.73</v>
      </c>
      <c r="S217" s="2">
        <v>74910.22</v>
      </c>
      <c r="T217" s="2">
        <v>65790.34</v>
      </c>
      <c r="U217" s="2">
        <v>70805.56</v>
      </c>
      <c r="V217" s="2">
        <v>65707.600000000006</v>
      </c>
      <c r="W217" s="2">
        <v>83201.87</v>
      </c>
      <c r="X217" s="2">
        <v>85826.06</v>
      </c>
      <c r="Y217" s="2">
        <v>75257.899999999994</v>
      </c>
      <c r="Z217" s="2">
        <v>79694.149999999994</v>
      </c>
      <c r="AA217" s="2">
        <v>69785.59</v>
      </c>
      <c r="AB217" s="2">
        <v>59354.16</v>
      </c>
      <c r="AC217" s="2">
        <v>72899.3</v>
      </c>
      <c r="AD217" s="2">
        <v>78952.67</v>
      </c>
      <c r="AE217" s="2">
        <v>86487.98</v>
      </c>
      <c r="AF217" s="42">
        <v>93256.61</v>
      </c>
      <c r="AG217" s="42">
        <v>103502.06</v>
      </c>
      <c r="AH217" s="42">
        <v>88008.320000000007</v>
      </c>
      <c r="AI217" s="24">
        <f>SUM(E217:AH217)</f>
        <v>2307198.9200000004</v>
      </c>
      <c r="AJ217" s="26">
        <v>1367389.3340752122</v>
      </c>
      <c r="AK217" s="33">
        <f>$AJ217/$AI217*E217</f>
        <v>44755.766722832355</v>
      </c>
      <c r="AL217" s="33">
        <f>$AJ217/$AI217*F217</f>
        <v>36371.257602557263</v>
      </c>
      <c r="AM217" s="33">
        <f>$AJ217/$AI217*G217</f>
        <v>39192.346931030959</v>
      </c>
      <c r="AN217" s="33">
        <f>$AJ217/$AI217*H217</f>
        <v>31732.598102956534</v>
      </c>
      <c r="AO217" s="33">
        <f>$AJ217/$AI217*I217</f>
        <v>55269.657393048605</v>
      </c>
      <c r="AP217" s="33">
        <f>$AJ217/$AI217*J217</f>
        <v>61341.747203493243</v>
      </c>
      <c r="AQ217" s="33">
        <f>$AJ217/$AI217*K217</f>
        <v>52159.194872489876</v>
      </c>
      <c r="AR217" s="33">
        <f>$AJ217/$AI217*L217</f>
        <v>44755.766722832355</v>
      </c>
      <c r="AS217" s="33">
        <f>$AJ217/$AI217*M217</f>
        <v>36371.257602557263</v>
      </c>
      <c r="AT217" s="33">
        <f>$AJ217/$AI217*N217</f>
        <v>39192.346931030959</v>
      </c>
      <c r="AU217" s="33">
        <f>$AJ217/$AI217*O217</f>
        <v>41984.063926322058</v>
      </c>
      <c r="AV217" s="33">
        <f>$AJ217/$AI217*P217</f>
        <v>46900.018164612724</v>
      </c>
      <c r="AW217" s="33">
        <f>$AJ217/$AI217*Q217</f>
        <v>56762.075361714626</v>
      </c>
      <c r="AX217" s="33">
        <f>$AJ217/$AI217*R217</f>
        <v>37734.635254357934</v>
      </c>
      <c r="AY217" s="33">
        <f>$AJ217/$AI217*S217</f>
        <v>44396.447550880279</v>
      </c>
      <c r="AZ217" s="33">
        <f>$AJ217/$AI217*T217</f>
        <v>38991.44040912683</v>
      </c>
      <c r="BA217" s="33">
        <f>$AJ217/$AI217*U217</f>
        <v>41963.771176358932</v>
      </c>
      <c r="BB217" s="33">
        <f>$AJ217/$AI217*V217</f>
        <v>38942.403547796566</v>
      </c>
      <c r="BC217" s="33">
        <f>$AJ217/$AI217*W217</f>
        <v>49310.594169796314</v>
      </c>
      <c r="BD217" s="33">
        <f>$AJ217/$AI217*X217</f>
        <v>50865.852099869735</v>
      </c>
      <c r="BE217" s="33">
        <f>$AJ217/$AI217*Y217</f>
        <v>44602.504306346891</v>
      </c>
      <c r="BF217" s="33">
        <f>$AJ217/$AI217*Z217</f>
        <v>47231.701503306031</v>
      </c>
      <c r="BG217" s="33">
        <f>$AJ217/$AI217*AA217</f>
        <v>41359.273624376423</v>
      </c>
      <c r="BH217" s="33">
        <f>$AJ217/$AI217*AB217</f>
        <v>35176.960518425345</v>
      </c>
      <c r="BI217" s="33">
        <f>$AJ217/$AI217*AC217</f>
        <v>43204.651500768348</v>
      </c>
      <c r="BJ217" s="33">
        <f>$AJ217/$AI217*AD217</f>
        <v>46792.254416779964</v>
      </c>
      <c r="BK217" s="33">
        <f>$AJ217/$AI217*AE217</f>
        <v>51258.146990511872</v>
      </c>
      <c r="BL217" s="33">
        <f>$AJ217/$AI217*AF217</f>
        <v>55269.657393048605</v>
      </c>
      <c r="BM217" s="33">
        <f>$AJ217/$AI217*AG217</f>
        <v>61341.747203493243</v>
      </c>
      <c r="BN217" s="33">
        <f>$AJ217/$AI217*AH217</f>
        <v>52159.194872489876</v>
      </c>
    </row>
    <row r="218" spans="1:66" x14ac:dyDescent="0.25">
      <c r="A218" s="45" t="s">
        <v>97</v>
      </c>
      <c r="B218" s="4">
        <v>72</v>
      </c>
      <c r="C218" s="4" t="s">
        <v>2</v>
      </c>
      <c r="D218" s="4" t="str">
        <f>A218&amp;C218</f>
        <v>MAKONGENI THIKADELI</v>
      </c>
      <c r="E218" s="42">
        <v>72267.960000000006</v>
      </c>
      <c r="F218" s="42">
        <v>58671.74</v>
      </c>
      <c r="G218" s="42">
        <v>61100.5</v>
      </c>
      <c r="H218" s="42">
        <v>80571.210000000006</v>
      </c>
      <c r="I218" s="42">
        <v>78134.44</v>
      </c>
      <c r="J218" s="42">
        <v>89680.85</v>
      </c>
      <c r="K218" s="42">
        <v>64608.26</v>
      </c>
      <c r="L218" s="42">
        <v>64341.16</v>
      </c>
      <c r="M218" s="42">
        <v>52259.67</v>
      </c>
      <c r="N218" s="42">
        <v>52884.62</v>
      </c>
      <c r="O218" s="2">
        <v>39268.28</v>
      </c>
      <c r="P218" s="2">
        <v>100986.63</v>
      </c>
      <c r="Q218" s="2">
        <v>90332.65</v>
      </c>
      <c r="R218" s="2">
        <v>70531.94</v>
      </c>
      <c r="S218" s="2">
        <v>72267.960000000006</v>
      </c>
      <c r="T218" s="2">
        <v>58671.74</v>
      </c>
      <c r="U218" s="2">
        <v>61100.5</v>
      </c>
      <c r="V218" s="2">
        <v>80571.210000000006</v>
      </c>
      <c r="W218" s="2">
        <v>78134.44</v>
      </c>
      <c r="X218" s="2">
        <v>89680.85</v>
      </c>
      <c r="Y218" s="2">
        <v>64608.26</v>
      </c>
      <c r="Z218" s="2">
        <v>64341.16</v>
      </c>
      <c r="AA218" s="2">
        <v>52259.67</v>
      </c>
      <c r="AB218" s="2">
        <v>52884.62</v>
      </c>
      <c r="AC218" s="2">
        <v>56480.89</v>
      </c>
      <c r="AD218" s="2">
        <v>68653.960000000006</v>
      </c>
      <c r="AE218" s="2">
        <v>96548.63</v>
      </c>
      <c r="AF218" s="42">
        <v>100986.63</v>
      </c>
      <c r="AG218" s="42">
        <v>90332.65</v>
      </c>
      <c r="AH218" s="42">
        <v>70531.94</v>
      </c>
      <c r="AI218" s="24">
        <f>SUM(E218:AH218)</f>
        <v>2133695.0199999996</v>
      </c>
      <c r="AJ218" s="26">
        <v>1056931.6169813387</v>
      </c>
      <c r="AK218" s="33">
        <f>$AJ218/$AI218*E218</f>
        <v>35798.130052692686</v>
      </c>
      <c r="AL218" s="33">
        <f>$AJ218/$AI218*F218</f>
        <v>29063.205588448483</v>
      </c>
      <c r="AM218" s="33">
        <f>$AJ218/$AI218*G218</f>
        <v>30266.298443799289</v>
      </c>
      <c r="AN218" s="33">
        <f>$AJ218/$AI218*H218</f>
        <v>39911.167467337029</v>
      </c>
      <c r="AO218" s="33">
        <f>$AJ218/$AI218*I218</f>
        <v>38704.106836754676</v>
      </c>
      <c r="AP218" s="33">
        <f>$AJ218/$AI218*J218</f>
        <v>44423.652356258914</v>
      </c>
      <c r="AQ218" s="33">
        <f>$AJ218/$AI218*K218</f>
        <v>32003.876876532599</v>
      </c>
      <c r="AR218" s="33">
        <f>$AJ218/$AI218*L218</f>
        <v>31871.568166876561</v>
      </c>
      <c r="AS218" s="33">
        <f>$AJ218/$AI218*M218</f>
        <v>25886.96931767276</v>
      </c>
      <c r="AT218" s="33">
        <f>$AJ218/$AI218*N218</f>
        <v>26196.539995694257</v>
      </c>
      <c r="AU218" s="33">
        <f>$AJ218/$AI218*O218</f>
        <v>19451.649034863458</v>
      </c>
      <c r="AV218" s="33">
        <f>$AJ218/$AI218*P218</f>
        <v>50024.001152421581</v>
      </c>
      <c r="AW218" s="33">
        <f>$AJ218/$AI218*Q218</f>
        <v>44746.523254625834</v>
      </c>
      <c r="AX218" s="33">
        <f>$AJ218/$AI218*R218</f>
        <v>34938.187835781129</v>
      </c>
      <c r="AY218" s="33">
        <f>$AJ218/$AI218*S218</f>
        <v>35798.130052692686</v>
      </c>
      <c r="AZ218" s="33">
        <f>$AJ218/$AI218*T218</f>
        <v>29063.205588448483</v>
      </c>
      <c r="BA218" s="33">
        <f>$AJ218/$AI218*U218</f>
        <v>30266.298443799289</v>
      </c>
      <c r="BB218" s="33">
        <f>$AJ218/$AI218*V218</f>
        <v>39911.167467337029</v>
      </c>
      <c r="BC218" s="33">
        <f>$AJ218/$AI218*W218</f>
        <v>38704.106836754676</v>
      </c>
      <c r="BD218" s="33">
        <f>$AJ218/$AI218*X218</f>
        <v>44423.652356258914</v>
      </c>
      <c r="BE218" s="33">
        <f>$AJ218/$AI218*Y218</f>
        <v>32003.876876532599</v>
      </c>
      <c r="BF218" s="33">
        <f>$AJ218/$AI218*Z218</f>
        <v>31871.568166876561</v>
      </c>
      <c r="BG218" s="33">
        <f>$AJ218/$AI218*AA218</f>
        <v>25886.96931767276</v>
      </c>
      <c r="BH218" s="33">
        <f>$AJ218/$AI218*AB218</f>
        <v>26196.539995694257</v>
      </c>
      <c r="BI218" s="33">
        <f>$AJ218/$AI218*AC218</f>
        <v>27977.962097059743</v>
      </c>
      <c r="BJ218" s="33">
        <f>$AJ218/$AI218*AD218</f>
        <v>34007.925347724798</v>
      </c>
      <c r="BK218" s="33">
        <f>$AJ218/$AI218*AE218</f>
        <v>47825.625811899306</v>
      </c>
      <c r="BL218" s="33">
        <f>$AJ218/$AI218*AF218</f>
        <v>50024.001152421581</v>
      </c>
      <c r="BM218" s="33">
        <f>$AJ218/$AI218*AG218</f>
        <v>44746.523254625834</v>
      </c>
      <c r="BN218" s="33">
        <f>$AJ218/$AI218*AH218</f>
        <v>34938.187835781129</v>
      </c>
    </row>
    <row r="219" spans="1:66" x14ac:dyDescent="0.25">
      <c r="A219" s="1" t="s">
        <v>7</v>
      </c>
      <c r="B219" s="4">
        <v>1</v>
      </c>
      <c r="C219" s="4" t="s">
        <v>5</v>
      </c>
      <c r="D219" s="4" t="str">
        <f>A219&amp;C219</f>
        <v>KIAMBUVEGES</v>
      </c>
      <c r="E219" s="2">
        <v>306649.34999999998</v>
      </c>
      <c r="F219" s="2">
        <v>254460.38</v>
      </c>
      <c r="G219" s="2">
        <v>273608.06</v>
      </c>
      <c r="H219" s="2">
        <v>279058.2</v>
      </c>
      <c r="I219" s="2">
        <v>316279.71999999997</v>
      </c>
      <c r="J219" s="2">
        <v>319146.07</v>
      </c>
      <c r="K219" s="2">
        <v>295424.24</v>
      </c>
      <c r="L219" s="2">
        <v>274380.09999999998</v>
      </c>
      <c r="M219" s="2">
        <v>261299.81</v>
      </c>
      <c r="N219" s="2">
        <v>300947.58</v>
      </c>
      <c r="O219" s="2">
        <v>328706.11</v>
      </c>
      <c r="P219" s="2">
        <v>286513.18</v>
      </c>
      <c r="Q219" s="2">
        <v>343343.89</v>
      </c>
      <c r="R219" s="2">
        <v>293958.13</v>
      </c>
      <c r="S219" s="2">
        <v>269018.63</v>
      </c>
      <c r="T219" s="2">
        <v>281596.49</v>
      </c>
      <c r="U219" s="2">
        <v>300060.89</v>
      </c>
      <c r="V219" s="2">
        <v>277925.59999999998</v>
      </c>
      <c r="W219" s="2">
        <v>328150.06</v>
      </c>
      <c r="X219" s="2">
        <v>327467.25</v>
      </c>
      <c r="Y219" s="2">
        <v>355377.91</v>
      </c>
      <c r="Z219" s="2">
        <v>309115.77</v>
      </c>
      <c r="AA219" s="2">
        <v>300970.46999999997</v>
      </c>
      <c r="AB219" s="2">
        <v>329408.17</v>
      </c>
      <c r="AC219" s="2">
        <v>306449.21000000002</v>
      </c>
      <c r="AD219" s="2">
        <v>319633.05</v>
      </c>
      <c r="AE219" s="2">
        <v>386892.34</v>
      </c>
      <c r="AF219" s="2">
        <v>297769.81</v>
      </c>
      <c r="AG219" s="2">
        <v>336544.37</v>
      </c>
      <c r="AH219" s="2">
        <v>311859.95</v>
      </c>
      <c r="AI219" s="24">
        <f>SUM(E219:AH219)</f>
        <v>9172014.7899999972</v>
      </c>
      <c r="AJ219" s="26">
        <v>9094053.3516398743</v>
      </c>
      <c r="AK219" s="33">
        <f>$AJ219/$AI219*E219</f>
        <v>304042.85350543895</v>
      </c>
      <c r="AL219" s="33">
        <f>$AJ219/$AI219*F219</f>
        <v>252297.48583937431</v>
      </c>
      <c r="AM219" s="33">
        <f>$AJ219/$AI219*G219</f>
        <v>271282.41199430998</v>
      </c>
      <c r="AN219" s="33">
        <f>$AJ219/$AI219*H219</f>
        <v>276686.22621274594</v>
      </c>
      <c r="AO219" s="33">
        <f>$AJ219/$AI219*I219</f>
        <v>313591.36608214315</v>
      </c>
      <c r="AP219" s="33">
        <f>$AJ219/$AI219*J219</f>
        <v>316433.35232194874</v>
      </c>
      <c r="AQ219" s="33">
        <f>$AJ219/$AI219*K219</f>
        <v>292913.15609922423</v>
      </c>
      <c r="AR219" s="33">
        <f>$AJ219/$AI219*L219</f>
        <v>272047.88971216697</v>
      </c>
      <c r="AS219" s="33">
        <f>$AJ219/$AI219*M219</f>
        <v>259078.78119692425</v>
      </c>
      <c r="AT219" s="33">
        <f>$AJ219/$AI219*N219</f>
        <v>298389.54812314583</v>
      </c>
      <c r="AU219" s="33">
        <f>$AJ219/$AI219*O219</f>
        <v>325912.13269838243</v>
      </c>
      <c r="AV219" s="33">
        <f>$AJ219/$AI219*P219</f>
        <v>284077.8394414254</v>
      </c>
      <c r="AW219" s="33">
        <f>$AJ219/$AI219*Q219</f>
        <v>340425.49266534421</v>
      </c>
      <c r="AX219" s="33">
        <f>$AJ219/$AI219*R219</f>
        <v>291459.5079243533</v>
      </c>
      <c r="AY219" s="33">
        <f>$AJ219/$AI219*S219</f>
        <v>266731.99180537608</v>
      </c>
      <c r="AZ219" s="33">
        <f>$AJ219/$AI219*T219</f>
        <v>279202.94093796646</v>
      </c>
      <c r="BA219" s="33">
        <f>$AJ219/$AI219*U219</f>
        <v>297510.39492169686</v>
      </c>
      <c r="BB219" s="33">
        <f>$AJ219/$AI219*V219</f>
        <v>275563.25322786835</v>
      </c>
      <c r="BC219" s="33">
        <f>$AJ219/$AI219*W219</f>
        <v>325360.80908171181</v>
      </c>
      <c r="BD219" s="33">
        <f>$AJ219/$AI219*X219</f>
        <v>324683.80291554169</v>
      </c>
      <c r="BE219" s="33">
        <f>$AJ219/$AI219*Y219</f>
        <v>352357.22439717897</v>
      </c>
      <c r="BF219" s="33">
        <f>$AJ219/$AI219*Z219</f>
        <v>306488.30912027363</v>
      </c>
      <c r="BG219" s="33">
        <f>$AJ219/$AI219*AA219</f>
        <v>298412.24355986115</v>
      </c>
      <c r="BH219" s="33">
        <f>$AJ219/$AI219*AB219</f>
        <v>326608.22524099512</v>
      </c>
      <c r="BI219" s="33">
        <f>$AJ219/$AI219*AC219</f>
        <v>303844.41468044044</v>
      </c>
      <c r="BJ219" s="33">
        <f>$AJ219/$AI219*AD219</f>
        <v>316916.19302844326</v>
      </c>
      <c r="BK219" s="33">
        <f>$AJ219/$AI219*AE219</f>
        <v>383603.78410388448</v>
      </c>
      <c r="BL219" s="33">
        <f>$AJ219/$AI219*AF219</f>
        <v>295238.78893000231</v>
      </c>
      <c r="BM219" s="33">
        <f>$AJ219/$AI219*AG219</f>
        <v>333683.76807578513</v>
      </c>
      <c r="BN219" s="33">
        <f>$AJ219/$AI219*AH219</f>
        <v>309209.1637959237</v>
      </c>
    </row>
    <row r="220" spans="1:66" x14ac:dyDescent="0.25">
      <c r="A220" s="1" t="s">
        <v>1</v>
      </c>
      <c r="B220" s="4">
        <v>2</v>
      </c>
      <c r="C220" s="4" t="s">
        <v>5</v>
      </c>
      <c r="D220" s="4" t="str">
        <f>A220&amp;C220</f>
        <v>RUAKAVEGES</v>
      </c>
      <c r="E220" s="2">
        <v>70226.039999999994</v>
      </c>
      <c r="F220" s="2">
        <v>64007.199999999997</v>
      </c>
      <c r="G220" s="2">
        <v>66855.740000000005</v>
      </c>
      <c r="H220" s="2">
        <v>76082.710000000006</v>
      </c>
      <c r="I220" s="2">
        <v>85868.73</v>
      </c>
      <c r="J220" s="2">
        <v>97691.95</v>
      </c>
      <c r="K220" s="2">
        <v>68593.5</v>
      </c>
      <c r="L220" s="2">
        <v>59196.98</v>
      </c>
      <c r="M220" s="2">
        <v>68046.78</v>
      </c>
      <c r="N220" s="2">
        <v>74411.28</v>
      </c>
      <c r="O220" s="2">
        <v>84067.14</v>
      </c>
      <c r="P220" s="2">
        <v>94417.9</v>
      </c>
      <c r="Q220" s="2">
        <v>87245.11</v>
      </c>
      <c r="R220" s="2">
        <v>63313.09</v>
      </c>
      <c r="S220" s="2">
        <v>72682.33</v>
      </c>
      <c r="T220" s="2">
        <v>59803.77</v>
      </c>
      <c r="U220" s="2">
        <v>73101.789999999994</v>
      </c>
      <c r="V220" s="2">
        <v>62451</v>
      </c>
      <c r="W220" s="2">
        <v>81240.289999999994</v>
      </c>
      <c r="X220" s="2">
        <v>86415.360000000001</v>
      </c>
      <c r="Y220" s="2">
        <v>71388.91</v>
      </c>
      <c r="Z220" s="2">
        <v>74392.56</v>
      </c>
      <c r="AA220" s="2">
        <v>45949.54</v>
      </c>
      <c r="AB220" s="2">
        <v>64524.58</v>
      </c>
      <c r="AC220" s="2">
        <v>86416.66</v>
      </c>
      <c r="AD220" s="2">
        <v>115511.8</v>
      </c>
      <c r="AE220" s="2">
        <v>86746.6</v>
      </c>
      <c r="AF220" s="2">
        <v>100128.76</v>
      </c>
      <c r="AG220" s="2">
        <v>104072.16</v>
      </c>
      <c r="AH220" s="2">
        <v>61729.77</v>
      </c>
      <c r="AI220" s="24">
        <f>SUM(E220:AH220)</f>
        <v>2306580.0300000007</v>
      </c>
      <c r="AJ220" s="26">
        <v>2508886.6525179511</v>
      </c>
      <c r="AK220" s="33">
        <f>$AJ220/$AI220*E220</f>
        <v>76385.459044831703</v>
      </c>
      <c r="AL220" s="33">
        <f>$AJ220/$AI220*F220</f>
        <v>69621.174057007229</v>
      </c>
      <c r="AM220" s="33">
        <f>$AJ220/$AI220*G220</f>
        <v>72719.555163325698</v>
      </c>
      <c r="AN220" s="33">
        <f>$AJ220/$AI220*H220</f>
        <v>82755.808653382817</v>
      </c>
      <c r="AO220" s="33">
        <f>$AJ220/$AI220*I220</f>
        <v>93400.145567751097</v>
      </c>
      <c r="AP220" s="33">
        <f>$AJ220/$AI220*J220</f>
        <v>106260.36219235409</v>
      </c>
      <c r="AQ220" s="33">
        <f>$AJ220/$AI220*K220</f>
        <v>74609.731447076658</v>
      </c>
      <c r="AR220" s="33">
        <f>$AJ220/$AI220*L220</f>
        <v>64389.056984670096</v>
      </c>
      <c r="AS220" s="33">
        <f>$AJ220/$AI220*M220</f>
        <v>74015.059468292282</v>
      </c>
      <c r="AT220" s="33">
        <f>$AJ220/$AI220*N220</f>
        <v>80937.780072940237</v>
      </c>
      <c r="AU220" s="33">
        <f>$AJ220/$AI220*O220</f>
        <v>91440.540851885322</v>
      </c>
      <c r="AV220" s="33">
        <f>$AJ220/$AI220*P220</f>
        <v>102699.1502518014</v>
      </c>
      <c r="AW220" s="33">
        <f>$AJ220/$AI220*Q220</f>
        <v>94897.245761925878</v>
      </c>
      <c r="AX220" s="33">
        <f>$AJ220/$AI220*R220</f>
        <v>68866.184725733416</v>
      </c>
      <c r="AY220" s="33">
        <f>$AJ220/$AI220*S220</f>
        <v>79057.186500875498</v>
      </c>
      <c r="AZ220" s="33">
        <f>$AJ220/$AI220*T220</f>
        <v>65049.067611694103</v>
      </c>
      <c r="BA220" s="33">
        <f>$AJ220/$AI220*U220</f>
        <v>79513.436698821228</v>
      </c>
      <c r="BB220" s="33">
        <f>$AJ220/$AI220*V220</f>
        <v>67928.482124419723</v>
      </c>
      <c r="BC220" s="33">
        <f>$AJ220/$AI220*W220</f>
        <v>88365.752142442463</v>
      </c>
      <c r="BD220" s="33">
        <f>$AJ220/$AI220*X220</f>
        <v>93994.719652772503</v>
      </c>
      <c r="BE220" s="33">
        <f>$AJ220/$AI220*Y220</f>
        <v>77650.322601988897</v>
      </c>
      <c r="BF220" s="33">
        <f>$AJ220/$AI220*Z220</f>
        <v>80917.418170242614</v>
      </c>
      <c r="BG220" s="33">
        <f>$AJ220/$AI220*AA220</f>
        <v>49979.704192331737</v>
      </c>
      <c r="BH220" s="33">
        <f>$AJ220/$AI220*AB220</f>
        <v>70183.932669063593</v>
      </c>
      <c r="BI220" s="33">
        <f>$AJ220/$AI220*AC220</f>
        <v>93996.133673793171</v>
      </c>
      <c r="BJ220" s="33">
        <f>$AJ220/$AI220*AD220</f>
        <v>125643.1641040103</v>
      </c>
      <c r="BK220" s="33">
        <f>$AJ220/$AI220*AE220</f>
        <v>94355.012208838743</v>
      </c>
      <c r="BL220" s="33">
        <f>$AJ220/$AI220*AF220</f>
        <v>108910.90108725741</v>
      </c>
      <c r="BM220" s="33">
        <f>$AJ220/$AI220*AG220</f>
        <v>113200.17069718259</v>
      </c>
      <c r="BN220" s="33">
        <f>$AJ220/$AI220*AH220</f>
        <v>67143.99413923781</v>
      </c>
    </row>
    <row r="221" spans="1:66" x14ac:dyDescent="0.25">
      <c r="A221" s="1" t="s">
        <v>6</v>
      </c>
      <c r="B221" s="4">
        <v>3</v>
      </c>
      <c r="C221" s="4" t="s">
        <v>5</v>
      </c>
      <c r="D221" s="4" t="str">
        <f>A221&amp;C221</f>
        <v>RUAIVEGES</v>
      </c>
      <c r="E221" s="2">
        <v>49210.31</v>
      </c>
      <c r="F221" s="2">
        <v>52747.3</v>
      </c>
      <c r="G221" s="2">
        <v>54351.08</v>
      </c>
      <c r="H221" s="2">
        <v>61027.17</v>
      </c>
      <c r="I221" s="2">
        <v>40528.15</v>
      </c>
      <c r="J221" s="2">
        <v>56609.83</v>
      </c>
      <c r="K221" s="2">
        <v>50378.2</v>
      </c>
      <c r="L221" s="2">
        <v>38485.879999999997</v>
      </c>
      <c r="M221" s="2">
        <v>53992.800000000003</v>
      </c>
      <c r="N221" s="2">
        <v>43052.39</v>
      </c>
      <c r="O221" s="2">
        <v>51673.03</v>
      </c>
      <c r="P221" s="2">
        <v>61842.71</v>
      </c>
      <c r="Q221" s="2">
        <v>43547.4</v>
      </c>
      <c r="R221" s="2">
        <v>58603.519999999997</v>
      </c>
      <c r="S221" s="2">
        <v>39397.69</v>
      </c>
      <c r="T221" s="2">
        <v>44783.89</v>
      </c>
      <c r="U221" s="2">
        <v>47510.87</v>
      </c>
      <c r="V221" s="2">
        <v>42287.05</v>
      </c>
      <c r="W221" s="2">
        <v>53031.16</v>
      </c>
      <c r="X221" s="2">
        <v>53214.13</v>
      </c>
      <c r="Y221" s="2">
        <v>34135.360000000001</v>
      </c>
      <c r="Z221" s="2">
        <v>56055.44</v>
      </c>
      <c r="AA221" s="2">
        <v>44805.54</v>
      </c>
      <c r="AB221" s="2">
        <v>48786.73</v>
      </c>
      <c r="AC221" s="2">
        <v>46846.35</v>
      </c>
      <c r="AD221" s="2">
        <v>53845.73</v>
      </c>
      <c r="AE221" s="2">
        <v>52525.08</v>
      </c>
      <c r="AF221" s="2">
        <v>56267.16</v>
      </c>
      <c r="AG221" s="2">
        <v>59976.76</v>
      </c>
      <c r="AH221" s="2">
        <v>53185.23</v>
      </c>
      <c r="AI221" s="24">
        <f>SUM(E221:AH221)</f>
        <v>1502703.9400000002</v>
      </c>
      <c r="AJ221" s="26">
        <v>1364275.8093426598</v>
      </c>
      <c r="AK221" s="33">
        <f>$AJ221/$AI221*E221</f>
        <v>44677.087559411855</v>
      </c>
      <c r="AL221" s="33">
        <f>$AJ221/$AI221*F221</f>
        <v>47888.252291492674</v>
      </c>
      <c r="AM221" s="33">
        <f>$AJ221/$AI221*G221</f>
        <v>49344.29309851124</v>
      </c>
      <c r="AN221" s="33">
        <f>$AJ221/$AI221*H221</f>
        <v>55405.385936262384</v>
      </c>
      <c r="AO221" s="33">
        <f>$AJ221/$AI221*I221</f>
        <v>36794.722613431564</v>
      </c>
      <c r="AP221" s="33">
        <f>$AJ221/$AI221*J221</f>
        <v>51394.968485941667</v>
      </c>
      <c r="AQ221" s="33">
        <f>$AJ221/$AI221*K221</f>
        <v>45737.392275837366</v>
      </c>
      <c r="AR221" s="33">
        <f>$AJ221/$AI221*L221</f>
        <v>34940.585226165356</v>
      </c>
      <c r="AS221" s="33">
        <f>$AJ221/$AI221*M221</f>
        <v>49019.017624107888</v>
      </c>
      <c r="AT221" s="33">
        <f>$AJ221/$AI221*N221</f>
        <v>39086.431231015355</v>
      </c>
      <c r="AU221" s="33">
        <f>$AJ221/$AI221*O221</f>
        <v>46912.94336024535</v>
      </c>
      <c r="AV221" s="33">
        <f>$AJ221/$AI221*P221</f>
        <v>56145.798910458296</v>
      </c>
      <c r="AW221" s="33">
        <f>$AJ221/$AI221*Q221</f>
        <v>39535.841224831376</v>
      </c>
      <c r="AX221" s="33">
        <f>$AJ221/$AI221*R221</f>
        <v>53205.001031892374</v>
      </c>
      <c r="AY221" s="33">
        <f>$AJ221/$AI221*S221</f>
        <v>35768.399869225876</v>
      </c>
      <c r="AZ221" s="33">
        <f>$AJ221/$AI221*T221</f>
        <v>40658.426552912773</v>
      </c>
      <c r="BA221" s="33">
        <f>$AJ221/$AI221*U221</f>
        <v>43134.198890716885</v>
      </c>
      <c r="BB221" s="33">
        <f>$AJ221/$AI221*V221</f>
        <v>38391.593864765884</v>
      </c>
      <c r="BC221" s="33">
        <f>$AJ221/$AI221*W221</f>
        <v>48145.9632889364</v>
      </c>
      <c r="BD221" s="33">
        <f>$AJ221/$AI221*X221</f>
        <v>48312.078208975414</v>
      </c>
      <c r="BE221" s="33">
        <f>$AJ221/$AI221*Y221</f>
        <v>30990.832359967761</v>
      </c>
      <c r="BF221" s="33">
        <f>$AJ221/$AI221*Z221</f>
        <v>50891.648539937218</v>
      </c>
      <c r="BG221" s="33">
        <f>$AJ221/$AI221*AA221</f>
        <v>40678.082168690467</v>
      </c>
      <c r="BH221" s="33">
        <f>$AJ221/$AI221*AB221</f>
        <v>44292.527479452685</v>
      </c>
      <c r="BI221" s="33">
        <f>$AJ221/$AI221*AC221</f>
        <v>42530.894050227551</v>
      </c>
      <c r="BJ221" s="33">
        <f>$AJ221/$AI221*AD221</f>
        <v>48885.495618915018</v>
      </c>
      <c r="BK221" s="33">
        <f>$AJ221/$AI221*AE221</f>
        <v>47686.503056475616</v>
      </c>
      <c r="BL221" s="33">
        <f>$AJ221/$AI221*AF221</f>
        <v>51083.865028272252</v>
      </c>
      <c r="BM221" s="33">
        <f>$AJ221/$AI221*AG221</f>
        <v>54451.73903699917</v>
      </c>
      <c r="BN221" s="33">
        <f>$AJ221/$AI221*AH221</f>
        <v>48285.840458583945</v>
      </c>
    </row>
    <row r="222" spans="1:66" x14ac:dyDescent="0.25">
      <c r="A222" s="1" t="s">
        <v>9</v>
      </c>
      <c r="B222" s="4">
        <v>4</v>
      </c>
      <c r="C222" s="4" t="s">
        <v>5</v>
      </c>
      <c r="D222" s="4" t="str">
        <f>A222&amp;C222</f>
        <v>EBP 1VEGES</v>
      </c>
      <c r="E222" s="2">
        <v>67095.27</v>
      </c>
      <c r="F222" s="2">
        <v>74196.09</v>
      </c>
      <c r="G222" s="2">
        <v>42303.01</v>
      </c>
      <c r="H222" s="2">
        <v>74903.320000000007</v>
      </c>
      <c r="I222" s="2">
        <v>69526.850000000006</v>
      </c>
      <c r="J222" s="2">
        <v>74334.8</v>
      </c>
      <c r="K222" s="2">
        <v>60330.57</v>
      </c>
      <c r="L222" s="2">
        <v>58912.2</v>
      </c>
      <c r="M222" s="2">
        <v>61283.6</v>
      </c>
      <c r="N222" s="2">
        <v>54716.69</v>
      </c>
      <c r="O222" s="2">
        <v>64018.1</v>
      </c>
      <c r="P222" s="2">
        <v>77864.94</v>
      </c>
      <c r="Q222" s="2">
        <v>71228.86</v>
      </c>
      <c r="R222" s="2">
        <v>57286.33</v>
      </c>
      <c r="S222" s="2">
        <v>42709.08</v>
      </c>
      <c r="T222" s="2">
        <v>44454.15</v>
      </c>
      <c r="U222" s="2">
        <v>70847.97</v>
      </c>
      <c r="V222" s="2">
        <v>58607.040000000001</v>
      </c>
      <c r="W222" s="2">
        <v>52490.21</v>
      </c>
      <c r="X222" s="2">
        <v>102553.48</v>
      </c>
      <c r="Y222" s="2">
        <v>63785.46</v>
      </c>
      <c r="Z222" s="2">
        <v>61650.91</v>
      </c>
      <c r="AA222" s="2">
        <v>60764.51</v>
      </c>
      <c r="AB222" s="2">
        <v>69110.16</v>
      </c>
      <c r="AC222" s="2">
        <v>70682.83</v>
      </c>
      <c r="AD222" s="2">
        <v>57315.67</v>
      </c>
      <c r="AE222" s="2">
        <v>84382.11</v>
      </c>
      <c r="AF222" s="2">
        <v>87381.7</v>
      </c>
      <c r="AG222" s="2">
        <v>83633.320000000007</v>
      </c>
      <c r="AH222" s="2">
        <v>61808.4</v>
      </c>
      <c r="AI222" s="24">
        <f>SUM(E222:AH222)</f>
        <v>1980177.63</v>
      </c>
      <c r="AJ222" s="26">
        <v>1967822.8240148281</v>
      </c>
      <c r="AK222" s="33">
        <f>$AJ222/$AI222*E222</f>
        <v>66676.646422592603</v>
      </c>
      <c r="AL222" s="33">
        <f>$AJ222/$AI222*F222</f>
        <v>73733.162693418737</v>
      </c>
      <c r="AM222" s="33">
        <f>$AJ222/$AI222*G222</f>
        <v>42039.071314287859</v>
      </c>
      <c r="AN222" s="33">
        <f>$AJ222/$AI222*H222</f>
        <v>74435.980114817459</v>
      </c>
      <c r="AO222" s="33">
        <f>$AJ222/$AI222*I222</f>
        <v>69093.055208312478</v>
      </c>
      <c r="AP222" s="33">
        <f>$AJ222/$AI222*J222</f>
        <v>73871.007248262598</v>
      </c>
      <c r="AQ222" s="33">
        <f>$AJ222/$AI222*K222</f>
        <v>59954.153017991761</v>
      </c>
      <c r="AR222" s="33">
        <f>$AJ222/$AI222*L222</f>
        <v>58544.632570627691</v>
      </c>
      <c r="AS222" s="33">
        <f>$AJ222/$AI222*M222</f>
        <v>60901.236833887029</v>
      </c>
      <c r="AT222" s="33">
        <f>$AJ222/$AI222*N222</f>
        <v>54375.299369755994</v>
      </c>
      <c r="AU222" s="33">
        <f>$AJ222/$AI222*O222</f>
        <v>63618.675628642297</v>
      </c>
      <c r="AV222" s="33">
        <f>$AJ222/$AI222*P222</f>
        <v>77379.121853096163</v>
      </c>
      <c r="AW222" s="33">
        <f>$AJ222/$AI222*Q222</f>
        <v>70784.445957283562</v>
      </c>
      <c r="AX222" s="33">
        <f>$AJ222/$AI222*R222</f>
        <v>56928.906765826549</v>
      </c>
      <c r="AY222" s="33">
        <f>$AJ222/$AI222*S222</f>
        <v>42442.607745586552</v>
      </c>
      <c r="AZ222" s="33">
        <f>$AJ222/$AI222*T222</f>
        <v>44176.789832828668</v>
      </c>
      <c r="BA222" s="33">
        <f>$AJ222/$AI222*U222</f>
        <v>70405.932421889767</v>
      </c>
      <c r="BB222" s="33">
        <f>$AJ222/$AI222*V222</f>
        <v>58241.376537492746</v>
      </c>
      <c r="BC222" s="33">
        <f>$AJ222/$AI222*W222</f>
        <v>52162.710915652235</v>
      </c>
      <c r="BD222" s="33">
        <f>$AJ222/$AI222*X222</f>
        <v>101913.6240955051</v>
      </c>
      <c r="BE222" s="33">
        <f>$AJ222/$AI222*Y222</f>
        <v>63387.487125730666</v>
      </c>
      <c r="BF222" s="33">
        <f>$AJ222/$AI222*Z222</f>
        <v>61266.255098177237</v>
      </c>
      <c r="BG222" s="33">
        <f>$AJ222/$AI222*AA222</f>
        <v>60385.385561636343</v>
      </c>
      <c r="BH222" s="33">
        <f>$AJ222/$AI222*AB222</f>
        <v>68678.965037756047</v>
      </c>
      <c r="BI222" s="33">
        <f>$AJ222/$AI222*AC222</f>
        <v>70241.822770192593</v>
      </c>
      <c r="BJ222" s="33">
        <f>$AJ222/$AI222*AD222</f>
        <v>56958.063706487766</v>
      </c>
      <c r="BK222" s="33">
        <f>$AJ222/$AI222*AE222</f>
        <v>83855.629657087818</v>
      </c>
      <c r="BL222" s="33">
        <f>$AJ222/$AI222*AF222</f>
        <v>86836.504491375599</v>
      </c>
      <c r="BM222" s="33">
        <f>$AJ222/$AI222*AG222</f>
        <v>83111.51153855618</v>
      </c>
      <c r="BN222" s="33">
        <f>$AJ222/$AI222*AH222</f>
        <v>61422.762480070087</v>
      </c>
    </row>
    <row r="223" spans="1:66" x14ac:dyDescent="0.25">
      <c r="A223" s="1" t="s">
        <v>65</v>
      </c>
      <c r="B223" s="4">
        <v>5</v>
      </c>
      <c r="C223" s="4" t="s">
        <v>5</v>
      </c>
      <c r="D223" s="4" t="str">
        <f>A223&amp;C223</f>
        <v>KahawaVEGES</v>
      </c>
      <c r="E223" s="2">
        <v>30983.19</v>
      </c>
      <c r="F223" s="2">
        <v>32257.95</v>
      </c>
      <c r="G223" s="2">
        <v>40461.15</v>
      </c>
      <c r="H223" s="2">
        <v>32424.06</v>
      </c>
      <c r="I223" s="2">
        <v>39599.85</v>
      </c>
      <c r="J223" s="2">
        <v>40027.839999999997</v>
      </c>
      <c r="K223" s="2">
        <v>38626.33</v>
      </c>
      <c r="L223" s="2">
        <v>31359.85</v>
      </c>
      <c r="M223" s="2">
        <v>40865.03</v>
      </c>
      <c r="N223" s="2">
        <v>30114.84</v>
      </c>
      <c r="O223" s="2">
        <v>46514.03</v>
      </c>
      <c r="P223" s="2">
        <v>49335.44</v>
      </c>
      <c r="Q223" s="2">
        <v>31667.79</v>
      </c>
      <c r="R223" s="2">
        <v>24471.48</v>
      </c>
      <c r="S223" s="2">
        <v>33422.089999999997</v>
      </c>
      <c r="T223" s="2">
        <v>32399.88</v>
      </c>
      <c r="U223" s="2">
        <v>36794.379999999997</v>
      </c>
      <c r="V223" s="2">
        <v>40100.559999999998</v>
      </c>
      <c r="W223" s="2">
        <v>35341.65</v>
      </c>
      <c r="X223" s="2">
        <v>41537.42</v>
      </c>
      <c r="Y223" s="2">
        <v>30768.12</v>
      </c>
      <c r="Z223" s="2">
        <v>30440.46</v>
      </c>
      <c r="AA223" s="2">
        <v>40684.15</v>
      </c>
      <c r="AB223" s="2">
        <v>35046.92</v>
      </c>
      <c r="AC223" s="2">
        <v>40993.379999999997</v>
      </c>
      <c r="AD223" s="2">
        <v>37875.97</v>
      </c>
      <c r="AE223" s="2">
        <v>51644.5</v>
      </c>
      <c r="AF223" s="2">
        <v>53911.05</v>
      </c>
      <c r="AG223" s="2">
        <v>51684.73</v>
      </c>
      <c r="AH223" s="2">
        <v>29023.11</v>
      </c>
      <c r="AI223" s="24">
        <f>SUM(E223:AH223)</f>
        <v>1130377.2000000002</v>
      </c>
      <c r="AJ223" s="26">
        <v>984188.19761056185</v>
      </c>
      <c r="AK223" s="33">
        <f>$AJ223/$AI223*E223</f>
        <v>26976.20751933565</v>
      </c>
      <c r="AL223" s="33">
        <f>$AJ223/$AI223*F223</f>
        <v>28086.10583185119</v>
      </c>
      <c r="AM223" s="33">
        <f>$AJ223/$AI223*G223</f>
        <v>35228.405431169864</v>
      </c>
      <c r="AN223" s="33">
        <f>$AJ223/$AI223*H223</f>
        <v>28230.73321951001</v>
      </c>
      <c r="AO223" s="33">
        <f>$AJ223/$AI223*I223</f>
        <v>34478.495317446781</v>
      </c>
      <c r="AP223" s="33">
        <f>$AJ223/$AI223*J223</f>
        <v>34851.134385799662</v>
      </c>
      <c r="AQ223" s="33">
        <f>$AJ223/$AI223*K223</f>
        <v>33630.878350174411</v>
      </c>
      <c r="AR223" s="33">
        <f>$AJ223/$AI223*L223</f>
        <v>27304.154974850495</v>
      </c>
      <c r="AS223" s="33">
        <f>$AJ223/$AI223*M223</f>
        <v>35580.05258864168</v>
      </c>
      <c r="AT223" s="33">
        <f>$AJ223/$AI223*N223</f>
        <v>26220.159165392266</v>
      </c>
      <c r="AU223" s="33">
        <f>$AJ223/$AI223*O223</f>
        <v>40498.480816229836</v>
      </c>
      <c r="AV223" s="33">
        <f>$AJ223/$AI223*P223</f>
        <v>42955.00455239544</v>
      </c>
      <c r="AW223" s="33">
        <f>$AJ223/$AI223*Q223</f>
        <v>27572.269824983883</v>
      </c>
      <c r="AX223" s="33">
        <f>$AJ223/$AI223*R223</f>
        <v>21306.641529980352</v>
      </c>
      <c r="AY223" s="33">
        <f>$AJ223/$AI223*S223</f>
        <v>29099.690366612114</v>
      </c>
      <c r="AZ223" s="33">
        <f>$AJ223/$AI223*T223</f>
        <v>28209.680361562925</v>
      </c>
      <c r="BA223" s="33">
        <f>$AJ223/$AI223*U223</f>
        <v>32035.850098885661</v>
      </c>
      <c r="BB223" s="33">
        <f>$AJ223/$AI223*V223</f>
        <v>34914.449680667822</v>
      </c>
      <c r="BC223" s="33">
        <f>$AJ223/$AI223*W223</f>
        <v>30770.998224383249</v>
      </c>
      <c r="BD223" s="33">
        <f>$AJ223/$AI223*X223</f>
        <v>36165.483984631763</v>
      </c>
      <c r="BE223" s="33">
        <f>$AJ223/$AI223*Y223</f>
        <v>26788.952012359656</v>
      </c>
      <c r="BF223" s="33">
        <f>$AJ223/$AI223*Z223</f>
        <v>26503.667503056855</v>
      </c>
      <c r="BG223" s="33">
        <f>$AJ223/$AI223*AA223</f>
        <v>35422.565370053235</v>
      </c>
      <c r="BH223" s="33">
        <f>$AJ223/$AI223*AB223</f>
        <v>30514.384956279679</v>
      </c>
      <c r="BI223" s="33">
        <f>$AJ223/$AI223*AC223</f>
        <v>35691.803387546075</v>
      </c>
      <c r="BJ223" s="33">
        <f>$AJ223/$AI223*AD223</f>
        <v>32977.560629364874</v>
      </c>
      <c r="BK223" s="33">
        <f>$AJ223/$AI223*AE223</f>
        <v>44965.439298933714</v>
      </c>
      <c r="BL223" s="33">
        <f>$AJ223/$AI223*AF223</f>
        <v>46938.861762952118</v>
      </c>
      <c r="BM223" s="33">
        <f>$AJ223/$AI223*AG223</f>
        <v>45000.466448446175</v>
      </c>
      <c r="BN223" s="33">
        <f>$AJ223/$AI223*AH223</f>
        <v>25269.620017064277</v>
      </c>
    </row>
    <row r="224" spans="1:66" x14ac:dyDescent="0.25">
      <c r="A224" s="1" t="s">
        <v>8</v>
      </c>
      <c r="B224" s="4">
        <v>6</v>
      </c>
      <c r="C224" s="4" t="s">
        <v>5</v>
      </c>
      <c r="D224" s="4" t="str">
        <f>A224&amp;C224</f>
        <v>KIKUYUVEGES</v>
      </c>
      <c r="E224" s="2">
        <v>11476.53</v>
      </c>
      <c r="F224" s="2">
        <v>13749.21</v>
      </c>
      <c r="G224" s="2">
        <v>9619.77</v>
      </c>
      <c r="H224" s="2">
        <v>10615.64</v>
      </c>
      <c r="I224" s="2">
        <v>17310.12</v>
      </c>
      <c r="J224" s="2">
        <v>10851.59</v>
      </c>
      <c r="K224" s="2">
        <v>10297.299999999999</v>
      </c>
      <c r="L224" s="2">
        <v>8403.64</v>
      </c>
      <c r="M224" s="2">
        <v>5410.84</v>
      </c>
      <c r="N224" s="2">
        <v>8625.91</v>
      </c>
      <c r="O224" s="2">
        <v>9519.4699999999993</v>
      </c>
      <c r="P224" s="2">
        <v>13145.89</v>
      </c>
      <c r="Q224" s="2">
        <v>20652.740000000002</v>
      </c>
      <c r="R224" s="2">
        <v>15641.21</v>
      </c>
      <c r="S224" s="2">
        <v>9409.36</v>
      </c>
      <c r="T224" s="2">
        <v>6023.15</v>
      </c>
      <c r="U224" s="2">
        <v>9648.76</v>
      </c>
      <c r="V224" s="2">
        <v>12600.97</v>
      </c>
      <c r="W224" s="2">
        <v>10140.030000000001</v>
      </c>
      <c r="X224" s="2">
        <v>9042.89</v>
      </c>
      <c r="Y224" s="2">
        <v>10949.56</v>
      </c>
      <c r="Z224" s="2">
        <v>11205.28</v>
      </c>
      <c r="AA224" s="2">
        <v>12295.57</v>
      </c>
      <c r="AB224" s="2">
        <v>10345.52</v>
      </c>
      <c r="AC224" s="2">
        <v>10121.73</v>
      </c>
      <c r="AD224" s="2">
        <v>13573.22</v>
      </c>
      <c r="AE224" s="2">
        <v>15562.62</v>
      </c>
      <c r="AF224" s="2">
        <v>12831.6</v>
      </c>
      <c r="AG224" s="2">
        <v>13958.63</v>
      </c>
      <c r="AH224" s="2">
        <v>11841.24</v>
      </c>
      <c r="AI224" s="24">
        <f>SUM(E224:AH224)</f>
        <v>344869.98999999987</v>
      </c>
      <c r="AJ224" s="26">
        <v>266445.97098171682</v>
      </c>
      <c r="AK224" s="33">
        <f>$AJ224/$AI224*E224</f>
        <v>8866.7476672899375</v>
      </c>
      <c r="AL224" s="33">
        <f>$AJ224/$AI224*F224</f>
        <v>10622.616391416173</v>
      </c>
      <c r="AM224" s="33">
        <f>$AJ224/$AI224*G224</f>
        <v>7432.2180317017182</v>
      </c>
      <c r="AN224" s="33">
        <f>$AJ224/$AI224*H224</f>
        <v>8201.6255093473155</v>
      </c>
      <c r="AO224" s="33">
        <f>$AJ224/$AI224*I224</f>
        <v>13373.769434707954</v>
      </c>
      <c r="AP224" s="33">
        <f>$AJ224/$AI224*J224</f>
        <v>8383.9200802757277</v>
      </c>
      <c r="AQ224" s="33">
        <f>$AJ224/$AI224*K224</f>
        <v>7955.6765637683739</v>
      </c>
      <c r="AR224" s="33">
        <f>$AJ224/$AI224*L224</f>
        <v>6492.6380505905881</v>
      </c>
      <c r="AS224" s="33">
        <f>$AJ224/$AI224*M224</f>
        <v>4180.4058324318485</v>
      </c>
      <c r="AT224" s="33">
        <f>$AJ224/$AI224*N224</f>
        <v>6664.3634766565274</v>
      </c>
      <c r="AU224" s="33">
        <f>$AJ224/$AI224*O224</f>
        <v>7354.7264213430826</v>
      </c>
      <c r="AV224" s="33">
        <f>$AJ224/$AI224*P224</f>
        <v>10156.492379835203</v>
      </c>
      <c r="AW224" s="33">
        <f>$AJ224/$AI224*Q224</f>
        <v>15956.271993202265</v>
      </c>
      <c r="AX224" s="33">
        <f>$AJ224/$AI224*R224</f>
        <v>12084.372391401585</v>
      </c>
      <c r="AY224" s="33">
        <f>$AJ224/$AI224*S224</f>
        <v>7269.6556215764913</v>
      </c>
      <c r="AZ224" s="33">
        <f>$AJ224/$AI224*T224</f>
        <v>4653.4755028076761</v>
      </c>
      <c r="BA224" s="33">
        <f>$AJ224/$AI224*U224</f>
        <v>7454.6156566697819</v>
      </c>
      <c r="BB224" s="33">
        <f>$AJ224/$AI224*V224</f>
        <v>9735.4881094799966</v>
      </c>
      <c r="BC224" s="33">
        <f>$AJ224/$AI224*W224</f>
        <v>7834.1700277653599</v>
      </c>
      <c r="BD224" s="33">
        <f>$AJ224/$AI224*X224</f>
        <v>6986.5215194017264</v>
      </c>
      <c r="BE224" s="33">
        <f>$AJ224/$AI224*Y224</f>
        <v>8459.6115365751848</v>
      </c>
      <c r="BF224" s="33">
        <f>$AJ224/$AI224*Z224</f>
        <v>8657.1803760658131</v>
      </c>
      <c r="BG224" s="33">
        <f>$AJ224/$AI224*AA224</f>
        <v>9499.5365860151214</v>
      </c>
      <c r="BH224" s="33">
        <f>$AJ224/$AI224*AB224</f>
        <v>7992.9312542119778</v>
      </c>
      <c r="BI224" s="33">
        <f>$AJ224/$AI224*AC224</f>
        <v>7820.0314787168745</v>
      </c>
      <c r="BJ224" s="33">
        <f>$AJ224/$AI224*AD224</f>
        <v>10486.646815075037</v>
      </c>
      <c r="BK224" s="33">
        <f>$AJ224/$AI224*AE224</f>
        <v>12023.653890323967</v>
      </c>
      <c r="BL224" s="33">
        <f>$AJ224/$AI224*AF224</f>
        <v>9913.6724574063373</v>
      </c>
      <c r="BM224" s="33">
        <f>$AJ224/$AI224*AG224</f>
        <v>10784.413929215827</v>
      </c>
      <c r="BN224" s="33">
        <f>$AJ224/$AI224*AH224</f>
        <v>9148.5219964414591</v>
      </c>
    </row>
    <row r="225" spans="1:66" x14ac:dyDescent="0.25">
      <c r="A225" s="1" t="s">
        <v>10</v>
      </c>
      <c r="B225" s="4">
        <v>7</v>
      </c>
      <c r="C225" s="4" t="s">
        <v>5</v>
      </c>
      <c r="D225" s="4" t="str">
        <f>A225&amp;C225</f>
        <v>RUIRUVEGES</v>
      </c>
      <c r="E225" s="2">
        <v>72498.179999999993</v>
      </c>
      <c r="F225" s="2">
        <v>77860.75</v>
      </c>
      <c r="G225" s="2">
        <v>45609.34</v>
      </c>
      <c r="H225" s="2">
        <v>47370.59</v>
      </c>
      <c r="I225" s="2">
        <v>66830.03</v>
      </c>
      <c r="J225" s="2">
        <v>70215.679999999993</v>
      </c>
      <c r="K225" s="2">
        <v>77916.5</v>
      </c>
      <c r="L225" s="2">
        <v>76910.23</v>
      </c>
      <c r="M225" s="2">
        <v>82258.37</v>
      </c>
      <c r="N225" s="2">
        <v>75214.87</v>
      </c>
      <c r="O225" s="2">
        <v>67996.73</v>
      </c>
      <c r="P225" s="2">
        <v>82352.149999999994</v>
      </c>
      <c r="Q225" s="2">
        <v>64423.67</v>
      </c>
      <c r="R225" s="2">
        <v>58519.45</v>
      </c>
      <c r="S225" s="2">
        <v>64611.82</v>
      </c>
      <c r="T225" s="2">
        <v>66899.539999999994</v>
      </c>
      <c r="U225" s="2">
        <v>55016.51</v>
      </c>
      <c r="V225" s="2">
        <v>58706.84</v>
      </c>
      <c r="W225" s="2">
        <v>78617.8</v>
      </c>
      <c r="X225" s="2">
        <v>77159.7</v>
      </c>
      <c r="Y225" s="2">
        <v>79604.649999999994</v>
      </c>
      <c r="Z225" s="2">
        <v>66978.91</v>
      </c>
      <c r="AA225" s="2">
        <v>58408.83</v>
      </c>
      <c r="AB225" s="2">
        <v>63543.49</v>
      </c>
      <c r="AC225" s="2">
        <v>65588.399999999994</v>
      </c>
      <c r="AD225" s="2">
        <v>78829.679999999993</v>
      </c>
      <c r="AE225" s="2">
        <v>82264.7</v>
      </c>
      <c r="AF225" s="2">
        <v>79331.27</v>
      </c>
      <c r="AG225" s="2">
        <v>78359.429999999993</v>
      </c>
      <c r="AH225" s="2">
        <v>86713.99</v>
      </c>
      <c r="AI225" s="24">
        <f>SUM(E225:AH225)</f>
        <v>2106612.0999999996</v>
      </c>
      <c r="AJ225" s="26">
        <v>1869611.8469328482</v>
      </c>
      <c r="AK225" s="33">
        <f>$AJ225/$AI225*E225</f>
        <v>64341.914778268903</v>
      </c>
      <c r="AL225" s="33">
        <f>$AJ225/$AI225*F225</f>
        <v>69101.179382325194</v>
      </c>
      <c r="AM225" s="33">
        <f>$AJ225/$AI225*G225</f>
        <v>40478.150863553965</v>
      </c>
      <c r="AN225" s="33">
        <f>$AJ225/$AI225*H225</f>
        <v>42041.254894623795</v>
      </c>
      <c r="AO225" s="33">
        <f>$AJ225/$AI225*I225</f>
        <v>59311.448851393987</v>
      </c>
      <c r="AP225" s="33">
        <f>$AJ225/$AI225*J225</f>
        <v>62316.202953759668</v>
      </c>
      <c r="AQ225" s="33">
        <f>$AJ225/$AI225*K225</f>
        <v>69150.657338170276</v>
      </c>
      <c r="AR225" s="33">
        <f>$AJ225/$AI225*L225</f>
        <v>68257.59576636352</v>
      </c>
      <c r="AS225" s="33">
        <f>$AJ225/$AI225*M225</f>
        <v>73004.053789202866</v>
      </c>
      <c r="AT225" s="33">
        <f>$AJ225/$AI225*N225</f>
        <v>66752.968910372292</v>
      </c>
      <c r="AU225" s="33">
        <f>$AJ225/$AI225*O225</f>
        <v>60346.891561428994</v>
      </c>
      <c r="AV225" s="33">
        <f>$AJ225/$AI225*P225</f>
        <v>73087.283254658498</v>
      </c>
      <c r="AW225" s="33">
        <f>$AJ225/$AI225*Q225</f>
        <v>57175.811652696924</v>
      </c>
      <c r="AX225" s="33">
        <f>$AJ225/$AI225*R225</f>
        <v>51935.834317098284</v>
      </c>
      <c r="AY225" s="33">
        <f>$AJ225/$AI225*S225</f>
        <v>57342.794206818027</v>
      </c>
      <c r="AZ225" s="33">
        <f>$AJ225/$AI225*T225</f>
        <v>59373.138765488889</v>
      </c>
      <c r="BA225" s="33">
        <f>$AJ225/$AI225*U225</f>
        <v>48826.985695610281</v>
      </c>
      <c r="BB225" s="33">
        <f>$AJ225/$AI225*V225</f>
        <v>52102.142373525348</v>
      </c>
      <c r="BC225" s="33">
        <f>$AJ225/$AI225*W225</f>
        <v>69773.05896030755</v>
      </c>
      <c r="BD225" s="33">
        <f>$AJ225/$AI225*X225</f>
        <v>68478.999634429376</v>
      </c>
      <c r="BE225" s="33">
        <f>$AJ225/$AI225*Y225</f>
        <v>70648.885341037851</v>
      </c>
      <c r="BF225" s="33">
        <f>$AJ225/$AI225*Z225</f>
        <v>59443.579399666909</v>
      </c>
      <c r="BG225" s="33">
        <f>$AJ225/$AI225*AA225</f>
        <v>51837.659402738063</v>
      </c>
      <c r="BH225" s="33">
        <f>$AJ225/$AI225*AB225</f>
        <v>56394.654573311804</v>
      </c>
      <c r="BI225" s="33">
        <f>$AJ225/$AI225*AC225</f>
        <v>58209.505993709252</v>
      </c>
      <c r="BJ225" s="33">
        <f>$AJ225/$AI225*AD225</f>
        <v>69961.101817427814</v>
      </c>
      <c r="BK225" s="33">
        <f>$AJ225/$AI225*AE225</f>
        <v>73009.671644996575</v>
      </c>
      <c r="BL225" s="33">
        <f>$AJ225/$AI225*AF225</f>
        <v>70406.261420518989</v>
      </c>
      <c r="BM225" s="33">
        <f>$AJ225/$AI225*AG225</f>
        <v>69543.756369245792</v>
      </c>
      <c r="BN225" s="33">
        <f>$AJ225/$AI225*AH225</f>
        <v>76958.403020098747</v>
      </c>
    </row>
    <row r="226" spans="1:66" x14ac:dyDescent="0.25">
      <c r="A226" s="1" t="s">
        <v>11</v>
      </c>
      <c r="B226" s="4">
        <v>8</v>
      </c>
      <c r="C226" s="4" t="s">
        <v>5</v>
      </c>
      <c r="D226" s="4" t="str">
        <f>A226&amp;C226</f>
        <v>LAVINGTONVEGES</v>
      </c>
      <c r="E226" s="2">
        <v>389405.87</v>
      </c>
      <c r="F226" s="2">
        <v>393043.9</v>
      </c>
      <c r="G226" s="2">
        <v>381312.99</v>
      </c>
      <c r="H226" s="2">
        <v>392124.2</v>
      </c>
      <c r="I226" s="2">
        <v>481845.08</v>
      </c>
      <c r="J226" s="2">
        <v>463272.28</v>
      </c>
      <c r="K226" s="2">
        <v>392919.17</v>
      </c>
      <c r="L226" s="2">
        <v>431826.74</v>
      </c>
      <c r="M226" s="2">
        <v>405138.46</v>
      </c>
      <c r="N226" s="2">
        <v>414102.34</v>
      </c>
      <c r="O226" s="2">
        <v>405587.54</v>
      </c>
      <c r="P226" s="2">
        <v>458929.04</v>
      </c>
      <c r="Q226" s="2">
        <v>435749.1</v>
      </c>
      <c r="R226" s="2">
        <v>466611.28</v>
      </c>
      <c r="S226" s="2">
        <v>451801.06</v>
      </c>
      <c r="T226" s="2">
        <v>368970.12</v>
      </c>
      <c r="U226" s="2">
        <v>439080.67</v>
      </c>
      <c r="V226" s="2">
        <v>389110.57</v>
      </c>
      <c r="W226" s="2">
        <v>495514.61</v>
      </c>
      <c r="X226" s="2">
        <v>403396.22</v>
      </c>
      <c r="Y226" s="2">
        <v>457895.57</v>
      </c>
      <c r="Z226" s="2">
        <v>432429.39</v>
      </c>
      <c r="AA226" s="2">
        <v>436373.64</v>
      </c>
      <c r="AB226" s="2">
        <v>407717.53</v>
      </c>
      <c r="AC226" s="2">
        <v>425548.53</v>
      </c>
      <c r="AD226" s="2">
        <v>472359.2</v>
      </c>
      <c r="AE226" s="2">
        <v>463235.59</v>
      </c>
      <c r="AF226" s="2">
        <v>459978.44</v>
      </c>
      <c r="AG226" s="2">
        <v>383813.51</v>
      </c>
      <c r="AH226" s="2">
        <v>442140.47</v>
      </c>
      <c r="AI226" s="24">
        <f>SUM(E226:AH226)</f>
        <v>12841233.109999999</v>
      </c>
      <c r="AJ226" s="26">
        <v>10441043.628178572</v>
      </c>
      <c r="AK226" s="33">
        <f>$AJ226/$AI226*E226</f>
        <v>316620.96956815029</v>
      </c>
      <c r="AL226" s="33">
        <f>$AJ226/$AI226*F226</f>
        <v>319579.00557802868</v>
      </c>
      <c r="AM226" s="33">
        <f>$AJ226/$AI226*G226</f>
        <v>310040.75157554867</v>
      </c>
      <c r="AN226" s="33">
        <f>$AJ226/$AI226*H226</f>
        <v>318831.20918319817</v>
      </c>
      <c r="AO226" s="33">
        <f>$AJ226/$AI226*I226</f>
        <v>391782.11774579296</v>
      </c>
      <c r="AP226" s="33">
        <f>$AJ226/$AI226*J226</f>
        <v>376680.80983896728</v>
      </c>
      <c r="AQ226" s="33">
        <f>$AJ226/$AI226*K226</f>
        <v>319477.58919841878</v>
      </c>
      <c r="AR226" s="33">
        <f>$AJ226/$AI226*L226</f>
        <v>351112.84045166947</v>
      </c>
      <c r="AS226" s="33">
        <f>$AJ226/$AI226*M226</f>
        <v>329412.93877913879</v>
      </c>
      <c r="AT226" s="33">
        <f>$AJ226/$AI226*N226</f>
        <v>336701.35581479507</v>
      </c>
      <c r="AU226" s="33">
        <f>$AJ226/$AI226*O226</f>
        <v>329778.0800262742</v>
      </c>
      <c r="AV226" s="33">
        <f>$AJ226/$AI226*P226</f>
        <v>373149.37653040624</v>
      </c>
      <c r="AW226" s="33">
        <f>$AJ226/$AI226*Q226</f>
        <v>354302.06157510896</v>
      </c>
      <c r="AX226" s="33">
        <f>$AJ226/$AI226*R226</f>
        <v>379395.70835189428</v>
      </c>
      <c r="AY226" s="33">
        <f>$AJ226/$AI226*S226</f>
        <v>367353.70647884184</v>
      </c>
      <c r="AZ226" s="33">
        <f>$AJ226/$AI226*T226</f>
        <v>300004.92066562007</v>
      </c>
      <c r="BA226" s="33">
        <f>$AJ226/$AI226*U226</f>
        <v>357010.91884935641</v>
      </c>
      <c r="BB226" s="33">
        <f>$AJ226/$AI226*V226</f>
        <v>316380.86488684831</v>
      </c>
      <c r="BC226" s="33">
        <f>$AJ226/$AI226*W226</f>
        <v>402896.63906038151</v>
      </c>
      <c r="BD226" s="33">
        <f>$AJ226/$AI226*X226</f>
        <v>327996.34555207618</v>
      </c>
      <c r="BE226" s="33">
        <f>$AJ226/$AI226*Y226</f>
        <v>372309.07519283373</v>
      </c>
      <c r="BF226" s="33">
        <f>$AJ226/$AI226*Z226</f>
        <v>351602.84751630423</v>
      </c>
      <c r="BG226" s="33">
        <f>$AJ226/$AI226*AA226</f>
        <v>354809.8671208602</v>
      </c>
      <c r="BH226" s="33">
        <f>$AJ226/$AI226*AB226</f>
        <v>331509.94785602851</v>
      </c>
      <c r="BI226" s="33">
        <f>$AJ226/$AI226*AC226</f>
        <v>346008.10759966483</v>
      </c>
      <c r="BJ226" s="33">
        <f>$AJ226/$AI226*AD226</f>
        <v>384069.26913668716</v>
      </c>
      <c r="BK226" s="33">
        <f>$AJ226/$AI226*AE226</f>
        <v>376650.97766573</v>
      </c>
      <c r="BL226" s="33">
        <f>$AJ226/$AI226*AF226</f>
        <v>374002.63034875476</v>
      </c>
      <c r="BM226" s="33">
        <f>$AJ226/$AI226*AG226</f>
        <v>312073.89264459454</v>
      </c>
      <c r="BN226" s="33">
        <f>$AJ226/$AI226*AH226</f>
        <v>359498.80338659929</v>
      </c>
    </row>
    <row r="227" spans="1:66" x14ac:dyDescent="0.25">
      <c r="A227" s="1" t="s">
        <v>16</v>
      </c>
      <c r="B227" s="4">
        <v>9</v>
      </c>
      <c r="C227" s="4" t="s">
        <v>5</v>
      </c>
      <c r="D227" s="4" t="str">
        <f>A227&amp;C227</f>
        <v>PIPELINEVEGES</v>
      </c>
      <c r="E227" s="1"/>
      <c r="F227" s="1"/>
      <c r="G227" s="32">
        <v>0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32">
        <v>0</v>
      </c>
      <c r="AH227" s="1"/>
      <c r="AI227" s="24"/>
      <c r="AJ227" s="26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</row>
    <row r="228" spans="1:66" x14ac:dyDescent="0.25">
      <c r="A228" s="1" t="s">
        <v>17</v>
      </c>
      <c r="B228" s="4">
        <v>10</v>
      </c>
      <c r="C228" s="4" t="s">
        <v>5</v>
      </c>
      <c r="D228" s="4" t="str">
        <f>A228&amp;C228</f>
        <v>DONHOLMVEGES</v>
      </c>
      <c r="E228" s="2">
        <v>21027.119999999999</v>
      </c>
      <c r="F228" s="2">
        <v>20213.060000000001</v>
      </c>
      <c r="G228" s="2">
        <v>20828.25</v>
      </c>
      <c r="H228" s="2">
        <v>28057.75</v>
      </c>
      <c r="I228" s="2">
        <v>18653.240000000002</v>
      </c>
      <c r="J228" s="2">
        <v>34204.959999999999</v>
      </c>
      <c r="K228" s="2">
        <v>23053.4</v>
      </c>
      <c r="L228" s="2">
        <v>20358.23</v>
      </c>
      <c r="M228" s="2">
        <v>25703.37</v>
      </c>
      <c r="N228" s="2">
        <v>18368.04</v>
      </c>
      <c r="O228" s="2">
        <v>22744.43</v>
      </c>
      <c r="P228" s="2">
        <v>25356.3</v>
      </c>
      <c r="Q228" s="2">
        <v>28293.34</v>
      </c>
      <c r="R228" s="2">
        <v>20018.759999999998</v>
      </c>
      <c r="S228" s="2">
        <v>29028.32</v>
      </c>
      <c r="T228" s="2">
        <v>22912.53</v>
      </c>
      <c r="U228" s="2">
        <v>23962.09</v>
      </c>
      <c r="V228" s="2">
        <v>30515.17</v>
      </c>
      <c r="W228" s="2">
        <v>29239.89</v>
      </c>
      <c r="X228" s="2">
        <v>26223.85</v>
      </c>
      <c r="Y228" s="2">
        <v>19998.759999999998</v>
      </c>
      <c r="Z228" s="2">
        <v>25736.52</v>
      </c>
      <c r="AA228" s="2">
        <v>25123.73</v>
      </c>
      <c r="AB228" s="2">
        <v>23875.86</v>
      </c>
      <c r="AC228" s="2">
        <v>31085.99</v>
      </c>
      <c r="AD228" s="2">
        <v>30033.46</v>
      </c>
      <c r="AE228" s="2">
        <v>38816.57</v>
      </c>
      <c r="AF228" s="2">
        <v>27306.28</v>
      </c>
      <c r="AG228" s="2">
        <v>39551.61</v>
      </c>
      <c r="AH228" s="2">
        <v>18006.07</v>
      </c>
      <c r="AI228" s="24">
        <f>SUM(E228:AH228)</f>
        <v>768296.95</v>
      </c>
      <c r="AJ228" s="26">
        <v>808446.26874451817</v>
      </c>
      <c r="AK228" s="33">
        <f>$AJ228/$AI228*E228</f>
        <v>22125.945842220553</v>
      </c>
      <c r="AL228" s="33">
        <f>$AJ228/$AI228*F228</f>
        <v>21269.345058455681</v>
      </c>
      <c r="AM228" s="33">
        <f>$AJ228/$AI228*G228</f>
        <v>21916.683382613988</v>
      </c>
      <c r="AN228" s="33">
        <f>$AJ228/$AI228*H228</f>
        <v>29523.979363534512</v>
      </c>
      <c r="AO228" s="33">
        <f>$AJ228/$AI228*I228</f>
        <v>19628.012681810073</v>
      </c>
      <c r="AP228" s="33">
        <f>$AJ228/$AI228*J228</f>
        <v>35992.427517193049</v>
      </c>
      <c r="AQ228" s="33">
        <f>$AJ228/$AI228*K228</f>
        <v>24258.114277135785</v>
      </c>
      <c r="AR228" s="33">
        <f>$AJ228/$AI228*L228</f>
        <v>21422.101287454952</v>
      </c>
      <c r="AS228" s="33">
        <f>$AJ228/$AI228*M228</f>
        <v>27046.565225411588</v>
      </c>
      <c r="AT228" s="33">
        <f>$AJ228/$AI228*N228</f>
        <v>19327.908827635019</v>
      </c>
      <c r="AU228" s="33">
        <f>$AJ228/$AI228*O228</f>
        <v>23932.998260920966</v>
      </c>
      <c r="AV228" s="33">
        <f>$AJ228/$AI228*P228</f>
        <v>26681.358196419533</v>
      </c>
      <c r="AW228" s="33">
        <f>$AJ228/$AI228*Q228</f>
        <v>29771.88072049489</v>
      </c>
      <c r="AX228" s="33">
        <f>$AJ228/$AI228*R228</f>
        <v>21064.891415867278</v>
      </c>
      <c r="AY228" s="33">
        <f>$AJ228/$AI228*S228</f>
        <v>30545.26897695204</v>
      </c>
      <c r="AZ228" s="33">
        <f>$AJ228/$AI228*T228</f>
        <v>24109.882755615305</v>
      </c>
      <c r="BA228" s="33">
        <f>$AJ228/$AI228*U228</f>
        <v>25214.290193160774</v>
      </c>
      <c r="BB228" s="33">
        <f>$AJ228/$AI228*V228</f>
        <v>32109.818119940028</v>
      </c>
      <c r="BC228" s="33">
        <f>$AJ228/$AI228*W228</f>
        <v>30767.895107484354</v>
      </c>
      <c r="BD228" s="33">
        <f>$AJ228/$AI228*X228</f>
        <v>27594.244236705526</v>
      </c>
      <c r="BE228" s="33">
        <f>$AJ228/$AI228*Y228</f>
        <v>21043.846264803109</v>
      </c>
      <c r="BF228" s="33">
        <f>$AJ228/$AI228*Z228</f>
        <v>27081.447563300451</v>
      </c>
      <c r="BG228" s="33">
        <f>$AJ228/$AI228*AA228</f>
        <v>26436.634657269842</v>
      </c>
      <c r="BH228" s="33">
        <f>$AJ228/$AI228*AB228</f>
        <v>25123.55402434761</v>
      </c>
      <c r="BI228" s="33">
        <f>$AJ228/$AI228*AC228</f>
        <v>32710.467776462483</v>
      </c>
      <c r="BJ228" s="33">
        <f>$AJ228/$AI228*AD228</f>
        <v>31602.935133983985</v>
      </c>
      <c r="BK228" s="33">
        <f>$AJ228/$AI228*AE228</f>
        <v>40845.028972144697</v>
      </c>
      <c r="BL228" s="33">
        <f>$AJ228/$AI228*AF228</f>
        <v>28733.239380024952</v>
      </c>
      <c r="BM228" s="33">
        <f>$AJ228/$AI228*AG228</f>
        <v>41618.480364055038</v>
      </c>
      <c r="BN228" s="33">
        <f>$AJ228/$AI228*AH228</f>
        <v>18947.023161100155</v>
      </c>
    </row>
    <row r="229" spans="1:66" x14ac:dyDescent="0.25">
      <c r="A229" s="1" t="s">
        <v>19</v>
      </c>
      <c r="B229" s="4">
        <v>11</v>
      </c>
      <c r="C229" s="4" t="s">
        <v>5</v>
      </c>
      <c r="D229" s="4" t="str">
        <f>A229&amp;C229</f>
        <v>OUTERINGVEGES</v>
      </c>
      <c r="E229" s="2">
        <v>10595.31</v>
      </c>
      <c r="F229" s="2">
        <v>3874.57</v>
      </c>
      <c r="G229" s="2">
        <v>4924.84</v>
      </c>
      <c r="H229" s="2">
        <v>5237.54</v>
      </c>
      <c r="I229" s="2">
        <v>4978.1899999999996</v>
      </c>
      <c r="J229" s="2">
        <v>9368.4699999999993</v>
      </c>
      <c r="K229" s="2">
        <v>3685.01</v>
      </c>
      <c r="L229" s="2">
        <v>3688.92</v>
      </c>
      <c r="M229" s="2">
        <v>5739.45</v>
      </c>
      <c r="N229" s="2">
        <v>8888.68</v>
      </c>
      <c r="O229" s="2">
        <v>4307.96</v>
      </c>
      <c r="P229" s="2">
        <v>5186.09</v>
      </c>
      <c r="Q229" s="2">
        <v>4896.68</v>
      </c>
      <c r="R229" s="2">
        <v>7521.27</v>
      </c>
      <c r="S229" s="2">
        <v>4898.0200000000004</v>
      </c>
      <c r="T229" s="2">
        <v>3998.77</v>
      </c>
      <c r="U229" s="2">
        <v>7605.44</v>
      </c>
      <c r="V229" s="2">
        <v>5429.17</v>
      </c>
      <c r="W229" s="2">
        <v>7229.21</v>
      </c>
      <c r="X229" s="2">
        <v>4888.29</v>
      </c>
      <c r="Y229" s="2">
        <v>7976.34</v>
      </c>
      <c r="Z229" s="2">
        <v>4029.37</v>
      </c>
      <c r="AA229" s="2">
        <v>10397.77</v>
      </c>
      <c r="AB229" s="2">
        <v>4172.08</v>
      </c>
      <c r="AC229" s="2">
        <v>6795.38</v>
      </c>
      <c r="AD229" s="2">
        <v>4935.2700000000004</v>
      </c>
      <c r="AE229" s="2">
        <v>5841.27</v>
      </c>
      <c r="AF229" s="2">
        <v>9633.9599999999991</v>
      </c>
      <c r="AG229" s="2">
        <v>8405.5499999999993</v>
      </c>
      <c r="AH229" s="2">
        <v>3306.84</v>
      </c>
      <c r="AI229" s="24">
        <f>SUM(E229:AH229)</f>
        <v>182435.70999999993</v>
      </c>
      <c r="AJ229" s="26">
        <v>140075.6461208323</v>
      </c>
      <c r="AK229" s="33">
        <f>$AJ229/$AI229*E229</f>
        <v>8135.1665970467966</v>
      </c>
      <c r="AL229" s="33">
        <f>$AJ229/$AI229*F229</f>
        <v>2974.9268725426259</v>
      </c>
      <c r="AM229" s="33">
        <f>$AJ229/$AI229*G229</f>
        <v>3781.3328598974404</v>
      </c>
      <c r="AN229" s="33">
        <f>$AJ229/$AI229*H229</f>
        <v>4021.4265046229398</v>
      </c>
      <c r="AO229" s="33">
        <f>$AJ229/$AI229*I229</f>
        <v>3822.2954308795488</v>
      </c>
      <c r="AP229" s="33">
        <f>$AJ229/$AI229*J229</f>
        <v>7193.18870419412</v>
      </c>
      <c r="AQ229" s="33">
        <f>$AJ229/$AI229*K229</f>
        <v>2829.381137671613</v>
      </c>
      <c r="AR229" s="33">
        <f>$AJ229/$AI229*L229</f>
        <v>2832.3832679910142</v>
      </c>
      <c r="AS229" s="33">
        <f>$AJ229/$AI229*M229</f>
        <v>4406.797151326411</v>
      </c>
      <c r="AT229" s="33">
        <f>$AJ229/$AI229*N229</f>
        <v>6824.8019763308412</v>
      </c>
      <c r="AU229" s="33">
        <f>$AJ229/$AI229*O229</f>
        <v>3307.6872968713251</v>
      </c>
      <c r="AV229" s="33">
        <f>$AJ229/$AI229*P229</f>
        <v>3981.9227693459111</v>
      </c>
      <c r="AW229" s="33">
        <f>$AJ229/$AI229*Q229</f>
        <v>3759.7113791316265</v>
      </c>
      <c r="AX229" s="33">
        <f>$AJ229/$AI229*R229</f>
        <v>5774.8932755502356</v>
      </c>
      <c r="AY229" s="33">
        <f>$AJ229/$AI229*S229</f>
        <v>3760.7402422078408</v>
      </c>
      <c r="AZ229" s="33">
        <f>$AJ229/$AI229*T229</f>
        <v>3070.288659158894</v>
      </c>
      <c r="BA229" s="33">
        <f>$AJ229/$AI229*U229</f>
        <v>5839.5196972852691</v>
      </c>
      <c r="BB229" s="33">
        <f>$AJ229/$AI229*V229</f>
        <v>4168.5616026042235</v>
      </c>
      <c r="BC229" s="33">
        <f>$AJ229/$AI229*W229</f>
        <v>5550.6471934314968</v>
      </c>
      <c r="BD229" s="33">
        <f>$AJ229/$AI229*X229</f>
        <v>3753.2694677813001</v>
      </c>
      <c r="BE229" s="33">
        <f>$AJ229/$AI229*Y229</f>
        <v>6124.2997830821605</v>
      </c>
      <c r="BF229" s="33">
        <f>$AJ229/$AI229*Z229</f>
        <v>3093.7835920933367</v>
      </c>
      <c r="BG229" s="33">
        <f>$AJ229/$AI229*AA229</f>
        <v>7983.4937522144492</v>
      </c>
      <c r="BH229" s="33">
        <f>$AJ229/$AI229*AB229</f>
        <v>3203.3575097101452</v>
      </c>
      <c r="BI229" s="33">
        <f>$AJ229/$AI229*AC229</f>
        <v>5217.5489334658323</v>
      </c>
      <c r="BJ229" s="33">
        <f>$AJ229/$AI229*AD229</f>
        <v>3789.3411001100626</v>
      </c>
      <c r="BK229" s="33">
        <f>$AJ229/$AI229*AE229</f>
        <v>4484.9753889533713</v>
      </c>
      <c r="BL229" s="33">
        <f>$AJ229/$AI229*AF229</f>
        <v>7397.0341206897156</v>
      </c>
      <c r="BM229" s="33">
        <f>$AJ229/$AI229*AG229</f>
        <v>6453.8507688596837</v>
      </c>
      <c r="BN229" s="33">
        <f>$AJ229/$AI229*AH229</f>
        <v>2539.0190857821271</v>
      </c>
    </row>
    <row r="230" spans="1:66" x14ac:dyDescent="0.25">
      <c r="A230" s="1" t="s">
        <v>20</v>
      </c>
      <c r="B230" s="4">
        <v>12</v>
      </c>
      <c r="C230" s="4" t="s">
        <v>5</v>
      </c>
      <c r="D230" s="4" t="str">
        <f>A230&amp;C230</f>
        <v>FEDHAVEGES</v>
      </c>
      <c r="E230" s="2">
        <v>42364.11</v>
      </c>
      <c r="F230" s="2">
        <v>43753.86</v>
      </c>
      <c r="G230" s="2">
        <v>41968.71</v>
      </c>
      <c r="H230" s="2">
        <v>52083.94</v>
      </c>
      <c r="I230" s="2">
        <v>64940.36</v>
      </c>
      <c r="J230" s="2">
        <v>54602.69</v>
      </c>
      <c r="K230" s="2">
        <v>53323.49</v>
      </c>
      <c r="L230" s="2">
        <v>40089.730000000003</v>
      </c>
      <c r="M230" s="2">
        <v>46213.98</v>
      </c>
      <c r="N230" s="2">
        <v>55834.41</v>
      </c>
      <c r="O230" s="2">
        <v>64386.68</v>
      </c>
      <c r="P230" s="2">
        <v>57505</v>
      </c>
      <c r="Q230" s="2">
        <v>55357.09</v>
      </c>
      <c r="R230" s="2">
        <v>48791.37</v>
      </c>
      <c r="S230" s="2">
        <v>42762.05</v>
      </c>
      <c r="T230" s="2">
        <v>46332.92</v>
      </c>
      <c r="U230" s="2">
        <v>45459.66</v>
      </c>
      <c r="V230" s="2">
        <v>47175.16</v>
      </c>
      <c r="W230" s="2">
        <v>51693.61</v>
      </c>
      <c r="X230" s="2">
        <v>44715.01</v>
      </c>
      <c r="Y230" s="2">
        <v>47084.92</v>
      </c>
      <c r="Z230" s="2">
        <v>59824.07</v>
      </c>
      <c r="AA230" s="2">
        <v>40705.300000000003</v>
      </c>
      <c r="AB230" s="2">
        <v>44445.89</v>
      </c>
      <c r="AC230" s="2">
        <v>63373.56</v>
      </c>
      <c r="AD230" s="2">
        <v>57296.73</v>
      </c>
      <c r="AE230" s="2">
        <v>67143.899999999994</v>
      </c>
      <c r="AF230" s="2">
        <v>66785.67</v>
      </c>
      <c r="AG230" s="2">
        <v>81188.58</v>
      </c>
      <c r="AH230" s="2">
        <v>50978.66</v>
      </c>
      <c r="AI230" s="24">
        <f>SUM(E230:AH230)</f>
        <v>1578181.1099999999</v>
      </c>
      <c r="AJ230" s="26">
        <v>1561453.0415790973</v>
      </c>
      <c r="AK230" s="33">
        <f>$AJ230/$AI230*E230</f>
        <v>41915.067918466884</v>
      </c>
      <c r="AL230" s="33">
        <f>$AJ230/$AI230*F230</f>
        <v>43290.08714204291</v>
      </c>
      <c r="AM230" s="33">
        <f>$AJ230/$AI230*G230</f>
        <v>41523.858995277849</v>
      </c>
      <c r="AN230" s="33">
        <f>$AJ230/$AI230*H230</f>
        <v>51531.871732023974</v>
      </c>
      <c r="AO230" s="33">
        <f>$AJ230/$AI230*I230</f>
        <v>64252.018986110888</v>
      </c>
      <c r="AP230" s="33">
        <f>$AJ230/$AI230*J230</f>
        <v>54023.924021559586</v>
      </c>
      <c r="AQ230" s="33">
        <f>$AJ230/$AI230*K230</f>
        <v>52758.283013609624</v>
      </c>
      <c r="AR230" s="33">
        <f>$AJ230/$AI230*L230</f>
        <v>39664.79540778738</v>
      </c>
      <c r="AS230" s="33">
        <f>$AJ230/$AI230*M230</f>
        <v>45724.130885380815</v>
      </c>
      <c r="AT230" s="33">
        <f>$AJ230/$AI230*N230</f>
        <v>55242.588297913651</v>
      </c>
      <c r="AU230" s="33">
        <f>$AJ230/$AI230*O230</f>
        <v>63704.207765596715</v>
      </c>
      <c r="AV230" s="33">
        <f>$AJ230/$AI230*P230</f>
        <v>56895.47073339764</v>
      </c>
      <c r="AW230" s="33">
        <f>$AJ230/$AI230*Q230</f>
        <v>54770.327692914681</v>
      </c>
      <c r="AX230" s="33">
        <f>$AJ230/$AI230*R230</f>
        <v>48274.201615118262</v>
      </c>
      <c r="AY230" s="33">
        <f>$AJ230/$AI230*S230</f>
        <v>42308.789918704228</v>
      </c>
      <c r="AZ230" s="33">
        <f>$AJ230/$AI230*T230</f>
        <v>45841.810170469595</v>
      </c>
      <c r="BA230" s="33">
        <f>$AJ230/$AI230*U230</f>
        <v>44977.806366058736</v>
      </c>
      <c r="BB230" s="33">
        <f>$AJ230/$AI230*V230</f>
        <v>46675.122774077929</v>
      </c>
      <c r="BC230" s="33">
        <f>$AJ230/$AI230*W230</f>
        <v>51145.67906892742</v>
      </c>
      <c r="BD230" s="33">
        <f>$AJ230/$AI230*X230</f>
        <v>44241.04934872764</v>
      </c>
      <c r="BE230" s="33">
        <f>$AJ230/$AI230*Y230</f>
        <v>46585.839280834174</v>
      </c>
      <c r="BF230" s="33">
        <f>$AJ230/$AI230*Z230</f>
        <v>59189.959548521547</v>
      </c>
      <c r="BG230" s="33">
        <f>$AJ230/$AI230*AA230</f>
        <v>40273.840619844726</v>
      </c>
      <c r="BH230" s="33">
        <f>$AJ230/$AI230*AB230</f>
        <v>43974.78190965674</v>
      </c>
      <c r="BI230" s="33">
        <f>$AJ230/$AI230*AC230</f>
        <v>62701.826419462988</v>
      </c>
      <c r="BJ230" s="33">
        <f>$AJ230/$AI230*AD230</f>
        <v>56689.408309440689</v>
      </c>
      <c r="BK230" s="33">
        <f>$AJ230/$AI230*AE230</f>
        <v>66432.202371553387</v>
      </c>
      <c r="BL230" s="33">
        <f>$AJ230/$AI230*AF230</f>
        <v>66077.769461705117</v>
      </c>
      <c r="BM230" s="33">
        <f>$AJ230/$AI230*AG230</f>
        <v>80328.014560057607</v>
      </c>
      <c r="BN230" s="33">
        <f>$AJ230/$AI230*AH230</f>
        <v>50438.307243854084</v>
      </c>
    </row>
    <row r="231" spans="1:66" x14ac:dyDescent="0.25">
      <c r="A231" s="1" t="s">
        <v>21</v>
      </c>
      <c r="B231" s="4">
        <v>13</v>
      </c>
      <c r="C231" s="4" t="s">
        <v>5</v>
      </c>
      <c r="D231" s="4" t="str">
        <f>A231&amp;C231</f>
        <v>RONGAI EXPRESSVEGES</v>
      </c>
      <c r="E231" s="2">
        <v>11847.97</v>
      </c>
      <c r="F231" s="2">
        <v>9637.64</v>
      </c>
      <c r="G231" s="2">
        <v>14561.03</v>
      </c>
      <c r="H231" s="2">
        <v>13686.63</v>
      </c>
      <c r="I231" s="2">
        <v>17672.25</v>
      </c>
      <c r="J231" s="2">
        <v>16695.669999999998</v>
      </c>
      <c r="K231" s="2">
        <v>15356.98</v>
      </c>
      <c r="L231" s="2">
        <v>7466.48</v>
      </c>
      <c r="M231" s="2">
        <v>11890.55</v>
      </c>
      <c r="N231" s="2">
        <v>16918.5</v>
      </c>
      <c r="O231" s="2">
        <v>17783.36</v>
      </c>
      <c r="P231" s="2">
        <v>18199.810000000001</v>
      </c>
      <c r="Q231" s="2">
        <v>13291.04</v>
      </c>
      <c r="R231" s="2">
        <v>11787.05</v>
      </c>
      <c r="S231" s="2">
        <v>10784.63</v>
      </c>
      <c r="T231" s="2">
        <v>11104.68</v>
      </c>
      <c r="U231" s="2">
        <v>11248.56</v>
      </c>
      <c r="V231" s="2">
        <v>13404.14</v>
      </c>
      <c r="W231" s="2">
        <v>12175.76</v>
      </c>
      <c r="X231" s="2">
        <v>11067.45</v>
      </c>
      <c r="Y231" s="2">
        <v>14802.21</v>
      </c>
      <c r="Z231" s="2">
        <v>14589.57</v>
      </c>
      <c r="AA231" s="2">
        <v>13497</v>
      </c>
      <c r="AB231" s="2">
        <v>9321.2199999999993</v>
      </c>
      <c r="AC231" s="2">
        <v>12445.06</v>
      </c>
      <c r="AD231" s="2">
        <v>13436.81</v>
      </c>
      <c r="AE231" s="2">
        <v>10502.52</v>
      </c>
      <c r="AF231" s="2">
        <v>19249.150000000001</v>
      </c>
      <c r="AG231" s="2">
        <v>20651.86</v>
      </c>
      <c r="AH231" s="2">
        <v>14860.17</v>
      </c>
      <c r="AI231" s="24">
        <f>SUM(E231:AH231)</f>
        <v>409935.75</v>
      </c>
      <c r="AJ231" s="26">
        <v>458997.09284045256</v>
      </c>
      <c r="AK231" s="33">
        <f>$AJ231/$AI231*E231</f>
        <v>13265.94176297358</v>
      </c>
      <c r="AL231" s="33">
        <f>$AJ231/$AI231*F231</f>
        <v>10791.078216142065</v>
      </c>
      <c r="AM231" s="33">
        <f>$AJ231/$AI231*G231</f>
        <v>16303.70232106523</v>
      </c>
      <c r="AN231" s="33">
        <f>$AJ231/$AI231*H231</f>
        <v>15324.653633607029</v>
      </c>
      <c r="AO231" s="33">
        <f>$AJ231/$AI231*I231</f>
        <v>19787.274893564878</v>
      </c>
      <c r="AP231" s="33">
        <f>$AJ231/$AI231*J231</f>
        <v>18693.817245808783</v>
      </c>
      <c r="AQ231" s="33">
        <f>$AJ231/$AI231*K231</f>
        <v>17194.912068071579</v>
      </c>
      <c r="AR231" s="33">
        <f>$AJ231/$AI231*L231</f>
        <v>8360.0725571053081</v>
      </c>
      <c r="AS231" s="33">
        <f>$AJ231/$AI231*M231</f>
        <v>13313.617761500536</v>
      </c>
      <c r="AT231" s="33">
        <f>$AJ231/$AI231*N231</f>
        <v>18943.315666470164</v>
      </c>
      <c r="AU231" s="33">
        <f>$AJ231/$AI231*O231</f>
        <v>19911.682601322747</v>
      </c>
      <c r="AV231" s="33">
        <f>$AJ231/$AI231*P231</f>
        <v>20377.973573294348</v>
      </c>
      <c r="AW231" s="33">
        <f>$AJ231/$AI231*Q231</f>
        <v>14881.719198255261</v>
      </c>
      <c r="AX231" s="33">
        <f>$AJ231/$AI231*R231</f>
        <v>13197.730822854694</v>
      </c>
      <c r="AY231" s="33">
        <f>$AJ231/$AI231*S231</f>
        <v>12075.340629256974</v>
      </c>
      <c r="AZ231" s="33">
        <f>$AJ231/$AI231*T231</f>
        <v>12433.694394605782</v>
      </c>
      <c r="BA231" s="33">
        <f>$AJ231/$AI231*U231</f>
        <v>12594.794034532</v>
      </c>
      <c r="BB231" s="33">
        <f>$AJ231/$AI231*V231</f>
        <v>15008.355070340715</v>
      </c>
      <c r="BC231" s="33">
        <f>$AJ231/$AI231*W231</f>
        <v>13632.961855908075</v>
      </c>
      <c r="BD231" s="33">
        <f>$AJ231/$AI231*X231</f>
        <v>12392.008687110278</v>
      </c>
      <c r="BE231" s="33">
        <f>$AJ231/$AI231*Y231</f>
        <v>16573.746880124203</v>
      </c>
      <c r="BF231" s="33">
        <f>$AJ231/$AI231*Z231</f>
        <v>16335.658004436747</v>
      </c>
      <c r="BG231" s="33">
        <f>$AJ231/$AI231*AA231</f>
        <v>15112.32860775765</v>
      </c>
      <c r="BH231" s="33">
        <f>$AJ231/$AI231*AB231</f>
        <v>10436.788891250111</v>
      </c>
      <c r="BI231" s="33">
        <f>$AJ231/$AI231*AC231</f>
        <v>13934.491832500587</v>
      </c>
      <c r="BJ231" s="33">
        <f>$AJ231/$AI231*AD231</f>
        <v>15044.935034452403</v>
      </c>
      <c r="BK231" s="33">
        <f>$AJ231/$AI231*AE231</f>
        <v>11759.467544605979</v>
      </c>
      <c r="BL231" s="33">
        <f>$AJ231/$AI231*AF231</f>
        <v>21552.89917907818</v>
      </c>
      <c r="BM231" s="33">
        <f>$AJ231/$AI231*AG231</f>
        <v>23123.486306690815</v>
      </c>
      <c r="BN231" s="33">
        <f>$AJ231/$AI231*AH231</f>
        <v>16638.643565765877</v>
      </c>
    </row>
    <row r="232" spans="1:66" x14ac:dyDescent="0.25">
      <c r="A232" s="1" t="s">
        <v>22</v>
      </c>
      <c r="B232" s="4">
        <v>14</v>
      </c>
      <c r="C232" s="4" t="s">
        <v>5</v>
      </c>
      <c r="D232" s="4" t="str">
        <f>A232&amp;C232</f>
        <v>UTAWALA MAINVEGES</v>
      </c>
      <c r="E232" s="2">
        <v>36776.44</v>
      </c>
      <c r="F232" s="2">
        <v>44395.42</v>
      </c>
      <c r="G232" s="2">
        <v>53118.28</v>
      </c>
      <c r="H232" s="2">
        <v>59048.87</v>
      </c>
      <c r="I232" s="2">
        <v>39855.47</v>
      </c>
      <c r="J232" s="2">
        <v>45397.93</v>
      </c>
      <c r="K232" s="2">
        <v>37024.76</v>
      </c>
      <c r="L232" s="2">
        <v>44231.61</v>
      </c>
      <c r="M232" s="2">
        <v>38522.32</v>
      </c>
      <c r="N232" s="2">
        <v>32859.25</v>
      </c>
      <c r="O232" s="2">
        <v>46730.04</v>
      </c>
      <c r="P232" s="2">
        <v>49459.49</v>
      </c>
      <c r="Q232" s="2">
        <v>60404.639999999999</v>
      </c>
      <c r="R232" s="2">
        <v>27793.84</v>
      </c>
      <c r="S232" s="2">
        <v>38062.239999999998</v>
      </c>
      <c r="T232" s="2">
        <v>31408.720000000001</v>
      </c>
      <c r="U232" s="2">
        <v>42035.82</v>
      </c>
      <c r="V232" s="2">
        <v>47545.68</v>
      </c>
      <c r="W232" s="2">
        <v>47452.19</v>
      </c>
      <c r="X232" s="2">
        <v>41105.199999999997</v>
      </c>
      <c r="Y232" s="2">
        <v>45803.519999999997</v>
      </c>
      <c r="Z232" s="2">
        <v>48256.77</v>
      </c>
      <c r="AA232" s="2">
        <v>43613.79</v>
      </c>
      <c r="AB232" s="2">
        <v>36811.660000000003</v>
      </c>
      <c r="AC232" s="2">
        <v>45837.56</v>
      </c>
      <c r="AD232" s="2">
        <v>48173.55</v>
      </c>
      <c r="AE232" s="2">
        <v>55683.98</v>
      </c>
      <c r="AF232" s="2">
        <v>49189.69</v>
      </c>
      <c r="AG232" s="2">
        <v>62465.55</v>
      </c>
      <c r="AH232" s="2">
        <v>40466.47</v>
      </c>
      <c r="AI232" s="24">
        <f>SUM(E232:AH232)</f>
        <v>1339530.75</v>
      </c>
      <c r="AJ232" s="26">
        <v>1158624.7883074824</v>
      </c>
      <c r="AK232" s="33">
        <f>$AJ232/$AI232*E232</f>
        <v>31809.717701294154</v>
      </c>
      <c r="AL232" s="33">
        <f>$AJ232/$AI232*F232</f>
        <v>38399.741177514414</v>
      </c>
      <c r="AM232" s="33">
        <f>$AJ232/$AI232*G232</f>
        <v>45944.56373641111</v>
      </c>
      <c r="AN232" s="33">
        <f>$AJ232/$AI232*H232</f>
        <v>51074.217223864442</v>
      </c>
      <c r="AO232" s="33">
        <f>$AJ232/$AI232*I232</f>
        <v>34472.919335106875</v>
      </c>
      <c r="AP232" s="33">
        <f>$AJ232/$AI232*J232</f>
        <v>39266.860455310867</v>
      </c>
      <c r="AQ232" s="33">
        <f>$AJ232/$AI232*K232</f>
        <v>32024.50165263869</v>
      </c>
      <c r="AR232" s="33">
        <f>$AJ232/$AI232*L232</f>
        <v>38258.054003425546</v>
      </c>
      <c r="AS232" s="33">
        <f>$AJ232/$AI232*M232</f>
        <v>33319.813565394521</v>
      </c>
      <c r="AT232" s="33">
        <f>$AJ232/$AI232*N232</f>
        <v>28421.551035832988</v>
      </c>
      <c r="AU232" s="33">
        <f>$AJ232/$AI232*O232</f>
        <v>40419.066678835246</v>
      </c>
      <c r="AV232" s="33">
        <f>$AJ232/$AI232*P232</f>
        <v>42779.899700731796</v>
      </c>
      <c r="AW232" s="33">
        <f>$AJ232/$AI232*Q232</f>
        <v>52246.888123165285</v>
      </c>
      <c r="AX232" s="33">
        <f>$AJ232/$AI232*R232</f>
        <v>24040.23348195033</v>
      </c>
      <c r="AY232" s="33">
        <f>$AJ232/$AI232*S232</f>
        <v>32921.868171005844</v>
      </c>
      <c r="AZ232" s="33">
        <f>$AJ232/$AI232*T232</f>
        <v>27166.917639635365</v>
      </c>
      <c r="BA232" s="33">
        <f>$AJ232/$AI232*U232</f>
        <v>36358.809268716999</v>
      </c>
      <c r="BB232" s="33">
        <f>$AJ232/$AI232*V232</f>
        <v>41124.553075720956</v>
      </c>
      <c r="BC232" s="33">
        <f>$AJ232/$AI232*W232</f>
        <v>41043.689063111422</v>
      </c>
      <c r="BD232" s="33">
        <f>$AJ232/$AI232*X232</f>
        <v>35553.871121164426</v>
      </c>
      <c r="BE232" s="33">
        <f>$AJ232/$AI232*Y232</f>
        <v>39617.674819139116</v>
      </c>
      <c r="BF232" s="33">
        <f>$AJ232/$AI232*Z232</f>
        <v>41739.609132267302</v>
      </c>
      <c r="BG232" s="33">
        <f>$AJ232/$AI232*AA232</f>
        <v>37723.671670872056</v>
      </c>
      <c r="BH232" s="33">
        <f>$AJ232/$AI232*AB232</f>
        <v>31840.181178929281</v>
      </c>
      <c r="BI232" s="33">
        <f>$AJ232/$AI232*AC232</f>
        <v>39647.117657830189</v>
      </c>
      <c r="BJ232" s="33">
        <f>$AJ232/$AI232*AD232</f>
        <v>41667.62813826403</v>
      </c>
      <c r="BK232" s="33">
        <f>$AJ232/$AI232*AE232</f>
        <v>48163.761481114256</v>
      </c>
      <c r="BL232" s="33">
        <f>$AJ232/$AI232*AF232</f>
        <v>42546.536660812519</v>
      </c>
      <c r="BM232" s="33">
        <f>$AJ232/$AI232*AG232</f>
        <v>54029.468636879341</v>
      </c>
      <c r="BN232" s="33">
        <f>$AJ232/$AI232*AH232</f>
        <v>35001.402720543061</v>
      </c>
    </row>
    <row r="233" spans="1:66" x14ac:dyDescent="0.25">
      <c r="A233" s="1" t="s">
        <v>23</v>
      </c>
      <c r="B233" s="4">
        <v>15</v>
      </c>
      <c r="C233" s="4" t="s">
        <v>5</v>
      </c>
      <c r="D233" s="4" t="str">
        <f>A233&amp;C233</f>
        <v>KONDELEVEGES</v>
      </c>
      <c r="E233" s="2">
        <v>41438.33</v>
      </c>
      <c r="F233" s="2">
        <v>33776.730000000003</v>
      </c>
      <c r="G233" s="2">
        <v>30751.19</v>
      </c>
      <c r="H233" s="2">
        <v>36248.769999999997</v>
      </c>
      <c r="I233" s="2">
        <v>51577.66</v>
      </c>
      <c r="J233" s="2">
        <v>48021.9</v>
      </c>
      <c r="K233" s="2">
        <v>45298.28</v>
      </c>
      <c r="L233" s="2">
        <v>34794.379999999997</v>
      </c>
      <c r="M233" s="2">
        <v>31593.65</v>
      </c>
      <c r="N233" s="2">
        <v>36249.31</v>
      </c>
      <c r="O233" s="2">
        <v>32965.64</v>
      </c>
      <c r="P233" s="2">
        <v>48302.2</v>
      </c>
      <c r="Q233" s="2">
        <v>34304.660000000003</v>
      </c>
      <c r="R233" s="2">
        <v>38617.71</v>
      </c>
      <c r="S233" s="2">
        <v>26310.06</v>
      </c>
      <c r="T233" s="2">
        <v>25648.01</v>
      </c>
      <c r="U233" s="2">
        <v>26387.66</v>
      </c>
      <c r="V233" s="2">
        <v>30862.52</v>
      </c>
      <c r="W233" s="2">
        <v>34467.21</v>
      </c>
      <c r="X233" s="2">
        <v>47683.75</v>
      </c>
      <c r="Y233" s="2">
        <v>44518.83</v>
      </c>
      <c r="Z233" s="2">
        <v>36051.25</v>
      </c>
      <c r="AA233" s="2">
        <v>33696.639999999999</v>
      </c>
      <c r="AB233" s="2">
        <v>32408.51</v>
      </c>
      <c r="AC233" s="2">
        <v>31113.24</v>
      </c>
      <c r="AD233" s="2">
        <v>32316.48</v>
      </c>
      <c r="AE233" s="2">
        <v>56646.74</v>
      </c>
      <c r="AF233" s="2">
        <v>35387.15</v>
      </c>
      <c r="AG233" s="2">
        <v>47304.02</v>
      </c>
      <c r="AH233" s="2">
        <v>27089.79</v>
      </c>
      <c r="AI233" s="24">
        <f>SUM(E233:AH233)</f>
        <v>1111832.27</v>
      </c>
      <c r="AJ233" s="26">
        <v>700684.55003558542</v>
      </c>
      <c r="AK233" s="33">
        <f>$AJ233/$AI233*E233</f>
        <v>26114.728267669456</v>
      </c>
      <c r="AL233" s="33">
        <f>$AJ233/$AI233*F233</f>
        <v>21286.33382958336</v>
      </c>
      <c r="AM233" s="33">
        <f>$AJ233/$AI233*G233</f>
        <v>19379.617150533679</v>
      </c>
      <c r="AN233" s="33">
        <f>$AJ233/$AI233*H233</f>
        <v>22844.230898958729</v>
      </c>
      <c r="AO233" s="33">
        <f>$AJ233/$AI233*I233</f>
        <v>32504.605653322524</v>
      </c>
      <c r="AP233" s="33">
        <f>$AJ233/$AI233*J233</f>
        <v>30263.740585037958</v>
      </c>
      <c r="AQ233" s="33">
        <f>$AJ233/$AI233*K233</f>
        <v>28547.296022614955</v>
      </c>
      <c r="AR233" s="33">
        <f>$AJ233/$AI233*L233</f>
        <v>21927.664047803875</v>
      </c>
      <c r="AS233" s="33">
        <f>$AJ233/$AI233*M233</f>
        <v>19910.541393291071</v>
      </c>
      <c r="AT233" s="33">
        <f>$AJ233/$AI233*N233</f>
        <v>22844.571210773047</v>
      </c>
      <c r="AU233" s="33">
        <f>$AJ233/$AI233*O233</f>
        <v>20775.179182409498</v>
      </c>
      <c r="AV233" s="33">
        <f>$AJ233/$AI233*P233</f>
        <v>30440.387624950705</v>
      </c>
      <c r="AW233" s="33">
        <f>$AJ233/$AI233*Q233</f>
        <v>21619.039044642719</v>
      </c>
      <c r="AX233" s="33">
        <f>$AJ233/$AI233*R233</f>
        <v>24337.153620082216</v>
      </c>
      <c r="AY233" s="33">
        <f>$AJ233/$AI233*S233</f>
        <v>16580.785654394844</v>
      </c>
      <c r="AZ233" s="33">
        <f>$AJ233/$AI233*T233</f>
        <v>16163.557067972306</v>
      </c>
      <c r="BA233" s="33">
        <f>$AJ233/$AI233*U233</f>
        <v>16629.689722526236</v>
      </c>
      <c r="BB233" s="33">
        <f>$AJ233/$AI233*V233</f>
        <v>19449.778102918575</v>
      </c>
      <c r="BC233" s="33">
        <f>$AJ233/$AI233*W233</f>
        <v>21721.479202822589</v>
      </c>
      <c r="BD233" s="33">
        <f>$AJ233/$AI233*X233</f>
        <v>30050.636066498901</v>
      </c>
      <c r="BE233" s="33">
        <f>$AJ233/$AI233*Y233</f>
        <v>28056.081126931782</v>
      </c>
      <c r="BF233" s="33">
        <f>$AJ233/$AI233*Z233</f>
        <v>22719.752399766556</v>
      </c>
      <c r="BG233" s="33">
        <f>$AJ233/$AI233*AA233</f>
        <v>21235.860545863728</v>
      </c>
      <c r="BH233" s="33">
        <f>$AJ233/$AI233*AB233</f>
        <v>20424.07192109451</v>
      </c>
      <c r="BI233" s="33">
        <f>$AJ233/$AI233*AC233</f>
        <v>19607.783617891553</v>
      </c>
      <c r="BJ233" s="33">
        <f>$AJ233/$AI233*AD233</f>
        <v>20366.073965036107</v>
      </c>
      <c r="BK233" s="33">
        <f>$AJ233/$AI233*AE233</f>
        <v>35699.175675016879</v>
      </c>
      <c r="BL233" s="33">
        <f>$AJ233/$AI233*AF233</f>
        <v>22301.231888863746</v>
      </c>
      <c r="BM233" s="33">
        <f>$AJ233/$AI233*AG233</f>
        <v>29811.327538257483</v>
      </c>
      <c r="BN233" s="33">
        <f>$AJ233/$AI233*AH233</f>
        <v>17072.177008055813</v>
      </c>
    </row>
    <row r="234" spans="1:66" x14ac:dyDescent="0.25">
      <c r="A234" s="1" t="s">
        <v>24</v>
      </c>
      <c r="B234" s="4">
        <v>16</v>
      </c>
      <c r="C234" s="4" t="s">
        <v>5</v>
      </c>
      <c r="D234" s="4" t="str">
        <f>A234&amp;C234</f>
        <v>NYALENDAVEGES</v>
      </c>
      <c r="E234" s="2">
        <v>21449.63</v>
      </c>
      <c r="F234" s="2">
        <v>26115.49</v>
      </c>
      <c r="G234" s="2">
        <v>26495.15</v>
      </c>
      <c r="H234" s="2">
        <v>22786.99</v>
      </c>
      <c r="I234" s="2">
        <v>24275.32</v>
      </c>
      <c r="J234" s="2">
        <v>32757.64</v>
      </c>
      <c r="K234" s="2">
        <v>23894.98</v>
      </c>
      <c r="L234" s="2">
        <v>27087.89</v>
      </c>
      <c r="M234" s="2">
        <v>36351.43</v>
      </c>
      <c r="N234" s="2">
        <v>29110.18</v>
      </c>
      <c r="O234" s="2">
        <v>29083</v>
      </c>
      <c r="P234" s="2">
        <v>30549.89</v>
      </c>
      <c r="Q234" s="2">
        <v>30590.1</v>
      </c>
      <c r="R234" s="2">
        <v>29758.9</v>
      </c>
      <c r="S234" s="2">
        <v>30245.77</v>
      </c>
      <c r="T234" s="2">
        <v>38150.93</v>
      </c>
      <c r="U234" s="2">
        <v>33355.440000000002</v>
      </c>
      <c r="V234" s="2">
        <v>24102.26</v>
      </c>
      <c r="W234" s="2">
        <v>23417.18</v>
      </c>
      <c r="X234" s="2">
        <v>25706.95</v>
      </c>
      <c r="Y234" s="2">
        <v>27781.64</v>
      </c>
      <c r="Z234" s="2">
        <v>26893.85</v>
      </c>
      <c r="AA234" s="2">
        <v>30205.62</v>
      </c>
      <c r="AB234" s="2">
        <v>26618.560000000001</v>
      </c>
      <c r="AC234" s="2">
        <v>22480.63</v>
      </c>
      <c r="AD234" s="2">
        <v>27408.22</v>
      </c>
      <c r="AE234" s="2">
        <v>28132.38</v>
      </c>
      <c r="AF234" s="2">
        <v>24234.080000000002</v>
      </c>
      <c r="AG234" s="2">
        <v>28115.06</v>
      </c>
      <c r="AH234" s="2">
        <v>28126.95</v>
      </c>
      <c r="AI234" s="24">
        <f>SUM(E234:AH234)</f>
        <v>835282.11</v>
      </c>
      <c r="AJ234" s="26">
        <v>649429.59762116603</v>
      </c>
      <c r="AK234" s="33">
        <f>$AJ234/$AI234*E234</f>
        <v>16677.02972834279</v>
      </c>
      <c r="AL234" s="33">
        <f>$AJ234/$AI234*F234</f>
        <v>20304.72334955143</v>
      </c>
      <c r="AM234" s="33">
        <f>$AJ234/$AI234*G234</f>
        <v>20599.907980086438</v>
      </c>
      <c r="AN234" s="33">
        <f>$AJ234/$AI234*H234</f>
        <v>17716.823537256812</v>
      </c>
      <c r="AO234" s="33">
        <f>$AJ234/$AI234*I234</f>
        <v>18873.996115785412</v>
      </c>
      <c r="AP234" s="33">
        <f>$AJ234/$AI234*J234</f>
        <v>25468.977139015959</v>
      </c>
      <c r="AQ234" s="33">
        <f>$AJ234/$AI234*K234</f>
        <v>18578.282787076343</v>
      </c>
      <c r="AR234" s="33">
        <f>$AJ234/$AI234*L234</f>
        <v>21060.761738457928</v>
      </c>
      <c r="AS234" s="33">
        <f>$AJ234/$AI234*M234</f>
        <v>28263.139213952498</v>
      </c>
      <c r="AT234" s="33">
        <f>$AJ234/$AI234*N234</f>
        <v>22633.08678319438</v>
      </c>
      <c r="AU234" s="33">
        <f>$AJ234/$AI234*O234</f>
        <v>22611.954406178258</v>
      </c>
      <c r="AV234" s="33">
        <f>$AJ234/$AI234*P234</f>
        <v>23752.457442277657</v>
      </c>
      <c r="AW234" s="33">
        <f>$AJ234/$AI234*Q234</f>
        <v>23783.720609305554</v>
      </c>
      <c r="AX234" s="33">
        <f>$AJ234/$AI234*R234</f>
        <v>23137.464841248089</v>
      </c>
      <c r="AY234" s="33">
        <f>$AJ234/$AI234*S234</f>
        <v>23516.004958902249</v>
      </c>
      <c r="AZ234" s="33">
        <f>$AJ234/$AI234*T234</f>
        <v>29662.245631925805</v>
      </c>
      <c r="BA234" s="33">
        <f>$AJ234/$AI234*U234</f>
        <v>25933.765033800315</v>
      </c>
      <c r="BB234" s="33">
        <f>$AJ234/$AI234*V234</f>
        <v>18739.442430487015</v>
      </c>
      <c r="BC234" s="33">
        <f>$AJ234/$AI234*W234</f>
        <v>18206.79457006737</v>
      </c>
      <c r="BD234" s="33">
        <f>$AJ234/$AI234*X234</f>
        <v>19987.084596565146</v>
      </c>
      <c r="BE234" s="33">
        <f>$AJ234/$AI234*Y234</f>
        <v>21600.150500596847</v>
      </c>
      <c r="BF234" s="33">
        <f>$AJ234/$AI234*Z234</f>
        <v>20909.896159495136</v>
      </c>
      <c r="BG234" s="33">
        <f>$AJ234/$AI234*AA234</f>
        <v>23484.788441713237</v>
      </c>
      <c r="BH234" s="33">
        <f>$AJ234/$AI234*AB234</f>
        <v>20695.858923705269</v>
      </c>
      <c r="BI234" s="33">
        <f>$AJ234/$AI234*AC234</f>
        <v>17478.629459896267</v>
      </c>
      <c r="BJ234" s="33">
        <f>$AJ234/$AI234*AD234</f>
        <v>21309.817453306161</v>
      </c>
      <c r="BK234" s="33">
        <f>$AJ234/$AI234*AE234</f>
        <v>21872.84990878799</v>
      </c>
      <c r="BL234" s="33">
        <f>$AJ234/$AI234*AF234</f>
        <v>18841.932126523276</v>
      </c>
      <c r="BM234" s="33">
        <f>$AJ234/$AI234*AG234</f>
        <v>21859.383655295744</v>
      </c>
      <c r="BN234" s="33">
        <f>$AJ234/$AI234*AH234</f>
        <v>21868.628098368652</v>
      </c>
    </row>
    <row r="235" spans="1:66" x14ac:dyDescent="0.25">
      <c r="A235" s="1" t="s">
        <v>25</v>
      </c>
      <c r="B235" s="4">
        <v>17</v>
      </c>
      <c r="C235" s="4" t="s">
        <v>5</v>
      </c>
      <c r="D235" s="4" t="str">
        <f>A235&amp;C235</f>
        <v>MAYFAIRVEGES</v>
      </c>
      <c r="E235" s="2">
        <v>13021.77</v>
      </c>
      <c r="F235" s="2">
        <v>11740.84</v>
      </c>
      <c r="G235" s="2">
        <v>14226.05</v>
      </c>
      <c r="H235" s="2">
        <v>15074.55</v>
      </c>
      <c r="I235" s="2">
        <v>11339.32</v>
      </c>
      <c r="J235" s="2">
        <v>19746.37</v>
      </c>
      <c r="K235" s="2">
        <v>13442.13</v>
      </c>
      <c r="L235" s="2">
        <v>24258.5</v>
      </c>
      <c r="M235" s="2">
        <v>13639.84</v>
      </c>
      <c r="N235" s="2">
        <v>18936.54</v>
      </c>
      <c r="O235" s="2">
        <v>19792.75</v>
      </c>
      <c r="P235" s="2">
        <v>17840.37</v>
      </c>
      <c r="Q235" s="2">
        <v>13131.88</v>
      </c>
      <c r="R235" s="2">
        <v>14460.35</v>
      </c>
      <c r="S235" s="2">
        <v>16292.14</v>
      </c>
      <c r="T235" s="2">
        <v>8191.73</v>
      </c>
      <c r="U235" s="2">
        <v>13017.11</v>
      </c>
      <c r="V235" s="2">
        <v>23977.33</v>
      </c>
      <c r="W235" s="2">
        <v>17885.2</v>
      </c>
      <c r="X235" s="2">
        <v>16567.830000000002</v>
      </c>
      <c r="Y235" s="2">
        <v>20733.599999999999</v>
      </c>
      <c r="Z235" s="2">
        <v>26642.15</v>
      </c>
      <c r="AA235" s="2">
        <v>21382.75</v>
      </c>
      <c r="AB235" s="2">
        <v>18886.259999999998</v>
      </c>
      <c r="AC235" s="2">
        <v>15207.86</v>
      </c>
      <c r="AD235" s="2">
        <v>14604.46</v>
      </c>
      <c r="AE235" s="2">
        <v>10411.030000000001</v>
      </c>
      <c r="AF235" s="2">
        <v>17644.82</v>
      </c>
      <c r="AG235" s="2">
        <v>11699.22</v>
      </c>
      <c r="AH235" s="2">
        <v>9709.73</v>
      </c>
      <c r="AI235" s="24">
        <f>SUM(E235:AH235)</f>
        <v>483504.4800000001</v>
      </c>
      <c r="AJ235" s="26">
        <v>396105.8302905577</v>
      </c>
      <c r="AK235" s="33">
        <f>$AJ235/$AI235*E235</f>
        <v>10667.944623186688</v>
      </c>
      <c r="AL235" s="33">
        <f>$AJ235/$AI235*F235</f>
        <v>9618.5565364535832</v>
      </c>
      <c r="AM235" s="33">
        <f>$AJ235/$AI235*G235</f>
        <v>11654.538024146099</v>
      </c>
      <c r="AN235" s="33">
        <f>$AJ235/$AI235*H235</f>
        <v>12349.662497453024</v>
      </c>
      <c r="AO235" s="33">
        <f>$AJ235/$AI235*I235</f>
        <v>9289.6156071404475</v>
      </c>
      <c r="AP235" s="33">
        <f>$AJ235/$AI235*J235</f>
        <v>16177.000643457448</v>
      </c>
      <c r="AQ235" s="33">
        <f>$AJ235/$AI235*K235</f>
        <v>11012.320019296643</v>
      </c>
      <c r="AR235" s="33">
        <f>$AJ235/$AI235*L235</f>
        <v>19873.514479335317</v>
      </c>
      <c r="AS235" s="33">
        <f>$AJ235/$AI235*M235</f>
        <v>11174.291804349692</v>
      </c>
      <c r="AT235" s="33">
        <f>$AJ235/$AI235*N235</f>
        <v>15513.556150566292</v>
      </c>
      <c r="AU235" s="33">
        <f>$AJ235/$AI235*O235</f>
        <v>16214.996958215226</v>
      </c>
      <c r="AV235" s="33">
        <f>$AJ235/$AI235*P235</f>
        <v>14615.530701061458</v>
      </c>
      <c r="AW235" s="33">
        <f>$AJ235/$AI235*Q235</f>
        <v>10758.151053069803</v>
      </c>
      <c r="AX235" s="33">
        <f>$AJ235/$AI235*R235</f>
        <v>11846.485772049238</v>
      </c>
      <c r="AY235" s="33">
        <f>$AJ235/$AI235*S235</f>
        <v>13347.159972354353</v>
      </c>
      <c r="AZ235" s="33">
        <f>$AJ235/$AI235*T235</f>
        <v>6710.9864487006816</v>
      </c>
      <c r="BA235" s="33">
        <f>$AJ235/$AI235*U235</f>
        <v>10664.126968448196</v>
      </c>
      <c r="BB235" s="33">
        <f>$AJ235/$AI235*V235</f>
        <v>19643.168989459409</v>
      </c>
      <c r="BC235" s="33">
        <f>$AJ235/$AI235*W235</f>
        <v>14652.257195037122</v>
      </c>
      <c r="BD235" s="33">
        <f>$AJ235/$AI235*X235</f>
        <v>13573.01603133607</v>
      </c>
      <c r="BE235" s="33">
        <f>$AJ235/$AI235*Y235</f>
        <v>16985.778172959857</v>
      </c>
      <c r="BF235" s="33">
        <f>$AJ235/$AI235*Z235</f>
        <v>21826.294032426711</v>
      </c>
      <c r="BG235" s="33">
        <f>$AJ235/$AI235*AA235</f>
        <v>17517.587308902333</v>
      </c>
      <c r="BH235" s="33">
        <f>$AJ235/$AI235*AB235</f>
        <v>15472.364802872864</v>
      </c>
      <c r="BI235" s="33">
        <f>$AJ235/$AI235*AC235</f>
        <v>12458.875277107174</v>
      </c>
      <c r="BJ235" s="33">
        <f>$AJ235/$AI235*AD235</f>
        <v>11964.546335217488</v>
      </c>
      <c r="BK235" s="33">
        <f>$AJ235/$AI235*AE235</f>
        <v>8529.1240369270308</v>
      </c>
      <c r="BL235" s="33">
        <f>$AJ235/$AI235*AF235</f>
        <v>14455.32847271123</v>
      </c>
      <c r="BM235" s="33">
        <f>$AJ235/$AI235*AG235</f>
        <v>9584.4598003557221</v>
      </c>
      <c r="BN235" s="33">
        <f>$AJ235/$AI235*AH235</f>
        <v>7954.5915759604459</v>
      </c>
    </row>
    <row r="236" spans="1:66" x14ac:dyDescent="0.25">
      <c r="A236" s="1" t="s">
        <v>80</v>
      </c>
      <c r="B236" s="4">
        <v>18</v>
      </c>
      <c r="C236" s="4" t="s">
        <v>5</v>
      </c>
      <c r="D236" s="4" t="str">
        <f>A236&amp;C236</f>
        <v>WAIYAKI WAYVEGES</v>
      </c>
      <c r="E236" s="2">
        <v>86825.97</v>
      </c>
      <c r="F236" s="2">
        <v>79429.13</v>
      </c>
      <c r="G236" s="2">
        <v>87073.51</v>
      </c>
      <c r="H236" s="2">
        <v>116786.83</v>
      </c>
      <c r="I236" s="2">
        <v>100662.27</v>
      </c>
      <c r="J236" s="2">
        <v>54383.6</v>
      </c>
      <c r="K236" s="2">
        <v>95249.21</v>
      </c>
      <c r="L236" s="2">
        <v>113754.55</v>
      </c>
      <c r="M236" s="2">
        <v>82480.899999999994</v>
      </c>
      <c r="N236" s="2">
        <v>84630.3</v>
      </c>
      <c r="O236" s="2">
        <v>112944.32000000001</v>
      </c>
      <c r="P236" s="2">
        <v>113859.61</v>
      </c>
      <c r="Q236" s="2">
        <v>77752.95</v>
      </c>
      <c r="R236" s="2">
        <v>69071.8</v>
      </c>
      <c r="S236" s="2">
        <v>74082.47</v>
      </c>
      <c r="T236" s="2">
        <v>94368.65</v>
      </c>
      <c r="U236" s="2">
        <v>81219.899999999994</v>
      </c>
      <c r="V236" s="2">
        <v>78382.7</v>
      </c>
      <c r="W236" s="2">
        <v>92667.28</v>
      </c>
      <c r="X236" s="2">
        <v>102294.2</v>
      </c>
      <c r="Y236" s="2">
        <v>107138.76</v>
      </c>
      <c r="Z236" s="2">
        <v>118245.12</v>
      </c>
      <c r="AA236" s="2">
        <v>91748.34</v>
      </c>
      <c r="AB236" s="2">
        <v>84781.38</v>
      </c>
      <c r="AC236" s="2">
        <v>92703.27</v>
      </c>
      <c r="AD236" s="2">
        <v>81743.179999999993</v>
      </c>
      <c r="AE236" s="2">
        <v>103766.43</v>
      </c>
      <c r="AF236" s="2">
        <v>95598.78</v>
      </c>
      <c r="AG236" s="2">
        <v>73077.98</v>
      </c>
      <c r="AH236" s="2">
        <v>97423.79</v>
      </c>
      <c r="AI236" s="24">
        <f>SUM(E236:AH236)</f>
        <v>2744147.1799999997</v>
      </c>
      <c r="AJ236" s="26">
        <v>3205896.9854122852</v>
      </c>
      <c r="AK236" s="33">
        <f>$AJ236/$AI236*E236</f>
        <v>101435.92789308682</v>
      </c>
      <c r="AL236" s="33">
        <f>$AJ236/$AI236*F236</f>
        <v>92794.442760508391</v>
      </c>
      <c r="AM236" s="33">
        <f>$AJ236/$AI236*G236</f>
        <v>101725.12074161651</v>
      </c>
      <c r="AN236" s="33">
        <f>$AJ236/$AI236*H236</f>
        <v>136438.21620123781</v>
      </c>
      <c r="AO236" s="33">
        <f>$AJ236/$AI236*I236</f>
        <v>117600.42256106596</v>
      </c>
      <c r="AP236" s="33">
        <f>$AJ236/$AI236*J236</f>
        <v>63534.572987396234</v>
      </c>
      <c r="AQ236" s="33">
        <f>$AJ236/$AI236*K236</f>
        <v>111276.52242103928</v>
      </c>
      <c r="AR236" s="33">
        <f>$AJ236/$AI236*L236</f>
        <v>132895.70310945605</v>
      </c>
      <c r="AS236" s="33">
        <f>$AJ236/$AI236*M236</f>
        <v>96359.725378903386</v>
      </c>
      <c r="AT236" s="33">
        <f>$AJ236/$AI236*N236</f>
        <v>98870.798775646341</v>
      </c>
      <c r="AU236" s="33">
        <f>$AJ236/$AI236*O236</f>
        <v>131949.13802234197</v>
      </c>
      <c r="AV236" s="33">
        <f>$AJ236/$AI236*P236</f>
        <v>133018.44125547906</v>
      </c>
      <c r="AW236" s="33">
        <f>$AJ236/$AI236*Q236</f>
        <v>90836.216741083161</v>
      </c>
      <c r="AX236" s="33">
        <f>$AJ236/$AI236*R236</f>
        <v>80694.314434330125</v>
      </c>
      <c r="AY236" s="33">
        <f>$AJ236/$AI236*S236</f>
        <v>86548.115558763893</v>
      </c>
      <c r="AZ236" s="33">
        <f>$AJ236/$AI236*T236</f>
        <v>110247.79310577177</v>
      </c>
      <c r="BA236" s="33">
        <f>$AJ236/$AI236*U236</f>
        <v>94886.540511827523</v>
      </c>
      <c r="BB236" s="33">
        <f>$AJ236/$AI236*V236</f>
        <v>91571.932974263982</v>
      </c>
      <c r="BC236" s="33">
        <f>$AJ236/$AI236*W236</f>
        <v>108260.13843701931</v>
      </c>
      <c r="BD236" s="33">
        <f>$AJ236/$AI236*X236</f>
        <v>119506.9527594221</v>
      </c>
      <c r="BE236" s="33">
        <f>$AJ236/$AI236*Y236</f>
        <v>125166.6930287647</v>
      </c>
      <c r="BF236" s="33">
        <f>$AJ236/$AI236*Z236</f>
        <v>138141.88849291747</v>
      </c>
      <c r="BG236" s="33">
        <f>$AJ236/$AI236*AA236</f>
        <v>107186.571028811</v>
      </c>
      <c r="BH236" s="33">
        <f>$AJ236/$AI236*AB236</f>
        <v>99047.300575581161</v>
      </c>
      <c r="BI236" s="33">
        <f>$AJ236/$AI236*AC236</f>
        <v>108302.18437148884</v>
      </c>
      <c r="BJ236" s="33">
        <f>$AJ236/$AI236*AD236</f>
        <v>95497.871342314</v>
      </c>
      <c r="BK236" s="33">
        <f>$AJ236/$AI236*AE236</f>
        <v>121226.91069507245</v>
      </c>
      <c r="BL236" s="33">
        <f>$AJ236/$AI236*AF236</f>
        <v>111684.91356614928</v>
      </c>
      <c r="BM236" s="33">
        <f>$AJ236/$AI236*AG236</f>
        <v>85374.602896488694</v>
      </c>
      <c r="BN236" s="33">
        <f>$AJ236/$AI236*AH236</f>
        <v>113817.01278443802</v>
      </c>
    </row>
    <row r="237" spans="1:66" x14ac:dyDescent="0.25">
      <c r="A237" s="1" t="s">
        <v>12</v>
      </c>
      <c r="B237" s="4">
        <v>19</v>
      </c>
      <c r="C237" s="4" t="s">
        <v>5</v>
      </c>
      <c r="D237" s="4" t="str">
        <f>A237&amp;C237</f>
        <v>JIPANGEVEGES</v>
      </c>
      <c r="E237" s="2">
        <v>158799.4</v>
      </c>
      <c r="F237" s="2">
        <v>148456.01999999999</v>
      </c>
      <c r="G237" s="2">
        <v>166098.98000000001</v>
      </c>
      <c r="H237" s="2">
        <v>179465.03</v>
      </c>
      <c r="I237" s="2">
        <v>210248.15</v>
      </c>
      <c r="J237" s="2">
        <v>201145.95</v>
      </c>
      <c r="K237" s="2">
        <v>150085.82</v>
      </c>
      <c r="L237" s="2">
        <v>137855.26999999999</v>
      </c>
      <c r="M237" s="2">
        <v>168522.74</v>
      </c>
      <c r="N237" s="2">
        <v>139203</v>
      </c>
      <c r="O237" s="2">
        <v>185420.52</v>
      </c>
      <c r="P237" s="2">
        <v>138876.09</v>
      </c>
      <c r="Q237" s="2">
        <v>191503.76</v>
      </c>
      <c r="R237" s="2">
        <v>191006.75</v>
      </c>
      <c r="S237" s="2">
        <v>159578.94</v>
      </c>
      <c r="T237" s="2">
        <v>174510.91</v>
      </c>
      <c r="U237" s="2">
        <v>127742.71</v>
      </c>
      <c r="V237" s="2">
        <v>158730.74</v>
      </c>
      <c r="W237" s="2">
        <v>207174.97</v>
      </c>
      <c r="X237" s="2">
        <v>219078.33</v>
      </c>
      <c r="Y237" s="2">
        <v>165704.57</v>
      </c>
      <c r="Z237" s="2">
        <v>155436.74</v>
      </c>
      <c r="AA237" s="2">
        <v>167504.29999999999</v>
      </c>
      <c r="AB237" s="2">
        <v>156269.97</v>
      </c>
      <c r="AC237" s="2">
        <v>167922.71</v>
      </c>
      <c r="AD237" s="2">
        <v>187903.26</v>
      </c>
      <c r="AE237" s="2">
        <v>202290.76</v>
      </c>
      <c r="AF237" s="2">
        <v>186108.22</v>
      </c>
      <c r="AG237" s="2">
        <v>223846.9</v>
      </c>
      <c r="AH237" s="2">
        <v>159606.34</v>
      </c>
      <c r="AI237" s="24">
        <f>SUM(E237:AH237)</f>
        <v>5186097.8500000006</v>
      </c>
      <c r="AJ237" s="26">
        <v>4827181.6607296309</v>
      </c>
      <c r="AK237" s="33">
        <f>$AJ237/$AI237*E237</f>
        <v>147809.31127531055</v>
      </c>
      <c r="AL237" s="33">
        <f>$AJ237/$AI237*F237</f>
        <v>138181.76939505897</v>
      </c>
      <c r="AM237" s="33">
        <f>$AJ237/$AI237*G237</f>
        <v>154603.70654631936</v>
      </c>
      <c r="AN237" s="33">
        <f>$AJ237/$AI237*H237</f>
        <v>167044.72738752759</v>
      </c>
      <c r="AO237" s="33">
        <f>$AJ237/$AI237*I237</f>
        <v>195697.42863265343</v>
      </c>
      <c r="AP237" s="33">
        <f>$AJ237/$AI237*J237</f>
        <v>187225.16794974072</v>
      </c>
      <c r="AQ237" s="33">
        <f>$AJ237/$AI237*K237</f>
        <v>139698.77522453002</v>
      </c>
      <c r="AR237" s="33">
        <f>$AJ237/$AI237*L237</f>
        <v>128314.66941545108</v>
      </c>
      <c r="AS237" s="33">
        <f>$AJ237/$AI237*M237</f>
        <v>156859.7244928396</v>
      </c>
      <c r="AT237" s="33">
        <f>$AJ237/$AI237*N237</f>
        <v>129569.12656758814</v>
      </c>
      <c r="AU237" s="33">
        <f>$AJ237/$AI237*O237</f>
        <v>172588.05359157495</v>
      </c>
      <c r="AV237" s="33">
        <f>$AJ237/$AI237*P237</f>
        <v>129264.8411486948</v>
      </c>
      <c r="AW237" s="33">
        <f>$AJ237/$AI237*Q237</f>
        <v>178250.28855419083</v>
      </c>
      <c r="AX237" s="33">
        <f>$AJ237/$AI237*R237</f>
        <v>177787.67530881998</v>
      </c>
      <c r="AY237" s="33">
        <f>$AJ237/$AI237*S237</f>
        <v>148534.90136262547</v>
      </c>
      <c r="AZ237" s="33">
        <f>$AJ237/$AI237*T237</f>
        <v>162433.46900005735</v>
      </c>
      <c r="BA237" s="33">
        <f>$AJ237/$AI237*U237</f>
        <v>118901.97309021148</v>
      </c>
      <c r="BB237" s="33">
        <f>$AJ237/$AI237*V237</f>
        <v>147745.40305328855</v>
      </c>
      <c r="BC237" s="33">
        <f>$AJ237/$AI237*W237</f>
        <v>192836.93533592147</v>
      </c>
      <c r="BD237" s="33">
        <f>$AJ237/$AI237*X237</f>
        <v>203916.49510417046</v>
      </c>
      <c r="BE237" s="33">
        <f>$AJ237/$AI237*Y237</f>
        <v>154236.59262485558</v>
      </c>
      <c r="BF237" s="33">
        <f>$AJ237/$AI237*Z237</f>
        <v>144679.37212785133</v>
      </c>
      <c r="BG237" s="33">
        <f>$AJ237/$AI237*AA237</f>
        <v>155911.76804605685</v>
      </c>
      <c r="BH237" s="33">
        <f>$AJ237/$AI237*AB237</f>
        <v>145454.9364715071</v>
      </c>
      <c r="BI237" s="33">
        <f>$AJ237/$AI237*AC237</f>
        <v>156301.22099065679</v>
      </c>
      <c r="BJ237" s="33">
        <f>$AJ237/$AI237*AD237</f>
        <v>174898.96968745231</v>
      </c>
      <c r="BK237" s="33">
        <f>$AJ237/$AI237*AE237</f>
        <v>188290.7486612616</v>
      </c>
      <c r="BL237" s="33">
        <f>$AJ237/$AI237*AF237</f>
        <v>173228.15968368886</v>
      </c>
      <c r="BM237" s="33">
        <f>$AJ237/$AI237*AG237</f>
        <v>208355.04491901933</v>
      </c>
      <c r="BN237" s="33">
        <f>$AJ237/$AI237*AH237</f>
        <v>148560.40508070591</v>
      </c>
    </row>
    <row r="238" spans="1:66" x14ac:dyDescent="0.25">
      <c r="A238" s="1" t="s">
        <v>68</v>
      </c>
      <c r="B238" s="4">
        <v>20</v>
      </c>
      <c r="C238" s="4" t="s">
        <v>5</v>
      </c>
      <c r="D238" s="4" t="str">
        <f>A238&amp;C238</f>
        <v>RONGAI MAINVEGES</v>
      </c>
      <c r="E238" s="2">
        <v>46555.46</v>
      </c>
      <c r="F238" s="2">
        <v>53607.16</v>
      </c>
      <c r="G238" s="2">
        <v>47952.9</v>
      </c>
      <c r="H238" s="2">
        <v>47095.82</v>
      </c>
      <c r="I238" s="2">
        <v>62043.15</v>
      </c>
      <c r="J238" s="2">
        <v>51915.26</v>
      </c>
      <c r="K238" s="2">
        <v>53037.91</v>
      </c>
      <c r="L238" s="2">
        <v>56908.44</v>
      </c>
      <c r="M238" s="2">
        <v>47718.13</v>
      </c>
      <c r="N238" s="2">
        <v>55359.67</v>
      </c>
      <c r="O238" s="2">
        <v>68226.179999999993</v>
      </c>
      <c r="P238" s="2">
        <v>59784.19</v>
      </c>
      <c r="Q238" s="2">
        <v>59916.59</v>
      </c>
      <c r="R238" s="2">
        <v>45891.03</v>
      </c>
      <c r="S238" s="2">
        <v>57209.36</v>
      </c>
      <c r="T238" s="2">
        <v>46367.79</v>
      </c>
      <c r="U238" s="2">
        <v>64845.16</v>
      </c>
      <c r="V238" s="2">
        <v>58466.61</v>
      </c>
      <c r="W238" s="2">
        <v>64973.73</v>
      </c>
      <c r="X238" s="2">
        <v>65243.16</v>
      </c>
      <c r="Y238" s="2">
        <v>61443.81</v>
      </c>
      <c r="Z238" s="2">
        <v>55679.65</v>
      </c>
      <c r="AA238" s="2">
        <v>56282.93</v>
      </c>
      <c r="AB238" s="2">
        <v>55537.08</v>
      </c>
      <c r="AC238" s="2">
        <v>72332.23</v>
      </c>
      <c r="AD238" s="2">
        <v>68575.88</v>
      </c>
      <c r="AE238" s="2">
        <v>68824.72</v>
      </c>
      <c r="AF238" s="2">
        <v>74936.84</v>
      </c>
      <c r="AG238" s="2">
        <v>62437.41</v>
      </c>
      <c r="AH238" s="2">
        <v>59896.37</v>
      </c>
      <c r="AI238" s="24">
        <f>SUM(E238:AH238)</f>
        <v>1749064.6199999999</v>
      </c>
      <c r="AJ238" s="26">
        <v>1644727.4863664568</v>
      </c>
      <c r="AK238" s="33">
        <f>$AJ238/$AI238*E238</f>
        <v>43778.282304077555</v>
      </c>
      <c r="AL238" s="33">
        <f>$AJ238/$AI238*F238</f>
        <v>50409.326510786363</v>
      </c>
      <c r="AM238" s="33">
        <f>$AJ238/$AI238*G238</f>
        <v>45092.360670460577</v>
      </c>
      <c r="AN238" s="33">
        <f>$AJ238/$AI238*H238</f>
        <v>44286.408152814336</v>
      </c>
      <c r="AO238" s="33">
        <f>$AJ238/$AI238*I238</f>
        <v>58342.083522195448</v>
      </c>
      <c r="AP238" s="33">
        <f>$AJ238/$AI238*J238</f>
        <v>48818.353597399429</v>
      </c>
      <c r="AQ238" s="33">
        <f>$AJ238/$AI238*K238</f>
        <v>49874.034040223385</v>
      </c>
      <c r="AR238" s="33">
        <f>$AJ238/$AI238*L238</f>
        <v>53513.674911700138</v>
      </c>
      <c r="AS238" s="33">
        <f>$AJ238/$AI238*M238</f>
        <v>44871.59542968047</v>
      </c>
      <c r="AT238" s="33">
        <f>$AJ238/$AI238*N238</f>
        <v>52057.293849541449</v>
      </c>
      <c r="AU238" s="33">
        <f>$AJ238/$AI238*O238</f>
        <v>64156.276590733069</v>
      </c>
      <c r="AV238" s="33">
        <f>$AJ238/$AI238*P238</f>
        <v>56217.877497947833</v>
      </c>
      <c r="AW238" s="33">
        <f>$AJ238/$AI238*Q238</f>
        <v>56342.379426981708</v>
      </c>
      <c r="AX238" s="33">
        <f>$AJ238/$AI238*R238</f>
        <v>43153.487615950784</v>
      </c>
      <c r="AY238" s="33">
        <f>$AJ238/$AI238*S238</f>
        <v>53796.644099652374</v>
      </c>
      <c r="AZ238" s="33">
        <f>$AJ238/$AI238*T238</f>
        <v>43601.807402100298</v>
      </c>
      <c r="BA238" s="33">
        <f>$AJ238/$AI238*U238</f>
        <v>60976.944928330166</v>
      </c>
      <c r="BB238" s="33">
        <f>$AJ238/$AI238*V238</f>
        <v>54978.895234681469</v>
      </c>
      <c r="BC238" s="33">
        <f>$AJ238/$AI238*W238</f>
        <v>61097.845328752264</v>
      </c>
      <c r="BD238" s="33">
        <f>$AJ238/$AI238*X238</f>
        <v>61351.202992948638</v>
      </c>
      <c r="BE238" s="33">
        <f>$AJ238/$AI238*Y238</f>
        <v>57778.496013531032</v>
      </c>
      <c r="BF238" s="33">
        <f>$AJ238/$AI238*Z238</f>
        <v>52358.186049331955</v>
      </c>
      <c r="BG238" s="33">
        <f>$AJ238/$AI238*AA238</f>
        <v>52925.47852476671</v>
      </c>
      <c r="BH238" s="33">
        <f>$AJ238/$AI238*AB238</f>
        <v>52224.12079236548</v>
      </c>
      <c r="BI238" s="33">
        <f>$AJ238/$AI238*AC238</f>
        <v>68017.387963161949</v>
      </c>
      <c r="BJ238" s="33">
        <f>$AJ238/$AI238*AD238</f>
        <v>64485.115900273478</v>
      </c>
      <c r="BK238" s="33">
        <f>$AJ238/$AI238*AE238</f>
        <v>64719.111821880666</v>
      </c>
      <c r="BL238" s="33">
        <f>$AJ238/$AI238*AF238</f>
        <v>70466.624892021064</v>
      </c>
      <c r="BM238" s="33">
        <f>$AJ238/$AI238*AG238</f>
        <v>58712.824689422785</v>
      </c>
      <c r="BN238" s="33">
        <f>$AJ238/$AI238*AH238</f>
        <v>56323.365612744063</v>
      </c>
    </row>
    <row r="239" spans="1:66" x14ac:dyDescent="0.25">
      <c r="A239" s="1" t="s">
        <v>13</v>
      </c>
      <c r="B239" s="4">
        <v>21</v>
      </c>
      <c r="C239" s="4" t="s">
        <v>5</v>
      </c>
      <c r="D239" s="4" t="str">
        <f>A239&amp;C239</f>
        <v>CHAKAVEGES</v>
      </c>
      <c r="E239" s="2">
        <v>151423.29</v>
      </c>
      <c r="F239" s="2">
        <v>163237.17000000001</v>
      </c>
      <c r="G239" s="2">
        <v>138377.03</v>
      </c>
      <c r="H239" s="2">
        <v>151109.15</v>
      </c>
      <c r="I239" s="2">
        <v>178303.59</v>
      </c>
      <c r="J239" s="2">
        <v>176579.18</v>
      </c>
      <c r="K239" s="2">
        <v>169278.85</v>
      </c>
      <c r="L239" s="2">
        <v>159736.5</v>
      </c>
      <c r="M239" s="2">
        <v>164186.39000000001</v>
      </c>
      <c r="N239" s="2">
        <v>177683.73</v>
      </c>
      <c r="O239" s="2">
        <v>154508.4</v>
      </c>
      <c r="P239" s="2">
        <v>199422.17</v>
      </c>
      <c r="Q239" s="2">
        <v>178658.01</v>
      </c>
      <c r="R239" s="2">
        <v>154287.10999999999</v>
      </c>
      <c r="S239" s="2">
        <v>149702.09</v>
      </c>
      <c r="T239" s="2">
        <v>187299.62</v>
      </c>
      <c r="U239" s="2">
        <v>173533.18</v>
      </c>
      <c r="V239" s="2">
        <v>191820.39</v>
      </c>
      <c r="W239" s="2">
        <v>171203.27</v>
      </c>
      <c r="X239" s="2">
        <v>166070.54</v>
      </c>
      <c r="Y239" s="2">
        <v>183177.05</v>
      </c>
      <c r="Z239" s="2">
        <v>186931.62</v>
      </c>
      <c r="AA239" s="2">
        <v>167864.86</v>
      </c>
      <c r="AB239" s="2">
        <v>163043.99</v>
      </c>
      <c r="AC239" s="2">
        <v>168147.8</v>
      </c>
      <c r="AD239" s="2">
        <v>190925.21</v>
      </c>
      <c r="AE239" s="2">
        <v>196308.31</v>
      </c>
      <c r="AF239" s="2">
        <v>141497</v>
      </c>
      <c r="AG239" s="2">
        <v>167093.54</v>
      </c>
      <c r="AH239" s="2">
        <v>137605.38</v>
      </c>
      <c r="AI239" s="24">
        <f>SUM(E239:AH239)</f>
        <v>5059014.419999999</v>
      </c>
      <c r="AJ239" s="26">
        <v>4414410.714278779</v>
      </c>
      <c r="AK239" s="33">
        <f>$AJ239/$AI239*E239</f>
        <v>132129.41064661817</v>
      </c>
      <c r="AL239" s="33">
        <f>$AJ239/$AI239*F239</f>
        <v>142438.00321418073</v>
      </c>
      <c r="AM239" s="33">
        <f>$AJ239/$AI239*G239</f>
        <v>120745.46406255868</v>
      </c>
      <c r="AN239" s="33">
        <f>$AJ239/$AI239*H239</f>
        <v>131855.29737738112</v>
      </c>
      <c r="AO239" s="33">
        <f>$AJ239/$AI239*I239</f>
        <v>155584.70736487259</v>
      </c>
      <c r="AP239" s="33">
        <f>$AJ239/$AI239*J239</f>
        <v>154080.01626343679</v>
      </c>
      <c r="AQ239" s="33">
        <f>$AJ239/$AI239*K239</f>
        <v>147709.87135094794</v>
      </c>
      <c r="AR239" s="33">
        <f>$AJ239/$AI239*L239</f>
        <v>139383.37757522982</v>
      </c>
      <c r="AS239" s="33">
        <f>$AJ239/$AI239*M239</f>
        <v>143266.27658727931</v>
      </c>
      <c r="AT239" s="33">
        <f>$AJ239/$AI239*N239</f>
        <v>155043.82797648123</v>
      </c>
      <c r="AU239" s="33">
        <f>$AJ239/$AI239*O239</f>
        <v>134821.42563374457</v>
      </c>
      <c r="AV239" s="33">
        <f>$AJ239/$AI239*P239</f>
        <v>174012.42432369353</v>
      </c>
      <c r="AW239" s="33">
        <f>$AJ239/$AI239*Q239</f>
        <v>155893.9682831988</v>
      </c>
      <c r="AX239" s="33">
        <f>$AJ239/$AI239*R239</f>
        <v>134628.33170954051</v>
      </c>
      <c r="AY239" s="33">
        <f>$AJ239/$AI239*S239</f>
        <v>130627.52053707848</v>
      </c>
      <c r="AZ239" s="33">
        <f>$AJ239/$AI239*T239</f>
        <v>163434.49151669824</v>
      </c>
      <c r="BA239" s="33">
        <f>$AJ239/$AI239*U239</f>
        <v>151422.12800311964</v>
      </c>
      <c r="BB239" s="33">
        <f>$AJ239/$AI239*V239</f>
        <v>167379.23922208036</v>
      </c>
      <c r="BC239" s="33">
        <f>$AJ239/$AI239*W239</f>
        <v>149389.08780725766</v>
      </c>
      <c r="BD239" s="33">
        <f>$AJ239/$AI239*X239</f>
        <v>144910.35412033135</v>
      </c>
      <c r="BE239" s="33">
        <f>$AJ239/$AI239*Y239</f>
        <v>159837.2064197397</v>
      </c>
      <c r="BF239" s="33">
        <f>$AJ239/$AI239*Z239</f>
        <v>163113.38091926003</v>
      </c>
      <c r="BG239" s="33">
        <f>$AJ239/$AI239*AA239</f>
        <v>146476.04750944895</v>
      </c>
      <c r="BH239" s="33">
        <f>$AJ239/$AI239*AB239</f>
        <v>142269.43760218855</v>
      </c>
      <c r="BI239" s="33">
        <f>$AJ239/$AI239*AC239</f>
        <v>146722.93618455535</v>
      </c>
      <c r="BJ239" s="33">
        <f>$AJ239/$AI239*AD239</f>
        <v>166598.12024214907</v>
      </c>
      <c r="BK239" s="33">
        <f>$AJ239/$AI239*AE239</f>
        <v>171295.32257114226</v>
      </c>
      <c r="BL239" s="33">
        <f>$AJ239/$AI239*AF239</f>
        <v>123467.89729812719</v>
      </c>
      <c r="BM239" s="33">
        <f>$AJ239/$AI239*AG239</f>
        <v>145803.00667788371</v>
      </c>
      <c r="BN239" s="33">
        <f>$AJ239/$AI239*AH239</f>
        <v>120072.13527855549</v>
      </c>
    </row>
    <row r="240" spans="1:66" x14ac:dyDescent="0.25">
      <c r="A240" s="1" t="s">
        <v>14</v>
      </c>
      <c r="B240" s="4">
        <v>22</v>
      </c>
      <c r="C240" s="4" t="s">
        <v>5</v>
      </c>
      <c r="D240" s="4" t="str">
        <f>A240&amp;C240</f>
        <v>EBP 2VEGES</v>
      </c>
      <c r="E240" s="2">
        <v>76884.47</v>
      </c>
      <c r="F240" s="2">
        <v>81742.539999999994</v>
      </c>
      <c r="G240" s="2">
        <v>73557.39</v>
      </c>
      <c r="H240" s="2">
        <v>90353.64</v>
      </c>
      <c r="I240" s="2">
        <v>92535.17</v>
      </c>
      <c r="J240" s="2">
        <v>137703.65</v>
      </c>
      <c r="K240" s="2">
        <v>71816.38</v>
      </c>
      <c r="L240" s="2">
        <v>85288.37</v>
      </c>
      <c r="M240" s="2">
        <v>92636.01</v>
      </c>
      <c r="N240" s="2">
        <v>51291.39</v>
      </c>
      <c r="O240" s="2">
        <v>74673.08</v>
      </c>
      <c r="P240" s="2">
        <v>81386.710000000006</v>
      </c>
      <c r="Q240" s="2">
        <v>92199.23</v>
      </c>
      <c r="R240" s="2">
        <v>74910.679999999993</v>
      </c>
      <c r="S240" s="2">
        <v>60173.21</v>
      </c>
      <c r="T240" s="2">
        <v>66786.09</v>
      </c>
      <c r="U240" s="2">
        <v>75331.44</v>
      </c>
      <c r="V240" s="2">
        <v>83836.929999999993</v>
      </c>
      <c r="W240" s="2">
        <v>149037.18</v>
      </c>
      <c r="X240" s="2">
        <v>91747.01</v>
      </c>
      <c r="Y240" s="2">
        <v>91296.27</v>
      </c>
      <c r="Z240" s="2">
        <v>91150.42</v>
      </c>
      <c r="AA240" s="2">
        <v>64929.63</v>
      </c>
      <c r="AB240" s="2">
        <v>85631.41</v>
      </c>
      <c r="AC240" s="2">
        <v>100988.79</v>
      </c>
      <c r="AD240" s="2">
        <v>89875.37</v>
      </c>
      <c r="AE240" s="2">
        <v>110633.41</v>
      </c>
      <c r="AF240" s="2">
        <v>92611.43</v>
      </c>
      <c r="AG240" s="2">
        <v>118195.15</v>
      </c>
      <c r="AH240" s="2">
        <v>116311.47</v>
      </c>
      <c r="AI240" s="24">
        <f>SUM(E240:AH240)</f>
        <v>2665513.92</v>
      </c>
      <c r="AJ240" s="26">
        <v>2956837.208553493</v>
      </c>
      <c r="AK240" s="33">
        <f>$AJ240/$AI240*E240</f>
        <v>85287.441176039632</v>
      </c>
      <c r="AL240" s="33">
        <f>$AJ240/$AI240*F240</f>
        <v>90676.466545585427</v>
      </c>
      <c r="AM240" s="33">
        <f>$AJ240/$AI240*G240</f>
        <v>81596.733029284136</v>
      </c>
      <c r="AN240" s="33">
        <f>$AJ240/$AI240*H240</f>
        <v>100228.70361909318</v>
      </c>
      <c r="AO240" s="33">
        <f>$AJ240/$AI240*I240</f>
        <v>102648.66062144705</v>
      </c>
      <c r="AP240" s="33">
        <f>$AJ240/$AI240*J240</f>
        <v>152753.76092338216</v>
      </c>
      <c r="AQ240" s="33">
        <f>$AJ240/$AI240*K240</f>
        <v>79665.441990119842</v>
      </c>
      <c r="AR240" s="33">
        <f>$AJ240/$AI240*L240</f>
        <v>94609.832640783017</v>
      </c>
      <c r="AS240" s="33">
        <f>$AJ240/$AI240*M240</f>
        <v>102760.52177582831</v>
      </c>
      <c r="AT240" s="33">
        <f>$AJ240/$AI240*N240</f>
        <v>56897.204434943844</v>
      </c>
      <c r="AU240" s="33">
        <f>$AJ240/$AI240*O240</f>
        <v>82834.360670414986</v>
      </c>
      <c r="AV240" s="33">
        <f>$AJ240/$AI240*P240</f>
        <v>90281.746647097869</v>
      </c>
      <c r="AW240" s="33">
        <f>$AJ240/$AI240*Q240</f>
        <v>102276.00457024868</v>
      </c>
      <c r="AX240" s="33">
        <f>$AJ240/$AI240*R240</f>
        <v>83097.928800928552</v>
      </c>
      <c r="AY240" s="33">
        <f>$AJ240/$AI240*S240</f>
        <v>66749.749438976156</v>
      </c>
      <c r="AZ240" s="33">
        <f>$AJ240/$AI240*T240</f>
        <v>74085.37409769083</v>
      </c>
      <c r="BA240" s="33">
        <f>$AJ240/$AI240*U240</f>
        <v>83564.675124981135</v>
      </c>
      <c r="BB240" s="33">
        <f>$AJ240/$AI240*V240</f>
        <v>92999.759714214742</v>
      </c>
      <c r="BC240" s="33">
        <f>$AJ240/$AI240*W240</f>
        <v>165325.97184181446</v>
      </c>
      <c r="BD240" s="33">
        <f>$AJ240/$AI240*X240</f>
        <v>101774.35987335959</v>
      </c>
      <c r="BE240" s="33">
        <f>$AJ240/$AI240*Y240</f>
        <v>101274.35693081882</v>
      </c>
      <c r="BF240" s="33">
        <f>$AJ240/$AI240*Z240</f>
        <v>101112.56647696609</v>
      </c>
      <c r="BG240" s="33">
        <f>$AJ240/$AI240*AA240</f>
        <v>72026.015126423037</v>
      </c>
      <c r="BH240" s="33">
        <f>$AJ240/$AI240*AB240</f>
        <v>94990.36467567939</v>
      </c>
      <c r="BI240" s="33">
        <f>$AJ240/$AI240*AC240</f>
        <v>112026.20615794606</v>
      </c>
      <c r="BJ240" s="33">
        <f>$AJ240/$AI240*AD240</f>
        <v>99698.161827086748</v>
      </c>
      <c r="BK240" s="33">
        <f>$AJ240/$AI240*AE240</f>
        <v>122724.92022744872</v>
      </c>
      <c r="BL240" s="33">
        <f>$AJ240/$AI240*AF240</f>
        <v>102733.25534212451</v>
      </c>
      <c r="BM240" s="33">
        <f>$AJ240/$AI240*AG240</f>
        <v>131113.10909626065</v>
      </c>
      <c r="BN240" s="33">
        <f>$AJ240/$AI240*AH240</f>
        <v>129023.55515650558</v>
      </c>
    </row>
    <row r="241" spans="1:66" ht="24.75" x14ac:dyDescent="0.25">
      <c r="A241" s="1" t="s">
        <v>15</v>
      </c>
      <c r="B241" s="4">
        <v>23</v>
      </c>
      <c r="C241" s="4" t="s">
        <v>5</v>
      </c>
      <c r="D241" s="4" t="str">
        <f>A241&amp;C241</f>
        <v>UTAWALA EXPRESSVEGES</v>
      </c>
      <c r="E241" s="2">
        <v>29864.41</v>
      </c>
      <c r="F241" s="2">
        <v>39225.08</v>
      </c>
      <c r="G241" s="2">
        <v>36677.21</v>
      </c>
      <c r="H241" s="2">
        <v>30483.71</v>
      </c>
      <c r="I241" s="2">
        <v>38880.26</v>
      </c>
      <c r="J241" s="2">
        <v>39128.51</v>
      </c>
      <c r="K241" s="2">
        <v>30658.94</v>
      </c>
      <c r="L241" s="2">
        <v>22184.58</v>
      </c>
      <c r="M241" s="2">
        <v>29502.74</v>
      </c>
      <c r="N241" s="2">
        <v>28655.51</v>
      </c>
      <c r="O241" s="2">
        <v>40886.04</v>
      </c>
      <c r="P241" s="2">
        <v>34287.879999999997</v>
      </c>
      <c r="Q241" s="2">
        <v>34172.71</v>
      </c>
      <c r="R241" s="2">
        <v>40483.699999999997</v>
      </c>
      <c r="S241" s="2">
        <v>20323.46</v>
      </c>
      <c r="T241" s="2">
        <v>25167.88</v>
      </c>
      <c r="U241" s="2">
        <v>30152.75</v>
      </c>
      <c r="V241" s="2">
        <v>24345.360000000001</v>
      </c>
      <c r="W241" s="2">
        <v>43577.55</v>
      </c>
      <c r="X241" s="2">
        <v>40172.660000000003</v>
      </c>
      <c r="Y241" s="2">
        <v>31567.41</v>
      </c>
      <c r="Z241" s="2">
        <v>27697.63</v>
      </c>
      <c r="AA241" s="2">
        <v>32693.52</v>
      </c>
      <c r="AB241" s="2">
        <v>33672.980000000003</v>
      </c>
      <c r="AC241" s="2">
        <v>33635.129999999997</v>
      </c>
      <c r="AD241" s="2">
        <v>35986.379999999997</v>
      </c>
      <c r="AE241" s="2">
        <v>39307.279999999999</v>
      </c>
      <c r="AF241" s="2">
        <v>43945.86</v>
      </c>
      <c r="AG241" s="2">
        <v>39871.22</v>
      </c>
      <c r="AH241" s="2">
        <v>33658.04</v>
      </c>
      <c r="AI241" s="24">
        <f>SUM(E241:AH241)</f>
        <v>1010866.3900000002</v>
      </c>
      <c r="AJ241" s="26">
        <v>693453.41428166954</v>
      </c>
      <c r="AK241" s="33">
        <f>$AJ241/$AI241*E241</f>
        <v>20486.95780656792</v>
      </c>
      <c r="AL241" s="33">
        <f>$AJ241/$AI241*F241</f>
        <v>26908.368821592361</v>
      </c>
      <c r="AM241" s="33">
        <f>$AJ241/$AI241*G241</f>
        <v>25160.532343770759</v>
      </c>
      <c r="AN241" s="33">
        <f>$AJ241/$AI241*H241</f>
        <v>20911.797037264507</v>
      </c>
      <c r="AO241" s="33">
        <f>$AJ241/$AI241*I241</f>
        <v>26671.822618574766</v>
      </c>
      <c r="AP241" s="33">
        <f>$AJ241/$AI241*J241</f>
        <v>26842.12189036619</v>
      </c>
      <c r="AQ241" s="33">
        <f>$AJ241/$AI241*K241</f>
        <v>21032.004656180965</v>
      </c>
      <c r="AR241" s="33">
        <f>$AJ241/$AI241*L241</f>
        <v>15218.601486399046</v>
      </c>
      <c r="AS241" s="33">
        <f>$AJ241/$AI241*M241</f>
        <v>20238.852519040007</v>
      </c>
      <c r="AT241" s="33">
        <f>$AJ241/$AI241*N241</f>
        <v>19657.653517872444</v>
      </c>
      <c r="AU241" s="33">
        <f>$AJ241/$AI241*O241</f>
        <v>28047.785854723003</v>
      </c>
      <c r="AV241" s="33">
        <f>$AJ241/$AI241*P241</f>
        <v>23521.454160208221</v>
      </c>
      <c r="AW241" s="33">
        <f>$AJ241/$AI241*Q241</f>
        <v>23442.447646080454</v>
      </c>
      <c r="AX241" s="33">
        <f>$AJ241/$AI241*R241</f>
        <v>27771.780984581768</v>
      </c>
      <c r="AY241" s="33">
        <f>$AJ241/$AI241*S241</f>
        <v>13941.874877269325</v>
      </c>
      <c r="AZ241" s="33">
        <f>$AJ241/$AI241*T241</f>
        <v>17265.142543943264</v>
      </c>
      <c r="BA241" s="33">
        <f>$AJ241/$AI241*U241</f>
        <v>20684.75878150584</v>
      </c>
      <c r="BB241" s="33">
        <f>$AJ241/$AI241*V241</f>
        <v>16700.894580060558</v>
      </c>
      <c r="BC241" s="33">
        <f>$AJ241/$AI241*W241</f>
        <v>29894.15924050078</v>
      </c>
      <c r="BD241" s="33">
        <f>$AJ241/$AI241*X241</f>
        <v>27558.407830511263</v>
      </c>
      <c r="BE241" s="33">
        <f>$AJ241/$AI241*Y241</f>
        <v>21655.214241052483</v>
      </c>
      <c r="BF241" s="33">
        <f>$AJ241/$AI241*Z241</f>
        <v>19000.548718422022</v>
      </c>
      <c r="BG241" s="33">
        <f>$AJ241/$AI241*AA241</f>
        <v>22427.724665854254</v>
      </c>
      <c r="BH241" s="33">
        <f>$AJ241/$AI241*AB241</f>
        <v>23099.63332546685</v>
      </c>
      <c r="BI241" s="33">
        <f>$AJ241/$AI241*AC241</f>
        <v>23073.668260261184</v>
      </c>
      <c r="BJ241" s="33">
        <f>$AJ241/$AI241*AD241</f>
        <v>24686.623598829494</v>
      </c>
      <c r="BK241" s="33">
        <f>$AJ241/$AI241*AE241</f>
        <v>26964.757946028432</v>
      </c>
      <c r="BL241" s="33">
        <f>$AJ241/$AI241*AF241</f>
        <v>30146.819561924742</v>
      </c>
      <c r="BM241" s="33">
        <f>$AJ241/$AI241*AG241</f>
        <v>27351.620267615766</v>
      </c>
      <c r="BN241" s="33">
        <f>$AJ241/$AI241*AH241</f>
        <v>23089.384499200729</v>
      </c>
    </row>
    <row r="242" spans="1:66" x14ac:dyDescent="0.25">
      <c r="A242" s="1" t="s">
        <v>18</v>
      </c>
      <c r="B242" s="4">
        <v>24</v>
      </c>
      <c r="C242" s="4" t="s">
        <v>5</v>
      </c>
      <c r="D242" s="4" t="str">
        <f>A242&amp;C242</f>
        <v>KAHAWA WESTVEGES</v>
      </c>
      <c r="E242" s="2">
        <v>28902.83</v>
      </c>
      <c r="F242" s="2">
        <v>27783.02</v>
      </c>
      <c r="G242" s="2">
        <v>14047.69</v>
      </c>
      <c r="H242" s="2">
        <v>36143.199999999997</v>
      </c>
      <c r="I242" s="2">
        <v>23294.89</v>
      </c>
      <c r="J242" s="2">
        <v>27994.799999999999</v>
      </c>
      <c r="K242" s="2">
        <v>24972.12</v>
      </c>
      <c r="L242" s="2">
        <v>26543.14</v>
      </c>
      <c r="M242" s="2">
        <v>23619.46</v>
      </c>
      <c r="N242" s="2">
        <v>24005.17</v>
      </c>
      <c r="O242" s="2">
        <v>25775.02</v>
      </c>
      <c r="P242" s="2">
        <v>32702.36</v>
      </c>
      <c r="Q242" s="2">
        <v>25064.94</v>
      </c>
      <c r="R242" s="2">
        <v>19886.88</v>
      </c>
      <c r="S242" s="2">
        <v>17522.11</v>
      </c>
      <c r="T242" s="2">
        <v>23193.79</v>
      </c>
      <c r="U242" s="2">
        <v>18972.72</v>
      </c>
      <c r="V242" s="2">
        <v>19390.14</v>
      </c>
      <c r="W242" s="2">
        <v>27438.3</v>
      </c>
      <c r="X242" s="2">
        <v>28892.04</v>
      </c>
      <c r="Y242" s="2">
        <v>23777.360000000001</v>
      </c>
      <c r="Z242" s="2">
        <v>18030.71</v>
      </c>
      <c r="AA242" s="2">
        <v>20745.259999999998</v>
      </c>
      <c r="AB242" s="2">
        <v>17527.18</v>
      </c>
      <c r="AC242" s="2">
        <v>17877.13</v>
      </c>
      <c r="AD242" s="2">
        <v>24190.81</v>
      </c>
      <c r="AE242" s="2">
        <v>25301.54</v>
      </c>
      <c r="AF242" s="2">
        <v>35021.120000000003</v>
      </c>
      <c r="AG242" s="2">
        <v>32465.1</v>
      </c>
      <c r="AH242" s="2">
        <v>18929.900000000001</v>
      </c>
      <c r="AI242" s="24">
        <f>SUM(E242:AH242)</f>
        <v>730010.7300000001</v>
      </c>
      <c r="AJ242" s="26">
        <v>775791.46413599362</v>
      </c>
      <c r="AK242" s="33">
        <f>$AJ242/$AI242*E242</f>
        <v>30715.396201606134</v>
      </c>
      <c r="AL242" s="33">
        <f>$AJ242/$AI242*F242</f>
        <v>29525.360214800668</v>
      </c>
      <c r="AM242" s="33">
        <f>$AJ242/$AI242*G242</f>
        <v>14928.654532007435</v>
      </c>
      <c r="AN242" s="33">
        <f>$AJ242/$AI242*H242</f>
        <v>38409.827272758092</v>
      </c>
      <c r="AO242" s="33">
        <f>$AJ242/$AI242*I242</f>
        <v>24755.768754230387</v>
      </c>
      <c r="AP242" s="33">
        <f>$AJ242/$AI242*J242</f>
        <v>29750.421449550904</v>
      </c>
      <c r="AQ242" s="33">
        <f>$AJ242/$AI242*K242</f>
        <v>26538.181894093155</v>
      </c>
      <c r="AR242" s="33">
        <f>$AJ242/$AI242*L242</f>
        <v>28207.724348608761</v>
      </c>
      <c r="AS242" s="33">
        <f>$AJ242/$AI242*M242</f>
        <v>25100.693322003001</v>
      </c>
      <c r="AT242" s="33">
        <f>$AJ242/$AI242*N242</f>
        <v>25510.592126684805</v>
      </c>
      <c r="AU242" s="33">
        <f>$AJ242/$AI242*O242</f>
        <v>27391.433690206879</v>
      </c>
      <c r="AV242" s="33">
        <f>$AJ242/$AI242*P242</f>
        <v>34753.203894828162</v>
      </c>
      <c r="AW242" s="33">
        <f>$AJ242/$AI242*Q242</f>
        <v>26636.822860234985</v>
      </c>
      <c r="AX242" s="33">
        <f>$AJ242/$AI242*R242</f>
        <v>21134.034224807638</v>
      </c>
      <c r="AY242" s="33">
        <f>$AJ242/$AI242*S242</f>
        <v>18620.963792754024</v>
      </c>
      <c r="AZ242" s="33">
        <f>$AJ242/$AI242*T242</f>
        <v>24648.328529311846</v>
      </c>
      <c r="BA242" s="33">
        <f>$AJ242/$AI242*U242</f>
        <v>20162.54504566289</v>
      </c>
      <c r="BB242" s="33">
        <f>$AJ242/$AI242*V242</f>
        <v>20606.142460949712</v>
      </c>
      <c r="BC242" s="33">
        <f>$AJ242/$AI242*W242</f>
        <v>29159.021991913232</v>
      </c>
      <c r="BD242" s="33">
        <f>$AJ242/$AI242*X242</f>
        <v>30703.92953467368</v>
      </c>
      <c r="BE242" s="33">
        <f>$AJ242/$AI242*Y242</f>
        <v>25268.495611959854</v>
      </c>
      <c r="BF242" s="33">
        <f>$AJ242/$AI242*Z242</f>
        <v>19161.459325825937</v>
      </c>
      <c r="BG242" s="33">
        <f>$AJ242/$AI242*AA242</f>
        <v>22046.245305574976</v>
      </c>
      <c r="BH242" s="33">
        <f>$AJ242/$AI242*AB242</f>
        <v>18626.351744686141</v>
      </c>
      <c r="BI242" s="33">
        <f>$AJ242/$AI242*AC242</f>
        <v>18998.247953491718</v>
      </c>
      <c r="BJ242" s="33">
        <f>$AJ242/$AI242*AD242</f>
        <v>25707.874058968471</v>
      </c>
      <c r="BK242" s="33">
        <f>$AJ242/$AI242*AE242</f>
        <v>26888.260617067106</v>
      </c>
      <c r="BL242" s="33">
        <f>$AJ242/$AI242*AF242</f>
        <v>37217.378928775921</v>
      </c>
      <c r="BM242" s="33">
        <f>$AJ242/$AI242*AG242</f>
        <v>34501.064747803699</v>
      </c>
      <c r="BN242" s="33">
        <f>$AJ242/$AI242*AH242</f>
        <v>20117.039700153375</v>
      </c>
    </row>
    <row r="243" spans="1:66" x14ac:dyDescent="0.25">
      <c r="A243" s="1" t="s">
        <v>26</v>
      </c>
      <c r="B243" s="4">
        <v>25</v>
      </c>
      <c r="C243" s="4" t="s">
        <v>5</v>
      </c>
      <c r="D243" s="4" t="str">
        <f>A243&amp;C243</f>
        <v>ROYSAMBUVEGES</v>
      </c>
      <c r="E243" s="2">
        <v>30853.68</v>
      </c>
      <c r="F243" s="2">
        <v>28093.71</v>
      </c>
      <c r="G243" s="2">
        <v>28367.48</v>
      </c>
      <c r="H243" s="2">
        <v>32166.99</v>
      </c>
      <c r="I243" s="2">
        <v>44419.4</v>
      </c>
      <c r="J243" s="2">
        <v>35852.69</v>
      </c>
      <c r="K243" s="2">
        <v>34459.83</v>
      </c>
      <c r="L243" s="2">
        <v>32299.85</v>
      </c>
      <c r="M243" s="2">
        <v>23353.119999999999</v>
      </c>
      <c r="N243" s="2">
        <v>25059.42</v>
      </c>
      <c r="O243" s="2">
        <v>39310.32</v>
      </c>
      <c r="P243" s="2">
        <v>38292.379999999997</v>
      </c>
      <c r="Q243" s="2">
        <v>35146.15</v>
      </c>
      <c r="R243" s="2">
        <v>26344.560000000001</v>
      </c>
      <c r="S243" s="2">
        <v>29050.79</v>
      </c>
      <c r="T243" s="2">
        <v>22415.7</v>
      </c>
      <c r="U243" s="2">
        <v>19331.330000000002</v>
      </c>
      <c r="V243" s="2">
        <v>32723.64</v>
      </c>
      <c r="W243" s="2">
        <v>28399.98</v>
      </c>
      <c r="X243" s="2">
        <v>39761.85</v>
      </c>
      <c r="Y243" s="2">
        <v>30899.22</v>
      </c>
      <c r="Z243" s="2">
        <v>28414.94</v>
      </c>
      <c r="AA243" s="2">
        <v>27496.66</v>
      </c>
      <c r="AB243" s="2">
        <v>25968.16</v>
      </c>
      <c r="AC243" s="2">
        <v>26633.83</v>
      </c>
      <c r="AD243" s="2">
        <v>30955.51</v>
      </c>
      <c r="AE243" s="2">
        <v>41418.79</v>
      </c>
      <c r="AF243" s="2">
        <v>37190.47</v>
      </c>
      <c r="AG243" s="2">
        <v>39416</v>
      </c>
      <c r="AH243" s="2">
        <v>29977.88</v>
      </c>
      <c r="AI243" s="24">
        <f>SUM(E243:AH243)</f>
        <v>944074.33</v>
      </c>
      <c r="AJ243" s="26">
        <v>857165.91029506805</v>
      </c>
      <c r="AK243" s="33">
        <f>$AJ243/$AI243*E243</f>
        <v>28013.390326112072</v>
      </c>
      <c r="AL243" s="33">
        <f>$AJ243/$AI243*F243</f>
        <v>25507.494209397322</v>
      </c>
      <c r="AM243" s="33">
        <f>$AJ243/$AI243*G243</f>
        <v>25756.061831463139</v>
      </c>
      <c r="AN243" s="33">
        <f>$AJ243/$AI243*H243</f>
        <v>29205.80126863777</v>
      </c>
      <c r="AO243" s="33">
        <f>$AJ243/$AI243*I243</f>
        <v>40330.294157834745</v>
      </c>
      <c r="AP243" s="33">
        <f>$AJ243/$AI243*J243</f>
        <v>32552.207685147932</v>
      </c>
      <c r="AQ243" s="33">
        <f>$AJ243/$AI243*K243</f>
        <v>31287.569857516726</v>
      </c>
      <c r="AR243" s="33">
        <f>$AJ243/$AI243*L243</f>
        <v>29326.430608111285</v>
      </c>
      <c r="AS243" s="33">
        <f>$AJ243/$AI243*M243</f>
        <v>21203.307543623137</v>
      </c>
      <c r="AT243" s="33">
        <f>$AJ243/$AI243*N243</f>
        <v>22752.531101832239</v>
      </c>
      <c r="AU243" s="33">
        <f>$AJ243/$AI243*O243</f>
        <v>35691.539485869107</v>
      </c>
      <c r="AV243" s="33">
        <f>$AJ243/$AI243*P243</f>
        <v>34767.307739491931</v>
      </c>
      <c r="AW243" s="33">
        <f>$AJ243/$AI243*Q243</f>
        <v>31910.70946512973</v>
      </c>
      <c r="AX243" s="33">
        <f>$AJ243/$AI243*R243</f>
        <v>23919.365283158415</v>
      </c>
      <c r="AY243" s="33">
        <f>$AJ243/$AI243*S243</f>
        <v>26376.468529909995</v>
      </c>
      <c r="AZ243" s="33">
        <f>$AJ243/$AI243*T243</f>
        <v>20352.183387298708</v>
      </c>
      <c r="BA243" s="33">
        <f>$AJ243/$AI243*U243</f>
        <v>17551.750482045583</v>
      </c>
      <c r="BB243" s="33">
        <f>$AJ243/$AI243*V243</f>
        <v>29711.207875727436</v>
      </c>
      <c r="BC243" s="33">
        <f>$AJ243/$AI243*W243</f>
        <v>25785.569986911654</v>
      </c>
      <c r="BD243" s="33">
        <f>$AJ243/$AI243*X243</f>
        <v>36101.503099089612</v>
      </c>
      <c r="BE243" s="33">
        <f>$AJ243/$AI243*Y243</f>
        <v>28054.738061469772</v>
      </c>
      <c r="BF243" s="33">
        <f>$AJ243/$AI243*Z243</f>
        <v>25799.152817850412</v>
      </c>
      <c r="BG243" s="33">
        <f>$AJ243/$AI243*AA243</f>
        <v>24965.406695227044</v>
      </c>
      <c r="BH243" s="33">
        <f>$AJ243/$AI243*AB243</f>
        <v>23577.615445902415</v>
      </c>
      <c r="BI243" s="33">
        <f>$AJ243/$AI243*AC243</f>
        <v>24182.00602551506</v>
      </c>
      <c r="BJ243" s="33">
        <f>$AJ243/$AI243*AD243</f>
        <v>28105.846186706593</v>
      </c>
      <c r="BK243" s="33">
        <f>$AJ243/$AI243*AE243</f>
        <v>37605.910578746763</v>
      </c>
      <c r="BL243" s="33">
        <f>$AJ243/$AI243*AF243</f>
        <v>33766.83599886825</v>
      </c>
      <c r="BM243" s="33">
        <f>$AJ243/$AI243*AG243</f>
        <v>35787.490927955223</v>
      </c>
      <c r="BN243" s="33">
        <f>$AJ243/$AI243*AH243</f>
        <v>27218.213632518022</v>
      </c>
    </row>
    <row r="244" spans="1:66" x14ac:dyDescent="0.25">
      <c r="A244" s="1" t="s">
        <v>27</v>
      </c>
      <c r="B244" s="4">
        <v>26</v>
      </c>
      <c r="C244" s="4" t="s">
        <v>5</v>
      </c>
      <c r="D244" s="4" t="str">
        <f>A244&amp;C244</f>
        <v>BURUBURUVEGES</v>
      </c>
      <c r="E244" s="2">
        <v>55718.54</v>
      </c>
      <c r="F244" s="2">
        <v>60572.27</v>
      </c>
      <c r="G244" s="2">
        <v>62307.32</v>
      </c>
      <c r="H244" s="2">
        <v>75571.839999999997</v>
      </c>
      <c r="I244" s="2">
        <v>85209.18</v>
      </c>
      <c r="J244" s="2">
        <v>85947.8</v>
      </c>
      <c r="K244" s="2">
        <v>58353.36</v>
      </c>
      <c r="L244" s="2">
        <v>59636.63</v>
      </c>
      <c r="M244" s="2">
        <v>65289.82</v>
      </c>
      <c r="N244" s="2">
        <v>58566.67</v>
      </c>
      <c r="O244" s="2">
        <v>67273.45</v>
      </c>
      <c r="P244" s="2">
        <v>89560.11</v>
      </c>
      <c r="Q244" s="2">
        <v>87892.12</v>
      </c>
      <c r="R244" s="2">
        <v>62318.71</v>
      </c>
      <c r="S244" s="2">
        <v>63325.34</v>
      </c>
      <c r="T244" s="2">
        <v>50652.61</v>
      </c>
      <c r="U244" s="2">
        <v>56413.15</v>
      </c>
      <c r="V244" s="2">
        <v>70813.56</v>
      </c>
      <c r="W244" s="2">
        <v>79609.990000000005</v>
      </c>
      <c r="X244" s="2">
        <v>86957.48</v>
      </c>
      <c r="Y244" s="2">
        <v>65005.919999999998</v>
      </c>
      <c r="Z244" s="2">
        <v>62283.87</v>
      </c>
      <c r="AA244" s="2">
        <v>62661.89</v>
      </c>
      <c r="AB244" s="2">
        <v>54656.4</v>
      </c>
      <c r="AC244" s="2">
        <v>76648.52</v>
      </c>
      <c r="AD244" s="2">
        <v>68381.5</v>
      </c>
      <c r="AE244" s="2">
        <v>83161.72</v>
      </c>
      <c r="AF244" s="2">
        <v>93310.22</v>
      </c>
      <c r="AG244" s="2">
        <v>84736.22</v>
      </c>
      <c r="AH244" s="2">
        <v>68776.350000000006</v>
      </c>
      <c r="AI244" s="24">
        <f>SUM(E244:AH244)</f>
        <v>2101612.5599999996</v>
      </c>
      <c r="AJ244" s="26">
        <v>1968150.4238247753</v>
      </c>
      <c r="AK244" s="33">
        <f>$AJ244/$AI244*E244</f>
        <v>52180.154517109331</v>
      </c>
      <c r="AL244" s="33">
        <f>$AJ244/$AI244*F244</f>
        <v>56725.650170518937</v>
      </c>
      <c r="AM244" s="33">
        <f>$AJ244/$AI244*G244</f>
        <v>58350.516455509722</v>
      </c>
      <c r="AN244" s="33">
        <f>$AJ244/$AI244*H244</f>
        <v>70772.677969348515</v>
      </c>
      <c r="AO244" s="33">
        <f>$AJ244/$AI244*I244</f>
        <v>79798.002221095201</v>
      </c>
      <c r="AP244" s="33">
        <f>$AJ244/$AI244*J244</f>
        <v>80489.716428420594</v>
      </c>
      <c r="AQ244" s="33">
        <f>$AJ244/$AI244*K244</f>
        <v>54647.651237676131</v>
      </c>
      <c r="AR244" s="33">
        <f>$AJ244/$AI244*L244</f>
        <v>55849.427646160111</v>
      </c>
      <c r="AS244" s="33">
        <f>$AJ244/$AI244*M244</f>
        <v>61143.613884969978</v>
      </c>
      <c r="AT244" s="33">
        <f>$AJ244/$AI244*N244</f>
        <v>54847.415064223715</v>
      </c>
      <c r="AU244" s="33">
        <f>$AJ244/$AI244*O244</f>
        <v>63001.274188071489</v>
      </c>
      <c r="AV244" s="33">
        <f>$AJ244/$AI244*P244</f>
        <v>83872.628004418439</v>
      </c>
      <c r="AW244" s="33">
        <f>$AJ244/$AI244*Q244</f>
        <v>82310.563098679821</v>
      </c>
      <c r="AX244" s="33">
        <f>$AJ244/$AI244*R244</f>
        <v>58361.183137729859</v>
      </c>
      <c r="AY244" s="33">
        <f>$AJ244/$AI244*S244</f>
        <v>59303.887468129717</v>
      </c>
      <c r="AZ244" s="33">
        <f>$AJ244/$AI244*T244</f>
        <v>47435.934547008546</v>
      </c>
      <c r="BA244" s="33">
        <f>$AJ244/$AI244*U244</f>
        <v>52830.653563371663</v>
      </c>
      <c r="BB244" s="33">
        <f>$AJ244/$AI244*V244</f>
        <v>66316.570798635294</v>
      </c>
      <c r="BC244" s="33">
        <f>$AJ244/$AI244*W244</f>
        <v>74554.386732055951</v>
      </c>
      <c r="BD244" s="33">
        <f>$AJ244/$AI244*X244</f>
        <v>81435.277069687116</v>
      </c>
      <c r="BE244" s="33">
        <f>$AJ244/$AI244*Y244</f>
        <v>60877.742850527815</v>
      </c>
      <c r="BF244" s="33">
        <f>$AJ244/$AI244*Z244</f>
        <v>58328.555639174156</v>
      </c>
      <c r="BG244" s="33">
        <f>$AJ244/$AI244*AA244</f>
        <v>58682.569617475769</v>
      </c>
      <c r="BH244" s="33">
        <f>$AJ244/$AI244*AB244</f>
        <v>51185.465328936014</v>
      </c>
      <c r="BI244" s="33">
        <f>$AJ244/$AI244*AC244</f>
        <v>71780.983800145259</v>
      </c>
      <c r="BJ244" s="33">
        <f>$AJ244/$AI244*AD244</f>
        <v>64038.95787850349</v>
      </c>
      <c r="BK244" s="33">
        <f>$AJ244/$AI244*AE244</f>
        <v>77880.565418774102</v>
      </c>
      <c r="BL244" s="33">
        <f>$AJ244/$AI244*AF244</f>
        <v>87384.588641867958</v>
      </c>
      <c r="BM244" s="33">
        <f>$AJ244/$AI244*AG244</f>
        <v>79355.077372733926</v>
      </c>
      <c r="BN244" s="33">
        <f>$AJ244/$AI244*AH244</f>
        <v>64408.733073816955</v>
      </c>
    </row>
    <row r="245" spans="1:66" x14ac:dyDescent="0.25">
      <c r="A245" s="1" t="s">
        <v>30</v>
      </c>
      <c r="B245" s="4">
        <v>27</v>
      </c>
      <c r="C245" s="4" t="s">
        <v>5</v>
      </c>
      <c r="D245" s="4" t="str">
        <f>A245&amp;C245</f>
        <v>TOM MBOYAVEGES</v>
      </c>
      <c r="E245" s="2">
        <v>27844.21</v>
      </c>
      <c r="F245" s="2">
        <v>29941.26</v>
      </c>
      <c r="G245" s="2">
        <v>25513.27</v>
      </c>
      <c r="H245" s="2">
        <v>29068.55</v>
      </c>
      <c r="I245" s="2">
        <v>32705.59</v>
      </c>
      <c r="J245" s="2">
        <v>33823.300000000003</v>
      </c>
      <c r="K245" s="2">
        <v>21983.75</v>
      </c>
      <c r="L245" s="2">
        <v>23137.96</v>
      </c>
      <c r="M245" s="2">
        <v>26208.87</v>
      </c>
      <c r="N245" s="2">
        <v>24178.46</v>
      </c>
      <c r="O245" s="2">
        <v>20840.66</v>
      </c>
      <c r="P245" s="2">
        <v>34013.89</v>
      </c>
      <c r="Q245" s="2">
        <v>16881.349999999999</v>
      </c>
      <c r="R245" s="2">
        <v>17599.580000000002</v>
      </c>
      <c r="S245" s="2">
        <v>14303.21</v>
      </c>
      <c r="T245" s="2">
        <v>13422.07</v>
      </c>
      <c r="U245" s="2">
        <v>14422.63</v>
      </c>
      <c r="V245" s="2">
        <v>17722.060000000001</v>
      </c>
      <c r="W245" s="2">
        <v>17200.259999999998</v>
      </c>
      <c r="X245" s="2">
        <v>14010.56</v>
      </c>
      <c r="Y245" s="2">
        <v>18171.990000000002</v>
      </c>
      <c r="Z245" s="2">
        <v>22123.25</v>
      </c>
      <c r="AA245" s="2">
        <v>18844.099999999999</v>
      </c>
      <c r="AB245" s="2">
        <v>16779.88</v>
      </c>
      <c r="AC245" s="2">
        <v>13746.68</v>
      </c>
      <c r="AD245" s="2">
        <v>25228.51</v>
      </c>
      <c r="AE245" s="2">
        <v>13967.36</v>
      </c>
      <c r="AF245" s="2">
        <v>28507.16</v>
      </c>
      <c r="AG245" s="2">
        <v>24220.1</v>
      </c>
      <c r="AH245" s="2">
        <v>16632.84</v>
      </c>
      <c r="AI245" s="24">
        <f>SUM(E245:AH245)</f>
        <v>653043.36</v>
      </c>
      <c r="AJ245" s="26">
        <v>753919.93181338278</v>
      </c>
      <c r="AK245" s="33">
        <f>$AJ245/$AI245*E245</f>
        <v>32145.34622111082</v>
      </c>
      <c r="AL245" s="33">
        <f>$AJ245/$AI245*F245</f>
        <v>34566.330630184748</v>
      </c>
      <c r="AM245" s="33">
        <f>$AJ245/$AI245*G245</f>
        <v>29454.342478478651</v>
      </c>
      <c r="AN245" s="33">
        <f>$AJ245/$AI245*H245</f>
        <v>33558.811828228238</v>
      </c>
      <c r="AO245" s="33">
        <f>$AJ245/$AI245*I245</f>
        <v>37757.670765868374</v>
      </c>
      <c r="AP245" s="33">
        <f>$AJ245/$AI245*J245</f>
        <v>39048.035079483227</v>
      </c>
      <c r="AQ245" s="33">
        <f>$AJ245/$AI245*K245</f>
        <v>25379.612313954858</v>
      </c>
      <c r="AR245" s="33">
        <f>$AJ245/$AI245*L245</f>
        <v>26712.114836449418</v>
      </c>
      <c r="AS245" s="33">
        <f>$AJ245/$AI245*M245</f>
        <v>30257.392837293093</v>
      </c>
      <c r="AT245" s="33">
        <f>$AJ245/$AI245*N245</f>
        <v>27913.342407390228</v>
      </c>
      <c r="AU245" s="33">
        <f>$AJ245/$AI245*O245</f>
        <v>24059.947514275154</v>
      </c>
      <c r="AV245" s="33">
        <f>$AJ245/$AI245*P245</f>
        <v>39268.065798123884</v>
      </c>
      <c r="AW245" s="33">
        <f>$AJ245/$AI245*Q245</f>
        <v>19489.037054014068</v>
      </c>
      <c r="AX245" s="33">
        <f>$AJ245/$AI245*R245</f>
        <v>20318.213102333935</v>
      </c>
      <c r="AY245" s="33">
        <f>$AJ245/$AI245*S245</f>
        <v>16512.647962476021</v>
      </c>
      <c r="AZ245" s="33">
        <f>$AJ245/$AI245*T245</f>
        <v>15495.396965975508</v>
      </c>
      <c r="BA245" s="33">
        <f>$AJ245/$AI245*U245</f>
        <v>16650.514946158626</v>
      </c>
      <c r="BB245" s="33">
        <f>$AJ245/$AI245*V245</f>
        <v>20459.612768733579</v>
      </c>
      <c r="BC245" s="33">
        <f>$AJ245/$AI245*W245</f>
        <v>19857.209552475131</v>
      </c>
      <c r="BD245" s="33">
        <f>$AJ245/$AI245*X245</f>
        <v>16174.791884978829</v>
      </c>
      <c r="BE245" s="33">
        <f>$AJ245/$AI245*Y245</f>
        <v>20979.044120000661</v>
      </c>
      <c r="BF245" s="33">
        <f>$AJ245/$AI245*Z245</f>
        <v>25540.661084878684</v>
      </c>
      <c r="BG245" s="33">
        <f>$AJ245/$AI245*AA245</f>
        <v>21754.975943840185</v>
      </c>
      <c r="BH245" s="33">
        <f>$AJ245/$AI245*AB245</f>
        <v>19371.892833328475</v>
      </c>
      <c r="BI245" s="33">
        <f>$AJ245/$AI245*AC245</f>
        <v>15870.149951850661</v>
      </c>
      <c r="BJ245" s="33">
        <f>$AJ245/$AI245*AD245</f>
        <v>29125.595180928332</v>
      </c>
      <c r="BK245" s="33">
        <f>$AJ245/$AI245*AE245</f>
        <v>16124.918717208871</v>
      </c>
      <c r="BL245" s="33">
        <f>$AJ245/$AI245*AF245</f>
        <v>32910.70308622875</v>
      </c>
      <c r="BM245" s="33">
        <f>$AJ245/$AI245*AG245</f>
        <v>27961.414599657382</v>
      </c>
      <c r="BN245" s="33">
        <f>$AJ245/$AI245*AH245</f>
        <v>19202.139347474425</v>
      </c>
    </row>
    <row r="246" spans="1:66" x14ac:dyDescent="0.25">
      <c r="A246" s="1" t="s">
        <v>28</v>
      </c>
      <c r="B246" s="4">
        <v>28</v>
      </c>
      <c r="C246" s="4" t="s">
        <v>5</v>
      </c>
      <c r="D246" s="4" t="str">
        <f>A246&amp;C246</f>
        <v>KERICHOVEGES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2"/>
      <c r="Z246" s="1"/>
      <c r="AA246" s="1"/>
      <c r="AB246" s="1"/>
      <c r="AC246" s="1"/>
      <c r="AD246" s="3"/>
      <c r="AE246" s="1"/>
      <c r="AF246" s="1"/>
      <c r="AG246" s="1"/>
      <c r="AH246" s="1"/>
      <c r="AI246" s="24"/>
      <c r="AJ246" s="26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</row>
    <row r="247" spans="1:66" x14ac:dyDescent="0.25">
      <c r="A247" s="1" t="s">
        <v>29</v>
      </c>
      <c r="B247" s="4">
        <v>29</v>
      </c>
      <c r="C247" s="4" t="s">
        <v>5</v>
      </c>
      <c r="D247" s="4" t="str">
        <f>A247&amp;C247</f>
        <v>MFANGANOVEGES</v>
      </c>
      <c r="E247" s="2">
        <v>23561.82</v>
      </c>
      <c r="F247" s="2">
        <v>28405.16</v>
      </c>
      <c r="G247" s="2">
        <v>38701.79</v>
      </c>
      <c r="H247" s="2">
        <v>25880.97</v>
      </c>
      <c r="I247" s="2">
        <v>30356.68</v>
      </c>
      <c r="J247" s="2">
        <v>41958.75</v>
      </c>
      <c r="K247" s="2">
        <v>24038.53</v>
      </c>
      <c r="L247" s="2">
        <v>30049.88</v>
      </c>
      <c r="M247" s="2">
        <v>25869.86</v>
      </c>
      <c r="N247" s="2">
        <v>27973.3</v>
      </c>
      <c r="O247" s="2">
        <v>33381.15</v>
      </c>
      <c r="P247" s="2">
        <v>31944.05</v>
      </c>
      <c r="Q247" s="2">
        <v>26527.01</v>
      </c>
      <c r="R247" s="2">
        <v>25558.28</v>
      </c>
      <c r="S247" s="2">
        <v>29560.1</v>
      </c>
      <c r="T247" s="2">
        <v>17490.939999999999</v>
      </c>
      <c r="U247" s="2">
        <v>23550.34</v>
      </c>
      <c r="V247" s="2">
        <v>31017.91</v>
      </c>
      <c r="W247" s="2">
        <v>26791.64</v>
      </c>
      <c r="X247" s="2">
        <v>37952.800000000003</v>
      </c>
      <c r="Y247" s="2">
        <v>24021.279999999999</v>
      </c>
      <c r="Z247" s="2">
        <v>31826.59</v>
      </c>
      <c r="AA247" s="2">
        <v>30456.42</v>
      </c>
      <c r="AB247" s="2">
        <v>25926.18</v>
      </c>
      <c r="AC247" s="2">
        <v>24450.25</v>
      </c>
      <c r="AD247" s="2">
        <v>32285.66</v>
      </c>
      <c r="AE247" s="2">
        <v>19245.599999999999</v>
      </c>
      <c r="AF247" s="2">
        <v>35882.97</v>
      </c>
      <c r="AG247" s="2">
        <v>31944.51</v>
      </c>
      <c r="AH247" s="2">
        <v>23322.57</v>
      </c>
      <c r="AI247" s="24">
        <f>SUM(E247:AH247)</f>
        <v>859932.99</v>
      </c>
      <c r="AJ247" s="26">
        <v>977121.80431463651</v>
      </c>
      <c r="AK247" s="33">
        <f>$AJ247/$AI247*E247</f>
        <v>26772.74664312703</v>
      </c>
      <c r="AL247" s="33">
        <f>$AJ247/$AI247*F247</f>
        <v>32276.120946407627</v>
      </c>
      <c r="AM247" s="33">
        <f>$AJ247/$AI247*G247</f>
        <v>43975.941514938459</v>
      </c>
      <c r="AN247" s="33">
        <f>$AJ247/$AI247*H247</f>
        <v>29407.942709365037</v>
      </c>
      <c r="AO247" s="33">
        <f>$AJ247/$AI247*I247</f>
        <v>34493.587616172328</v>
      </c>
      <c r="AP247" s="33">
        <f>$AJ247/$AI247*J247</f>
        <v>47676.74921599037</v>
      </c>
      <c r="AQ247" s="33">
        <f>$AJ247/$AI247*K247</f>
        <v>27314.421100034222</v>
      </c>
      <c r="AR247" s="33">
        <f>$AJ247/$AI247*L247</f>
        <v>34144.977930243505</v>
      </c>
      <c r="AS247" s="33">
        <f>$AJ247/$AI247*M247</f>
        <v>29395.318675431958</v>
      </c>
      <c r="AT247" s="33">
        <f>$AJ247/$AI247*N247</f>
        <v>31785.40849867223</v>
      </c>
      <c r="AU247" s="33">
        <f>$AJ247/$AI247*O247</f>
        <v>37930.222351508492</v>
      </c>
      <c r="AV247" s="33">
        <f>$AJ247/$AI247*P247</f>
        <v>36297.279132315838</v>
      </c>
      <c r="AW247" s="33">
        <f>$AJ247/$AI247*Q247</f>
        <v>30142.022896775252</v>
      </c>
      <c r="AX247" s="33">
        <f>$AJ247/$AI247*R247</f>
        <v>29041.277586964872</v>
      </c>
      <c r="AY247" s="33">
        <f>$AJ247/$AI247*S247</f>
        <v>33588.452337107206</v>
      </c>
      <c r="AZ247" s="33">
        <f>$AJ247/$AI247*T247</f>
        <v>19874.547262059394</v>
      </c>
      <c r="BA247" s="33">
        <f>$AJ247/$AI247*U247</f>
        <v>26759.702186821738</v>
      </c>
      <c r="BB247" s="33">
        <f>$AJ247/$AI247*V247</f>
        <v>35244.927846376733</v>
      </c>
      <c r="BC247" s="33">
        <f>$AJ247/$AI247*W247</f>
        <v>30442.715795039087</v>
      </c>
      <c r="BD247" s="33">
        <f>$AJ247/$AI247*X247</f>
        <v>43124.881643152847</v>
      </c>
      <c r="BE247" s="33">
        <f>$AJ247/$AI247*Y247</f>
        <v>27294.82032727584</v>
      </c>
      <c r="BF247" s="33">
        <f>$AJ247/$AI247*Z247</f>
        <v>36163.812073289766</v>
      </c>
      <c r="BG247" s="33">
        <f>$AJ247/$AI247*AA247</f>
        <v>34606.919852399638</v>
      </c>
      <c r="BH247" s="33">
        <f>$AJ247/$AI247*AB247</f>
        <v>29459.313778142227</v>
      </c>
      <c r="BI247" s="33">
        <f>$AJ247/$AI247*AC247</f>
        <v>27782.248935401283</v>
      </c>
      <c r="BJ247" s="33">
        <f>$AJ247/$AI247*AD247</f>
        <v>36685.442609532736</v>
      </c>
      <c r="BK247" s="33">
        <f>$AJ247/$AI247*AE247</f>
        <v>21868.32650427537</v>
      </c>
      <c r="BL247" s="33">
        <f>$AJ247/$AI247*AF247</f>
        <v>40772.982079182671</v>
      </c>
      <c r="BM247" s="33">
        <f>$AJ247/$AI247*AG247</f>
        <v>36297.801819589396</v>
      </c>
      <c r="BN247" s="33">
        <f>$AJ247/$AI247*AH247</f>
        <v>26500.892447043359</v>
      </c>
    </row>
    <row r="248" spans="1:66" x14ac:dyDescent="0.25">
      <c r="A248" s="1" t="s">
        <v>31</v>
      </c>
      <c r="B248" s="4">
        <v>30</v>
      </c>
      <c r="C248" s="4" t="s">
        <v>5</v>
      </c>
      <c r="D248" s="4" t="str">
        <f>A248&amp;C248</f>
        <v>KILIMANIVEGES</v>
      </c>
      <c r="E248" s="2">
        <v>354565.9</v>
      </c>
      <c r="F248" s="2">
        <v>280941.06</v>
      </c>
      <c r="G248" s="2">
        <v>336756.44</v>
      </c>
      <c r="H248" s="2">
        <v>327650.05</v>
      </c>
      <c r="I248" s="2">
        <v>354061.64</v>
      </c>
      <c r="J248" s="2">
        <v>363605.12</v>
      </c>
      <c r="K248" s="2">
        <v>296819.23</v>
      </c>
      <c r="L248" s="2">
        <v>328353.68</v>
      </c>
      <c r="M248" s="2">
        <v>344342.88</v>
      </c>
      <c r="N248" s="2">
        <v>288806.32</v>
      </c>
      <c r="O248" s="2">
        <v>338224.61</v>
      </c>
      <c r="P248" s="2">
        <v>354087.89</v>
      </c>
      <c r="Q248" s="2">
        <v>307631.98</v>
      </c>
      <c r="R248" s="2">
        <v>278681.64</v>
      </c>
      <c r="S248" s="2">
        <v>305690.07</v>
      </c>
      <c r="T248" s="2">
        <v>338062.93</v>
      </c>
      <c r="U248" s="2">
        <v>287022.32</v>
      </c>
      <c r="V248" s="2">
        <v>361995.28</v>
      </c>
      <c r="W248" s="2">
        <v>378403.98</v>
      </c>
      <c r="X248" s="2">
        <v>379073.83</v>
      </c>
      <c r="Y248" s="2">
        <v>338440.43</v>
      </c>
      <c r="Z248" s="2">
        <v>323811.94</v>
      </c>
      <c r="AA248" s="2">
        <v>341829.22</v>
      </c>
      <c r="AB248" s="2">
        <v>378848.6</v>
      </c>
      <c r="AC248" s="2">
        <v>329162.5</v>
      </c>
      <c r="AD248" s="2">
        <v>386181.07</v>
      </c>
      <c r="AE248" s="2">
        <v>394741.67</v>
      </c>
      <c r="AF248" s="2">
        <v>389631.95</v>
      </c>
      <c r="AG248" s="2">
        <v>333202.52</v>
      </c>
      <c r="AH248" s="2">
        <v>298424.56</v>
      </c>
      <c r="AI248" s="24">
        <f>SUM(E248:AH248)</f>
        <v>10119051.309999999</v>
      </c>
      <c r="AJ248" s="26">
        <v>8850050.7215821166</v>
      </c>
      <c r="AK248" s="33">
        <f>$AJ248/$AI248*E248</f>
        <v>310100.82892280672</v>
      </c>
      <c r="AL248" s="33">
        <f>$AJ248/$AI248*F248</f>
        <v>245709.06447701814</v>
      </c>
      <c r="AM248" s="33">
        <f>$AJ248/$AI248*G248</f>
        <v>294524.8011416028</v>
      </c>
      <c r="AN248" s="33">
        <f>$AJ248/$AI248*H248</f>
        <v>286560.41684098513</v>
      </c>
      <c r="AO248" s="33">
        <f>$AJ248/$AI248*I248</f>
        <v>309659.80669254536</v>
      </c>
      <c r="AP248" s="33">
        <f>$AJ248/$AI248*J248</f>
        <v>318006.46681639884</v>
      </c>
      <c r="AQ248" s="33">
        <f>$AJ248/$AI248*K248</f>
        <v>259595.99968081873</v>
      </c>
      <c r="AR248" s="33">
        <f>$AJ248/$AI248*L248</f>
        <v>287175.80666345527</v>
      </c>
      <c r="AS248" s="33">
        <f>$AJ248/$AI248*M248</f>
        <v>301159.84792013717</v>
      </c>
      <c r="AT248" s="33">
        <f>$AJ248/$AI248*N248</f>
        <v>252587.96525595203</v>
      </c>
      <c r="AU248" s="33">
        <f>$AJ248/$AI248*O248</f>
        <v>295808.85224183433</v>
      </c>
      <c r="AV248" s="33">
        <f>$AJ248/$AI248*P248</f>
        <v>309682.76475692558</v>
      </c>
      <c r="AW248" s="33">
        <f>$AJ248/$AI248*Q248</f>
        <v>269052.75437137153</v>
      </c>
      <c r="AX248" s="33">
        <f>$AJ248/$AI248*R248</f>
        <v>243732.99172189771</v>
      </c>
      <c r="AY248" s="33">
        <f>$AJ248/$AI248*S248</f>
        <v>267354.37361706473</v>
      </c>
      <c r="AZ248" s="33">
        <f>$AJ248/$AI248*T248</f>
        <v>295667.44805711089</v>
      </c>
      <c r="BA248" s="33">
        <f>$AJ248/$AI248*U248</f>
        <v>251027.69147102718</v>
      </c>
      <c r="BB248" s="33">
        <f>$AJ248/$AI248*V248</f>
        <v>316598.51213594852</v>
      </c>
      <c r="BC248" s="33">
        <f>$AJ248/$AI248*W248</f>
        <v>330949.44512624922</v>
      </c>
      <c r="BD248" s="33">
        <f>$AJ248/$AI248*X248</f>
        <v>331535.29119958548</v>
      </c>
      <c r="BE248" s="33">
        <f>$AJ248/$AI248*Y248</f>
        <v>295997.6068877214</v>
      </c>
      <c r="BF248" s="33">
        <f>$AJ248/$AI248*Z248</f>
        <v>283203.63297514553</v>
      </c>
      <c r="BG248" s="33">
        <f>$AJ248/$AI248*AA248</f>
        <v>298961.4186588063</v>
      </c>
      <c r="BH248" s="33">
        <f>$AJ248/$AI248*AB248</f>
        <v>331338.30663423869</v>
      </c>
      <c r="BI248" s="33">
        <f>$AJ248/$AI248*AC248</f>
        <v>287883.19491610263</v>
      </c>
      <c r="BJ248" s="33">
        <f>$AJ248/$AI248*AD248</f>
        <v>337751.23304665351</v>
      </c>
      <c r="BK248" s="33">
        <f>$AJ248/$AI248*AE248</f>
        <v>345238.27327267796</v>
      </c>
      <c r="BL248" s="33">
        <f>$AJ248/$AI248*AF248</f>
        <v>340769.3482926857</v>
      </c>
      <c r="BM248" s="33">
        <f>$AJ248/$AI248*AG248</f>
        <v>291416.56784019014</v>
      </c>
      <c r="BN248" s="33">
        <f>$AJ248/$AI248*AH248</f>
        <v>261000.00994716035</v>
      </c>
    </row>
    <row r="249" spans="1:66" x14ac:dyDescent="0.25">
      <c r="A249" s="1" t="s">
        <v>33</v>
      </c>
      <c r="B249" s="4">
        <v>31</v>
      </c>
      <c r="C249" s="4" t="s">
        <v>5</v>
      </c>
      <c r="D249" s="4" t="str">
        <f>A249&amp;C249</f>
        <v>EMBAKASIVEGES</v>
      </c>
      <c r="E249" s="2">
        <v>122084.44</v>
      </c>
      <c r="F249" s="2">
        <v>131835.84</v>
      </c>
      <c r="G249" s="2">
        <v>134892</v>
      </c>
      <c r="H249" s="2">
        <v>139300.13</v>
      </c>
      <c r="I249" s="2">
        <v>130967.13</v>
      </c>
      <c r="J249" s="2">
        <v>152011.70000000001</v>
      </c>
      <c r="K249" s="2">
        <v>121450.71</v>
      </c>
      <c r="L249" s="2">
        <v>117305.48</v>
      </c>
      <c r="M249" s="2">
        <v>117795.54</v>
      </c>
      <c r="N249" s="2">
        <v>137318.31</v>
      </c>
      <c r="O249" s="2">
        <v>125175.17</v>
      </c>
      <c r="P249" s="2">
        <v>124568.22</v>
      </c>
      <c r="Q249" s="2">
        <v>131219.51999999999</v>
      </c>
      <c r="R249" s="2">
        <v>110537.62</v>
      </c>
      <c r="S249" s="2">
        <v>102792.31</v>
      </c>
      <c r="T249" s="2">
        <v>117293.85</v>
      </c>
      <c r="U249" s="2">
        <v>120668.35</v>
      </c>
      <c r="V249" s="2">
        <v>119164.69</v>
      </c>
      <c r="W249" s="2">
        <v>124404.54</v>
      </c>
      <c r="X249" s="2">
        <v>160160.85</v>
      </c>
      <c r="Y249" s="2">
        <v>124352.92</v>
      </c>
      <c r="Z249" s="2">
        <v>135301.23000000001</v>
      </c>
      <c r="AA249" s="2">
        <v>135364.32999999999</v>
      </c>
      <c r="AB249" s="2">
        <v>105129.18</v>
      </c>
      <c r="AC249" s="2">
        <v>116216.08</v>
      </c>
      <c r="AD249" s="2">
        <v>135796.95000000001</v>
      </c>
      <c r="AE249" s="2">
        <v>184019.87</v>
      </c>
      <c r="AF249" s="2">
        <v>133695.97</v>
      </c>
      <c r="AG249" s="2">
        <v>182885.8</v>
      </c>
      <c r="AH249" s="2">
        <v>130248.45</v>
      </c>
      <c r="AI249" s="24">
        <f>SUM(E249:AH249)</f>
        <v>3923957.1800000011</v>
      </c>
      <c r="AJ249" s="26">
        <v>4267561.9334498104</v>
      </c>
      <c r="AK249" s="33">
        <f>$AJ249/$AI249*E249</f>
        <v>132774.87110869473</v>
      </c>
      <c r="AL249" s="33">
        <f>$AJ249/$AI249*F249</f>
        <v>143380.16100582926</v>
      </c>
      <c r="AM249" s="33">
        <f>$AJ249/$AI249*G249</f>
        <v>146703.93633778431</v>
      </c>
      <c r="AN249" s="33">
        <f>$AJ249/$AI249*H249</f>
        <v>151498.06810904338</v>
      </c>
      <c r="AO249" s="33">
        <f>$AJ249/$AI249*I249</f>
        <v>142435.38165245028</v>
      </c>
      <c r="AP249" s="33">
        <f>$AJ249/$AI249*J249</f>
        <v>165322.73788955883</v>
      </c>
      <c r="AQ249" s="33">
        <f>$AJ249/$AI249*K249</f>
        <v>132085.64798519338</v>
      </c>
      <c r="AR249" s="33">
        <f>$AJ249/$AI249*L249</f>
        <v>127577.43728310968</v>
      </c>
      <c r="AS249" s="33">
        <f>$AJ249/$AI249*M249</f>
        <v>128110.4098170012</v>
      </c>
      <c r="AT249" s="33">
        <f>$AJ249/$AI249*N249</f>
        <v>149342.70830184245</v>
      </c>
      <c r="AU249" s="33">
        <f>$AJ249/$AI249*O249</f>
        <v>136136.24359303241</v>
      </c>
      <c r="AV249" s="33">
        <f>$AJ249/$AI249*P249</f>
        <v>135476.14548372856</v>
      </c>
      <c r="AW249" s="33">
        <f>$AJ249/$AI249*Q249</f>
        <v>142709.8724042539</v>
      </c>
      <c r="AX249" s="33">
        <f>$AJ249/$AI249*R249</f>
        <v>120216.94368391154</v>
      </c>
      <c r="AY249" s="33">
        <f>$AJ249/$AI249*S249</f>
        <v>111793.40881782307</v>
      </c>
      <c r="AZ249" s="33">
        <f>$AJ249/$AI249*T249</f>
        <v>127564.78889195522</v>
      </c>
      <c r="BA249" s="33">
        <f>$AJ249/$AI249*U249</f>
        <v>131234.77994533017</v>
      </c>
      <c r="BB249" s="33">
        <f>$AJ249/$AI249*V249</f>
        <v>129599.45063807939</v>
      </c>
      <c r="BC249" s="33">
        <f>$AJ249/$AI249*W249</f>
        <v>135298.1327009114</v>
      </c>
      <c r="BD249" s="33">
        <f>$AJ249/$AI249*X249</f>
        <v>174185.47535958712</v>
      </c>
      <c r="BE249" s="33">
        <f>$AJ249/$AI249*Y249</f>
        <v>135241.99255031868</v>
      </c>
      <c r="BF249" s="33">
        <f>$AJ249/$AI249*Z249</f>
        <v>147149.0009218035</v>
      </c>
      <c r="BG249" s="33">
        <f>$AJ249/$AI249*AA249</f>
        <v>147217.62632866905</v>
      </c>
      <c r="BH249" s="33">
        <f>$AJ249/$AI249*AB249</f>
        <v>114334.9088898042</v>
      </c>
      <c r="BI249" s="33">
        <f>$AJ249/$AI249*AC249</f>
        <v>126392.64301624151</v>
      </c>
      <c r="BJ249" s="33">
        <f>$AJ249/$AI249*AD249</f>
        <v>147688.12907856124</v>
      </c>
      <c r="BK249" s="33">
        <f>$AJ249/$AI249*AE249</f>
        <v>200133.731380418</v>
      </c>
      <c r="BL249" s="33">
        <f>$AJ249/$AI249*AF249</f>
        <v>145403.17492140617</v>
      </c>
      <c r="BM249" s="33">
        <f>$AJ249/$AI249*AG249</f>
        <v>198900.35554580519</v>
      </c>
      <c r="BN249" s="33">
        <f>$AJ249/$AI249*AH249</f>
        <v>141653.76980766156</v>
      </c>
    </row>
    <row r="250" spans="1:66" x14ac:dyDescent="0.25">
      <c r="A250" s="1" t="s">
        <v>32</v>
      </c>
      <c r="B250" s="4">
        <v>32</v>
      </c>
      <c r="C250" s="4" t="s">
        <v>5</v>
      </c>
      <c r="D250" s="4" t="str">
        <f>A250&amp;C250</f>
        <v>OGINGA ODINGAVEGES</v>
      </c>
      <c r="E250" s="2">
        <v>51361.61</v>
      </c>
      <c r="F250" s="2">
        <v>46255.5</v>
      </c>
      <c r="G250" s="2">
        <v>44043.44</v>
      </c>
      <c r="H250" s="2">
        <v>51390.86</v>
      </c>
      <c r="I250" s="2">
        <v>58790.44</v>
      </c>
      <c r="J250" s="2">
        <v>54363.839999999997</v>
      </c>
      <c r="K250" s="2">
        <v>48793.84</v>
      </c>
      <c r="L250" s="2">
        <v>55671.12</v>
      </c>
      <c r="M250" s="2">
        <v>50346.42</v>
      </c>
      <c r="N250" s="2">
        <v>53183.34</v>
      </c>
      <c r="O250" s="2">
        <v>67090.36</v>
      </c>
      <c r="P250" s="2">
        <v>54868.07</v>
      </c>
      <c r="Q250" s="2">
        <v>40590.69</v>
      </c>
      <c r="R250" s="2">
        <v>52952.09</v>
      </c>
      <c r="S250" s="2">
        <v>60668.69</v>
      </c>
      <c r="T250" s="2">
        <v>47249.89</v>
      </c>
      <c r="U250" s="2">
        <v>56561.91</v>
      </c>
      <c r="V250" s="2">
        <v>58612.32</v>
      </c>
      <c r="W250" s="2">
        <v>64486.25</v>
      </c>
      <c r="X250" s="2">
        <v>49707.33</v>
      </c>
      <c r="Y250" s="2">
        <v>56254.6</v>
      </c>
      <c r="Z250" s="2">
        <v>60572</v>
      </c>
      <c r="AA250" s="2">
        <v>50599.59</v>
      </c>
      <c r="AB250" s="2">
        <v>63482.51</v>
      </c>
      <c r="AC250" s="2">
        <v>71168.289999999994</v>
      </c>
      <c r="AD250" s="2">
        <v>68080.800000000003</v>
      </c>
      <c r="AE250" s="2">
        <v>43844.76</v>
      </c>
      <c r="AF250" s="2">
        <v>100163.82</v>
      </c>
      <c r="AG250" s="2">
        <v>46563.29</v>
      </c>
      <c r="AH250" s="2">
        <v>47446.3</v>
      </c>
      <c r="AI250" s="24">
        <f>SUM(E250:AH250)</f>
        <v>1675163.9700000002</v>
      </c>
      <c r="AJ250" s="26">
        <v>1532195.8190734221</v>
      </c>
      <c r="AK250" s="33">
        <f>$AJ250/$AI250*E250</f>
        <v>46978.11409045507</v>
      </c>
      <c r="AL250" s="33">
        <f>$AJ250/$AI250*F250</f>
        <v>42307.788955818258</v>
      </c>
      <c r="AM250" s="33">
        <f>$AJ250/$AI250*G250</f>
        <v>40284.518909280931</v>
      </c>
      <c r="AN250" s="33">
        <f>$AJ250/$AI250*H250</f>
        <v>47004.867726821722</v>
      </c>
      <c r="AO250" s="33">
        <f>$AJ250/$AI250*I250</f>
        <v>53772.924909247464</v>
      </c>
      <c r="AP250" s="33">
        <f>$AJ250/$AI250*J250</f>
        <v>49724.116473670605</v>
      </c>
      <c r="AQ250" s="33">
        <f>$AJ250/$AI250*K250</f>
        <v>44629.492386072205</v>
      </c>
      <c r="AR250" s="33">
        <f>$AJ250/$AI250*L250</f>
        <v>50919.82566168419</v>
      </c>
      <c r="AS250" s="33">
        <f>$AJ250/$AI250*M250</f>
        <v>46049.56625787176</v>
      </c>
      <c r="AT250" s="33">
        <f>$AJ250/$AI250*N250</f>
        <v>48644.367149539561</v>
      </c>
      <c r="AU250" s="33">
        <f>$AJ250/$AI250*O250</f>
        <v>61364.481885394627</v>
      </c>
      <c r="AV250" s="33">
        <f>$AJ250/$AI250*P250</f>
        <v>50185.312578462304</v>
      </c>
      <c r="AW250" s="33">
        <f>$AJ250/$AI250*Q250</f>
        <v>37126.446500222519</v>
      </c>
      <c r="AX250" s="33">
        <f>$AJ250/$AI250*R250</f>
        <v>48432.853357751927</v>
      </c>
      <c r="AY250" s="33">
        <f>$AJ250/$AI250*S250</f>
        <v>55490.87422568044</v>
      </c>
      <c r="AZ250" s="33">
        <f>$AJ250/$AI250*T250</f>
        <v>43217.311980318613</v>
      </c>
      <c r="BA250" s="33">
        <f>$AJ250/$AI250*U250</f>
        <v>51734.590507463683</v>
      </c>
      <c r="BB250" s="33">
        <f>$AJ250/$AI250*V250</f>
        <v>53610.006696952485</v>
      </c>
      <c r="BC250" s="33">
        <f>$AJ250/$AI250*W250</f>
        <v>58982.621646120679</v>
      </c>
      <c r="BD250" s="33">
        <f>$AJ250/$AI250*X250</f>
        <v>45465.019882980698</v>
      </c>
      <c r="BE250" s="33">
        <f>$AJ250/$AI250*Y250</f>
        <v>51453.5081145804</v>
      </c>
      <c r="BF250" s="33">
        <f>$AJ250/$AI250*Z250</f>
        <v>55402.436307721749</v>
      </c>
      <c r="BG250" s="33">
        <f>$AJ250/$AI250*AA250</f>
        <v>46281.129270485275</v>
      </c>
      <c r="BH250" s="33">
        <f>$AJ250/$AI250*AB250</f>
        <v>58064.546604525349</v>
      </c>
      <c r="BI250" s="33">
        <f>$AJ250/$AI250*AC250</f>
        <v>65094.377828938625</v>
      </c>
      <c r="BJ250" s="33">
        <f>$AJ250/$AI250*AD250</f>
        <v>62270.392025667687</v>
      </c>
      <c r="BK250" s="33">
        <f>$AJ250/$AI250*AE250</f>
        <v>40102.795405919343</v>
      </c>
      <c r="BL250" s="33">
        <f>$AJ250/$AI250*AF250</f>
        <v>91615.262132472213</v>
      </c>
      <c r="BM250" s="33">
        <f>$AJ250/$AI250*AG250</f>
        <v>42589.31038273422</v>
      </c>
      <c r="BN250" s="33">
        <f>$AJ250/$AI250*AH250</f>
        <v>43396.959218567303</v>
      </c>
    </row>
    <row r="251" spans="1:66" x14ac:dyDescent="0.25">
      <c r="A251" s="1" t="s">
        <v>34</v>
      </c>
      <c r="B251" s="4">
        <v>33</v>
      </c>
      <c r="C251" s="4" t="s">
        <v>5</v>
      </c>
      <c r="D251" s="4" t="str">
        <f>A251&amp;C251</f>
        <v>KISERIANVEGES</v>
      </c>
      <c r="E251" s="2">
        <v>52505.86</v>
      </c>
      <c r="F251" s="2">
        <v>57689.55</v>
      </c>
      <c r="G251" s="2">
        <v>55109.37</v>
      </c>
      <c r="H251" s="2">
        <v>73161.289999999994</v>
      </c>
      <c r="I251" s="2">
        <v>78643.33</v>
      </c>
      <c r="J251" s="2">
        <v>72617.91</v>
      </c>
      <c r="K251" s="2">
        <v>68005.539999999994</v>
      </c>
      <c r="L251" s="2">
        <v>57089.91</v>
      </c>
      <c r="M251" s="2">
        <v>56036.53</v>
      </c>
      <c r="N251" s="2">
        <v>68254.929999999993</v>
      </c>
      <c r="O251" s="2">
        <v>74252.52</v>
      </c>
      <c r="P251" s="2">
        <v>60499.58</v>
      </c>
      <c r="Q251" s="2">
        <v>82367.03</v>
      </c>
      <c r="R251" s="2">
        <v>77308.570000000007</v>
      </c>
      <c r="S251" s="2">
        <v>53852.69</v>
      </c>
      <c r="T251" s="2">
        <v>57732.78</v>
      </c>
      <c r="U251" s="2">
        <v>61110.91</v>
      </c>
      <c r="V251" s="2">
        <v>57887.77</v>
      </c>
      <c r="W251" s="2">
        <v>73062.240000000005</v>
      </c>
      <c r="X251" s="2">
        <v>91507.66</v>
      </c>
      <c r="Y251" s="2">
        <v>68968.710000000006</v>
      </c>
      <c r="Z251" s="2">
        <v>56745.38</v>
      </c>
      <c r="AA251" s="2">
        <v>54680</v>
      </c>
      <c r="AB251" s="2">
        <v>56478.39</v>
      </c>
      <c r="AC251" s="2">
        <v>70599.77</v>
      </c>
      <c r="AD251" s="2">
        <v>91677.05</v>
      </c>
      <c r="AE251" s="2">
        <v>88326.11</v>
      </c>
      <c r="AF251" s="2">
        <v>84123.48</v>
      </c>
      <c r="AG251" s="2">
        <v>85544.55</v>
      </c>
      <c r="AH251" s="2">
        <v>65664</v>
      </c>
      <c r="AI251" s="24">
        <f>SUM(E251:AH251)</f>
        <v>2051503.4099999997</v>
      </c>
      <c r="AJ251" s="26">
        <v>1695931.9355301389</v>
      </c>
      <c r="AK251" s="33">
        <f>$AJ251/$AI251*E251</f>
        <v>43405.418846695706</v>
      </c>
      <c r="AL251" s="33">
        <f>$AJ251/$AI251*F251</f>
        <v>47690.659305978312</v>
      </c>
      <c r="AM251" s="33">
        <f>$AJ251/$AI251*G251</f>
        <v>45557.682270655641</v>
      </c>
      <c r="AN251" s="33">
        <f>$AJ251/$AI251*H251</f>
        <v>60480.800349038567</v>
      </c>
      <c r="AO251" s="33">
        <f>$AJ251/$AI251*I251</f>
        <v>65012.68007321297</v>
      </c>
      <c r="AP251" s="33">
        <f>$AJ251/$AI251*J251</f>
        <v>60031.600269410934</v>
      </c>
      <c r="AQ251" s="33">
        <f>$AJ251/$AI251*K251</f>
        <v>56218.657262174522</v>
      </c>
      <c r="AR251" s="33">
        <f>$AJ251/$AI251*L251</f>
        <v>47194.950344021825</v>
      </c>
      <c r="AS251" s="33">
        <f>$AJ251/$AI251*M251</f>
        <v>46324.144683382568</v>
      </c>
      <c r="AT251" s="33">
        <f>$AJ251/$AI251*N251</f>
        <v>56424.822391289199</v>
      </c>
      <c r="AU251" s="33">
        <f>$AJ251/$AI251*O251</f>
        <v>61382.895757209772</v>
      </c>
      <c r="AV251" s="33">
        <f>$AJ251/$AI251*P251</f>
        <v>50013.648189919659</v>
      </c>
      <c r="AW251" s="33">
        <f>$AJ251/$AI251*Q251</f>
        <v>68090.979488924684</v>
      </c>
      <c r="AX251" s="33">
        <f>$AJ251/$AI251*R251</f>
        <v>63909.263866720685</v>
      </c>
      <c r="AY251" s="33">
        <f>$AJ251/$AI251*S251</f>
        <v>44518.813051938618</v>
      </c>
      <c r="AZ251" s="33">
        <f>$AJ251/$AI251*T251</f>
        <v>47726.396579051121</v>
      </c>
      <c r="BA251" s="33">
        <f>$AJ251/$AI251*U251</f>
        <v>50519.021013135018</v>
      </c>
      <c r="BB251" s="33">
        <f>$AJ251/$AI251*V251</f>
        <v>47854.523341798158</v>
      </c>
      <c r="BC251" s="33">
        <f>$AJ251/$AI251*W251</f>
        <v>60398.917931785239</v>
      </c>
      <c r="BD251" s="33">
        <f>$AJ251/$AI251*X251</f>
        <v>75647.33364963498</v>
      </c>
      <c r="BE251" s="33">
        <f>$AJ251/$AI251*Y251</f>
        <v>57014.888335631316</v>
      </c>
      <c r="BF251" s="33">
        <f>$AJ251/$AI251*Z251</f>
        <v>46910.135107108224</v>
      </c>
      <c r="BG251" s="33">
        <f>$AJ251/$AI251*AA251</f>
        <v>45202.731705324346</v>
      </c>
      <c r="BH251" s="33">
        <f>$AJ251/$AI251*AB251</f>
        <v>46689.4204520606</v>
      </c>
      <c r="BI251" s="33">
        <f>$AJ251/$AI251*AC251</f>
        <v>58363.249117915264</v>
      </c>
      <c r="BJ251" s="33">
        <f>$AJ251/$AI251*AD251</f>
        <v>75787.364569963524</v>
      </c>
      <c r="BK251" s="33">
        <f>$AJ251/$AI251*AE251</f>
        <v>73017.217500090817</v>
      </c>
      <c r="BL251" s="33">
        <f>$AJ251/$AI251*AF251</f>
        <v>69542.997376704792</v>
      </c>
      <c r="BM251" s="33">
        <f>$AJ251/$AI251*AG251</f>
        <v>70717.764127701244</v>
      </c>
      <c r="BN251" s="33">
        <f>$AJ251/$AI251*AH251</f>
        <v>54282.9585716609</v>
      </c>
    </row>
    <row r="252" spans="1:66" x14ac:dyDescent="0.25">
      <c r="A252" s="1" t="s">
        <v>35</v>
      </c>
      <c r="B252" s="4">
        <v>34</v>
      </c>
      <c r="C252" s="4" t="s">
        <v>5</v>
      </c>
      <c r="D252" s="4" t="str">
        <f>A252&amp;C252</f>
        <v>NANYUKIVEGES</v>
      </c>
      <c r="E252" s="2">
        <v>74115.08</v>
      </c>
      <c r="F252" s="2">
        <v>74955.56</v>
      </c>
      <c r="G252" s="2">
        <v>85446.68</v>
      </c>
      <c r="H252" s="2">
        <v>99796.53</v>
      </c>
      <c r="I252" s="2">
        <v>108968.67</v>
      </c>
      <c r="J252" s="2">
        <v>118626.13</v>
      </c>
      <c r="K252" s="2">
        <v>87334.77</v>
      </c>
      <c r="L252" s="2">
        <v>102782.07</v>
      </c>
      <c r="M252" s="2">
        <v>96810.36</v>
      </c>
      <c r="N252" s="2">
        <v>109857.72</v>
      </c>
      <c r="O252" s="2">
        <v>118374.16</v>
      </c>
      <c r="P252" s="2">
        <v>108344.02</v>
      </c>
      <c r="Q252" s="2">
        <v>94003.69</v>
      </c>
      <c r="R252" s="2">
        <v>92884.47</v>
      </c>
      <c r="S252" s="2">
        <v>99516.06</v>
      </c>
      <c r="T252" s="2">
        <v>100952.75</v>
      </c>
      <c r="U252" s="2">
        <v>114093.75</v>
      </c>
      <c r="V252" s="2">
        <v>147775.85999999999</v>
      </c>
      <c r="W252" s="2">
        <v>106087.14</v>
      </c>
      <c r="X252" s="2">
        <v>105145.06</v>
      </c>
      <c r="Y252" s="2">
        <v>93289.23</v>
      </c>
      <c r="Z252" s="2">
        <v>95372.14</v>
      </c>
      <c r="AA252" s="2">
        <v>94677.39</v>
      </c>
      <c r="AB252" s="2">
        <v>91962.01</v>
      </c>
      <c r="AC252" s="2">
        <v>104464.68</v>
      </c>
      <c r="AD252" s="2">
        <v>118848.97</v>
      </c>
      <c r="AE252" s="2">
        <v>94845.9</v>
      </c>
      <c r="AF252" s="2">
        <v>127628.19</v>
      </c>
      <c r="AG252" s="2">
        <v>119441.05</v>
      </c>
      <c r="AH252" s="2">
        <v>52105.37</v>
      </c>
      <c r="AI252" s="24">
        <f>SUM(E252:AH252)</f>
        <v>3038505.4600000004</v>
      </c>
      <c r="AJ252" s="26">
        <v>2524007.6374238362</v>
      </c>
      <c r="AK252" s="33">
        <f>$AJ252/$AI252*E252</f>
        <v>61565.473694517757</v>
      </c>
      <c r="AL252" s="33">
        <f>$AJ252/$AI252*F252</f>
        <v>62263.638620343489</v>
      </c>
      <c r="AM252" s="33">
        <f>$AJ252/$AI252*G252</f>
        <v>70978.339763296157</v>
      </c>
      <c r="AN252" s="33">
        <f>$AJ252/$AI252*H252</f>
        <v>82898.387784498802</v>
      </c>
      <c r="AO252" s="33">
        <f>$AJ252/$AI252*I252</f>
        <v>90517.446468540351</v>
      </c>
      <c r="AP252" s="33">
        <f>$AJ252/$AI252*J252</f>
        <v>98539.647882690595</v>
      </c>
      <c r="AQ252" s="33">
        <f>$AJ252/$AI252*K252</f>
        <v>72546.72713099356</v>
      </c>
      <c r="AR252" s="33">
        <f>$AJ252/$AI252*L252</f>
        <v>85378.39838873659</v>
      </c>
      <c r="AS252" s="33">
        <f>$AJ252/$AI252*M252</f>
        <v>80417.853855609326</v>
      </c>
      <c r="AT252" s="33">
        <f>$AJ252/$AI252*N252</f>
        <v>91255.95723299087</v>
      </c>
      <c r="AU252" s="33">
        <f>$AJ252/$AI252*O252</f>
        <v>98330.342942227624</v>
      </c>
      <c r="AV252" s="33">
        <f>$AJ252/$AI252*P252</f>
        <v>89998.565922998474</v>
      </c>
      <c r="AW252" s="33">
        <f>$AJ252/$AI252*Q252</f>
        <v>78086.42591875502</v>
      </c>
      <c r="AX252" s="33">
        <f>$AJ252/$AI252*R252</f>
        <v>77156.71890813885</v>
      </c>
      <c r="AY252" s="33">
        <f>$AJ252/$AI252*S252</f>
        <v>82665.408633601299</v>
      </c>
      <c r="AZ252" s="33">
        <f>$AJ252/$AI252*T252</f>
        <v>83858.829734977378</v>
      </c>
      <c r="BA252" s="33">
        <f>$AJ252/$AI252*U252</f>
        <v>94774.717430432313</v>
      </c>
      <c r="BB252" s="33">
        <f>$AJ252/$AI252*V252</f>
        <v>122753.57216796822</v>
      </c>
      <c r="BC252" s="33">
        <f>$AJ252/$AI252*W252</f>
        <v>88123.834272277949</v>
      </c>
      <c r="BD252" s="33">
        <f>$AJ252/$AI252*X252</f>
        <v>87341.27286293816</v>
      </c>
      <c r="BE252" s="33">
        <f>$AJ252/$AI252*Y252</f>
        <v>77492.942536752525</v>
      </c>
      <c r="BF252" s="33">
        <f>$AJ252/$AI252*Z252</f>
        <v>79223.161822936236</v>
      </c>
      <c r="BG252" s="33">
        <f>$AJ252/$AI252*AA252</f>
        <v>78646.051026465851</v>
      </c>
      <c r="BH252" s="33">
        <f>$AJ252/$AI252*AB252</f>
        <v>76390.45532366664</v>
      </c>
      <c r="BI252" s="33">
        <f>$AJ252/$AI252*AC252</f>
        <v>86776.098852571085</v>
      </c>
      <c r="BJ252" s="33">
        <f>$AJ252/$AI252*AD252</f>
        <v>98724.755288067288</v>
      </c>
      <c r="BK252" s="33">
        <f>$AJ252/$AI252*AE252</f>
        <v>78786.02791068783</v>
      </c>
      <c r="BL252" s="33">
        <f>$AJ252/$AI252*AF252</f>
        <v>106017.42552425113</v>
      </c>
      <c r="BM252" s="33">
        <f>$AJ252/$AI252*AG252</f>
        <v>99216.580779789758</v>
      </c>
      <c r="BN252" s="33">
        <f>$AJ252/$AI252*AH252</f>
        <v>43282.578742114492</v>
      </c>
    </row>
    <row r="253" spans="1:66" x14ac:dyDescent="0.25">
      <c r="A253" s="1" t="s">
        <v>69</v>
      </c>
      <c r="B253" s="4">
        <v>35</v>
      </c>
      <c r="C253" s="4" t="s">
        <v>5</v>
      </c>
      <c r="D253" s="4" t="str">
        <f>A253&amp;C253</f>
        <v>MOMBASA ROADVEGES</v>
      </c>
      <c r="E253" s="2">
        <v>86663.29</v>
      </c>
      <c r="F253" s="2">
        <v>82817.72</v>
      </c>
      <c r="G253" s="2">
        <v>61333.54</v>
      </c>
      <c r="H253" s="2">
        <v>78262.600000000006</v>
      </c>
      <c r="I253" s="2">
        <v>86437.47</v>
      </c>
      <c r="J253" s="2">
        <v>78213.14</v>
      </c>
      <c r="K253" s="2">
        <v>73137.240000000005</v>
      </c>
      <c r="L253" s="2">
        <v>85244.3</v>
      </c>
      <c r="M253" s="2">
        <v>87406.54</v>
      </c>
      <c r="N253" s="2">
        <v>80687.070000000007</v>
      </c>
      <c r="O253" s="2">
        <v>70099.42</v>
      </c>
      <c r="P253" s="2">
        <v>85759.05</v>
      </c>
      <c r="Q253" s="2">
        <v>87838.83</v>
      </c>
      <c r="R253" s="2">
        <v>82515.28</v>
      </c>
      <c r="S253" s="2">
        <v>73946.09</v>
      </c>
      <c r="T253" s="2">
        <v>67261.22</v>
      </c>
      <c r="U253" s="2">
        <v>76712.36</v>
      </c>
      <c r="V253" s="2">
        <v>70053.75</v>
      </c>
      <c r="W253" s="2">
        <v>86847.13</v>
      </c>
      <c r="X253" s="2">
        <v>74270.39</v>
      </c>
      <c r="Y253" s="2">
        <v>87115.6</v>
      </c>
      <c r="Z253" s="2">
        <v>79311.97</v>
      </c>
      <c r="AA253" s="2">
        <v>75405.11</v>
      </c>
      <c r="AB253" s="2">
        <v>84790.21</v>
      </c>
      <c r="AC253" s="2">
        <v>81147.259999999995</v>
      </c>
      <c r="AD253" s="2">
        <v>100121.63</v>
      </c>
      <c r="AE253" s="2">
        <v>110063.43</v>
      </c>
      <c r="AF253" s="2">
        <v>87067.55</v>
      </c>
      <c r="AG253" s="2">
        <v>88443.71</v>
      </c>
      <c r="AH253" s="2">
        <v>86109.31</v>
      </c>
      <c r="AI253" s="24">
        <f>SUM(E253:AH253)</f>
        <v>2455082.2100000004</v>
      </c>
      <c r="AJ253" s="26">
        <v>2106844.5645863563</v>
      </c>
      <c r="AK253" s="33">
        <f>$AJ253/$AI253*E253</f>
        <v>74370.658848801264</v>
      </c>
      <c r="AL253" s="33">
        <f>$AJ253/$AI253*F253</f>
        <v>71070.558257776123</v>
      </c>
      <c r="AM253" s="33">
        <f>$AJ253/$AI253*G253</f>
        <v>52633.771223424672</v>
      </c>
      <c r="AN253" s="33">
        <f>$AJ253/$AI253*H253</f>
        <v>67161.55277765471</v>
      </c>
      <c r="AO253" s="33">
        <f>$AJ253/$AI253*I253</f>
        <v>74176.869965627833</v>
      </c>
      <c r="AP253" s="33">
        <f>$AJ253/$AI253*J253</f>
        <v>67119.108361031904</v>
      </c>
      <c r="AQ253" s="33">
        <f>$AJ253/$AI253*K253</f>
        <v>62763.19217955957</v>
      </c>
      <c r="AR253" s="33">
        <f>$AJ253/$AI253*L253</f>
        <v>73152.943467815159</v>
      </c>
      <c r="AS253" s="33">
        <f>$AJ253/$AI253*M253</f>
        <v>75008.483609312578</v>
      </c>
      <c r="AT253" s="33">
        <f>$AJ253/$AI253*N253</f>
        <v>69242.127277643725</v>
      </c>
      <c r="AU253" s="33">
        <f>$AJ253/$AI253*O253</f>
        <v>60156.267438252537</v>
      </c>
      <c r="AV253" s="33">
        <f>$AJ253/$AI253*P253</f>
        <v>73594.679485942557</v>
      </c>
      <c r="AW253" s="33">
        <f>$AJ253/$AI253*Q253</f>
        <v>75379.456048897409</v>
      </c>
      <c r="AX253" s="33">
        <f>$AJ253/$AI253*R253</f>
        <v>70811.017429563479</v>
      </c>
      <c r="AY253" s="33">
        <f>$AJ253/$AI253*S253</f>
        <v>63457.312001341692</v>
      </c>
      <c r="AZ253" s="33">
        <f>$AJ253/$AI253*T253</f>
        <v>57720.647881867502</v>
      </c>
      <c r="BA253" s="33">
        <f>$AJ253/$AI253*U253</f>
        <v>65831.204366305843</v>
      </c>
      <c r="BB253" s="33">
        <f>$AJ253/$AI253*V253</f>
        <v>60117.075434468417</v>
      </c>
      <c r="BC253" s="33">
        <f>$AJ253/$AI253*W253</f>
        <v>74528.422325387073</v>
      </c>
      <c r="BD253" s="33">
        <f>$AJ253/$AI253*X253</f>
        <v>63735.612128935121</v>
      </c>
      <c r="BE253" s="33">
        <f>$AJ253/$AI253*Y253</f>
        <v>74758.81157995078</v>
      </c>
      <c r="BF253" s="33">
        <f>$AJ253/$AI253*Z253</f>
        <v>68062.076382010899</v>
      </c>
      <c r="BG253" s="33">
        <f>$AJ253/$AI253*AA253</f>
        <v>64709.37938389292</v>
      </c>
      <c r="BH253" s="33">
        <f>$AJ253/$AI253*AB253</f>
        <v>72763.263218234832</v>
      </c>
      <c r="BI253" s="33">
        <f>$AJ253/$AI253*AC253</f>
        <v>69637.04228139708</v>
      </c>
      <c r="BJ253" s="33">
        <f>$AJ253/$AI253*AD253</f>
        <v>85920.019746722144</v>
      </c>
      <c r="BK253" s="33">
        <f>$AJ253/$AI253*AE253</f>
        <v>94451.639261086428</v>
      </c>
      <c r="BL253" s="33">
        <f>$AJ253/$AI253*AF253</f>
        <v>74717.577163882743</v>
      </c>
      <c r="BM253" s="33">
        <f>$AJ253/$AI253*AG253</f>
        <v>75898.537705322684</v>
      </c>
      <c r="BN253" s="33">
        <f>$AJ253/$AI253*AH253</f>
        <v>73895.257354246205</v>
      </c>
    </row>
    <row r="254" spans="1:66" x14ac:dyDescent="0.25">
      <c r="A254" s="1" t="s">
        <v>37</v>
      </c>
      <c r="B254" s="4">
        <v>36</v>
      </c>
      <c r="C254" s="4" t="s">
        <v>5</v>
      </c>
      <c r="D254" s="4" t="str">
        <f>A254&amp;C254</f>
        <v>PIONEERVEGES</v>
      </c>
      <c r="E254" s="2">
        <v>30852.18</v>
      </c>
      <c r="F254" s="2">
        <v>29994.29</v>
      </c>
      <c r="G254" s="2">
        <v>34102.86</v>
      </c>
      <c r="H254" s="2">
        <v>46640.89</v>
      </c>
      <c r="I254" s="2">
        <v>29554.560000000001</v>
      </c>
      <c r="J254" s="2">
        <v>10723.99</v>
      </c>
      <c r="K254" s="2">
        <v>35087.69</v>
      </c>
      <c r="L254" s="2">
        <v>37105.21</v>
      </c>
      <c r="M254" s="2">
        <v>34820.33</v>
      </c>
      <c r="N254" s="2">
        <v>33156.92</v>
      </c>
      <c r="O254" s="2">
        <v>36402.120000000003</v>
      </c>
      <c r="P254" s="2">
        <v>25527.33</v>
      </c>
      <c r="Q254" s="2">
        <v>12422.32</v>
      </c>
      <c r="R254" s="2">
        <v>32340.97</v>
      </c>
      <c r="S254" s="2">
        <v>29902.73</v>
      </c>
      <c r="T254" s="2">
        <v>31831</v>
      </c>
      <c r="U254" s="2">
        <v>40169.360000000001</v>
      </c>
      <c r="V254" s="2">
        <v>42444.06</v>
      </c>
      <c r="W254" s="2">
        <v>25599.7</v>
      </c>
      <c r="X254" s="2">
        <v>14204.51</v>
      </c>
      <c r="Y254" s="2">
        <v>42298.19</v>
      </c>
      <c r="Z254" s="2">
        <v>41704.75</v>
      </c>
      <c r="AA254" s="2">
        <v>51731.48</v>
      </c>
      <c r="AB254" s="2">
        <v>43731.43</v>
      </c>
      <c r="AC254" s="2">
        <v>36319.83</v>
      </c>
      <c r="AD254" s="2">
        <v>27858.36</v>
      </c>
      <c r="AE254" s="2">
        <v>20432.349999999999</v>
      </c>
      <c r="AF254" s="2">
        <v>27613.24</v>
      </c>
      <c r="AG254" s="2">
        <v>15981.02</v>
      </c>
      <c r="AH254" s="2">
        <v>38729.300000000003</v>
      </c>
      <c r="AI254" s="24">
        <f>SUM(E254:AH254)</f>
        <v>959282.97</v>
      </c>
      <c r="AJ254" s="26">
        <v>970058.68763213325</v>
      </c>
      <c r="AK254" s="33">
        <f>$AJ254/$AI254*E254</f>
        <v>31198.745497786069</v>
      </c>
      <c r="AL254" s="33">
        <f>$AJ254/$AI254*F254</f>
        <v>30331.218737113217</v>
      </c>
      <c r="AM254" s="33">
        <f>$AJ254/$AI254*G254</f>
        <v>34485.940698084494</v>
      </c>
      <c r="AN254" s="33">
        <f>$AJ254/$AI254*H254</f>
        <v>47164.811591927544</v>
      </c>
      <c r="AO254" s="33">
        <f>$AJ254/$AI254*I254</f>
        <v>29886.549207837121</v>
      </c>
      <c r="AP254" s="33">
        <f>$AJ254/$AI254*J254</f>
        <v>10844.453608490641</v>
      </c>
      <c r="AQ254" s="33">
        <f>$AJ254/$AI254*K254</f>
        <v>35481.833387955514</v>
      </c>
      <c r="AR254" s="33">
        <f>$AJ254/$AI254*L254</f>
        <v>37522.016383669048</v>
      </c>
      <c r="AS254" s="33">
        <f>$AJ254/$AI254*M254</f>
        <v>35211.470107425965</v>
      </c>
      <c r="AT254" s="33">
        <f>$AJ254/$AI254*N254</f>
        <v>33529.37486331445</v>
      </c>
      <c r="AU254" s="33">
        <f>$AJ254/$AI254*O254</f>
        <v>36811.028506247152</v>
      </c>
      <c r="AV254" s="33">
        <f>$AJ254/$AI254*P254</f>
        <v>25814.080946889306</v>
      </c>
      <c r="AW254" s="33">
        <f>$AJ254/$AI254*Q254</f>
        <v>12561.861112312252</v>
      </c>
      <c r="AX254" s="33">
        <f>$AJ254/$AI254*R254</f>
        <v>32704.259218685173</v>
      </c>
      <c r="AY254" s="33">
        <f>$AJ254/$AI254*S254</f>
        <v>30238.630234849283</v>
      </c>
      <c r="AZ254" s="33">
        <f>$AJ254/$AI254*T254</f>
        <v>32188.560676750501</v>
      </c>
      <c r="BA254" s="33">
        <f>$AJ254/$AI254*U254</f>
        <v>40620.586274582471</v>
      </c>
      <c r="BB254" s="33">
        <f>$AJ254/$AI254*V254</f>
        <v>42920.838197908917</v>
      </c>
      <c r="BC254" s="33">
        <f>$AJ254/$AI254*W254</f>
        <v>25887.263886042219</v>
      </c>
      <c r="BD254" s="33">
        <f>$AJ254/$AI254*X254</f>
        <v>14364.070623559086</v>
      </c>
      <c r="BE254" s="33">
        <f>$AJ254/$AI254*Y254</f>
        <v>42773.329626204686</v>
      </c>
      <c r="BF254" s="33">
        <f>$AJ254/$AI254*Z254</f>
        <v>42173.223457752203</v>
      </c>
      <c r="BG254" s="33">
        <f>$AJ254/$AI254*AA254</f>
        <v>52312.584677770261</v>
      </c>
      <c r="BH254" s="33">
        <f>$AJ254/$AI254*AB254</f>
        <v>44222.66934862452</v>
      </c>
      <c r="BI254" s="33">
        <f>$AJ254/$AI254*AC254</f>
        <v>36727.814134782544</v>
      </c>
      <c r="BJ254" s="33">
        <f>$AJ254/$AI254*AD254</f>
        <v>28171.295630509852</v>
      </c>
      <c r="BK254" s="33">
        <f>$AJ254/$AI254*AE254</f>
        <v>20661.868547755428</v>
      </c>
      <c r="BL254" s="33">
        <f>$AJ254/$AI254*AF254</f>
        <v>27923.422174033931</v>
      </c>
      <c r="BM254" s="33">
        <f>$AJ254/$AI254*AG254</f>
        <v>16160.536330821002</v>
      </c>
      <c r="BN254" s="33">
        <f>$AJ254/$AI254*AH254</f>
        <v>39164.349942448345</v>
      </c>
    </row>
    <row r="255" spans="1:66" ht="24.75" x14ac:dyDescent="0.25">
      <c r="A255" s="1" t="s">
        <v>81</v>
      </c>
      <c r="B255" s="4">
        <v>37</v>
      </c>
      <c r="C255" s="4" t="s">
        <v>5</v>
      </c>
      <c r="D255" s="4" t="str">
        <f>A255&amp;C255</f>
        <v>MTWAPA EXPRESSVEGES</v>
      </c>
      <c r="E255" s="2">
        <v>32123.21</v>
      </c>
      <c r="F255" s="2">
        <v>43674.879999999997</v>
      </c>
      <c r="G255" s="2">
        <v>47716.18</v>
      </c>
      <c r="H255" s="2">
        <v>38268.42</v>
      </c>
      <c r="I255" s="2">
        <v>41379.49</v>
      </c>
      <c r="J255" s="2">
        <v>57341.82</v>
      </c>
      <c r="K255" s="2">
        <v>49241.79</v>
      </c>
      <c r="L255" s="2">
        <v>39779.39</v>
      </c>
      <c r="M255" s="2">
        <v>38936.839999999997</v>
      </c>
      <c r="N255" s="2">
        <v>45503.17</v>
      </c>
      <c r="O255" s="2">
        <v>53695.93</v>
      </c>
      <c r="P255" s="2">
        <v>38787.019999999997</v>
      </c>
      <c r="Q255" s="2">
        <v>42375.17</v>
      </c>
      <c r="R255" s="2">
        <v>54267.360000000001</v>
      </c>
      <c r="S255" s="2">
        <v>35141.81</v>
      </c>
      <c r="T255" s="2">
        <v>31743.9</v>
      </c>
      <c r="U255" s="2">
        <v>35453.730000000003</v>
      </c>
      <c r="V255" s="2">
        <v>42170.81</v>
      </c>
      <c r="W255" s="2">
        <v>34050.18</v>
      </c>
      <c r="X255" s="2">
        <v>52513.19</v>
      </c>
      <c r="Y255" s="2">
        <v>41997.62</v>
      </c>
      <c r="Z255" s="2">
        <v>37334.33</v>
      </c>
      <c r="AA255" s="2">
        <v>32165.47</v>
      </c>
      <c r="AB255" s="2">
        <v>41810.620000000003</v>
      </c>
      <c r="AC255" s="2">
        <v>41873.01</v>
      </c>
      <c r="AD255" s="2">
        <v>32025.38</v>
      </c>
      <c r="AE255" s="2">
        <v>35862.269999999997</v>
      </c>
      <c r="AF255" s="2">
        <v>47969.53</v>
      </c>
      <c r="AG255" s="2">
        <v>44950.29</v>
      </c>
      <c r="AH255" s="2">
        <v>45572.43</v>
      </c>
      <c r="AI255" s="24">
        <f>SUM(E255:AH255)</f>
        <v>1255725.2399999998</v>
      </c>
      <c r="AJ255" s="26">
        <v>1064123.5718767669</v>
      </c>
      <c r="AK255" s="33">
        <f>$AJ255/$AI255*E255</f>
        <v>27221.771034360576</v>
      </c>
      <c r="AL255" s="33">
        <f>$AJ255/$AI255*F255</f>
        <v>37010.858607006398</v>
      </c>
      <c r="AM255" s="33">
        <f>$AJ255/$AI255*G255</f>
        <v>40435.527040863461</v>
      </c>
      <c r="AN255" s="33">
        <f>$AJ255/$AI255*H255</f>
        <v>32429.329668073176</v>
      </c>
      <c r="AO255" s="33">
        <f>$AJ255/$AI255*I255</f>
        <v>35065.704899934128</v>
      </c>
      <c r="AP255" s="33">
        <f>$AJ255/$AI255*J255</f>
        <v>48592.463042563868</v>
      </c>
      <c r="AQ255" s="33">
        <f>$AJ255/$AI255*K255</f>
        <v>41728.355687431809</v>
      </c>
      <c r="AR255" s="33">
        <f>$AJ255/$AI255*L255</f>
        <v>33709.75212211148</v>
      </c>
      <c r="AS255" s="33">
        <f>$AJ255/$AI255*M255</f>
        <v>32995.760488492037</v>
      </c>
      <c r="AT255" s="33">
        <f>$AJ255/$AI255*N255</f>
        <v>38560.183589298365</v>
      </c>
      <c r="AU255" s="33">
        <f>$AJ255/$AI255*O255</f>
        <v>45502.871971295928</v>
      </c>
      <c r="AV255" s="33">
        <f>$AJ255/$AI255*P255</f>
        <v>32868.800395264494</v>
      </c>
      <c r="AW255" s="33">
        <f>$AJ255/$AI255*Q255</f>
        <v>35909.461578780742</v>
      </c>
      <c r="AX255" s="33">
        <f>$AJ255/$AI255*R255</f>
        <v>45987.111766203248</v>
      </c>
      <c r="AY255" s="33">
        <f>$AJ255/$AI255*S255</f>
        <v>29779.785567911887</v>
      </c>
      <c r="AZ255" s="33">
        <f>$AJ255/$AI255*T255</f>
        <v>26900.337093884413</v>
      </c>
      <c r="BA255" s="33">
        <f>$AJ255/$AI255*U255</f>
        <v>30044.112041543816</v>
      </c>
      <c r="BB255" s="33">
        <f>$AJ255/$AI255*V255</f>
        <v>35736.283333873645</v>
      </c>
      <c r="BC255" s="33">
        <f>$AJ255/$AI255*W255</f>
        <v>28854.719177777184</v>
      </c>
      <c r="BD255" s="33">
        <f>$AJ255/$AI255*X255</f>
        <v>44500.597370682241</v>
      </c>
      <c r="BE255" s="33">
        <f>$AJ255/$AI255*Y255</f>
        <v>35589.519093144256</v>
      </c>
      <c r="BF255" s="33">
        <f>$AJ255/$AI255*Z255</f>
        <v>31637.765434440054</v>
      </c>
      <c r="BG255" s="33">
        <f>$AJ255/$AI255*AA255</f>
        <v>27257.582898863286</v>
      </c>
      <c r="BH255" s="33">
        <f>$AJ255/$AI255*AB255</f>
        <v>35431.052016428526</v>
      </c>
      <c r="BI255" s="33">
        <f>$AJ255/$AI255*AC255</f>
        <v>35483.922395660047</v>
      </c>
      <c r="BJ255" s="33">
        <f>$AJ255/$AI255*AD255</f>
        <v>27138.868178130098</v>
      </c>
      <c r="BK255" s="33">
        <f>$AJ255/$AI255*AE255</f>
        <v>30390.315996203935</v>
      </c>
      <c r="BL255" s="33">
        <f>$AJ255/$AI255*AF255</f>
        <v>40650.220270199978</v>
      </c>
      <c r="BM255" s="33">
        <f>$AJ255/$AI255*AG255</f>
        <v>38091.663389434238</v>
      </c>
      <c r="BN255" s="33">
        <f>$AJ255/$AI255*AH255</f>
        <v>38618.875726909762</v>
      </c>
    </row>
    <row r="256" spans="1:66" x14ac:dyDescent="0.25">
      <c r="A256" s="1" t="s">
        <v>38</v>
      </c>
      <c r="B256" s="4">
        <v>38</v>
      </c>
      <c r="C256" s="4" t="s">
        <v>5</v>
      </c>
      <c r="D256" s="4" t="str">
        <f>A256&amp;C256</f>
        <v>ELDORETVEGES</v>
      </c>
      <c r="E256" s="2">
        <v>65435.22</v>
      </c>
      <c r="F256" s="2">
        <v>66665.23</v>
      </c>
      <c r="G256" s="2">
        <v>74102.509999999995</v>
      </c>
      <c r="H256" s="2">
        <v>84000.84</v>
      </c>
      <c r="I256" s="2">
        <v>74834.61</v>
      </c>
      <c r="J256" s="2">
        <v>69961.59</v>
      </c>
      <c r="K256" s="2">
        <v>65283.41</v>
      </c>
      <c r="L256" s="2">
        <v>64562.35</v>
      </c>
      <c r="M256" s="2">
        <v>65556.83</v>
      </c>
      <c r="N256" s="2">
        <v>51346.42</v>
      </c>
      <c r="O256" s="2">
        <v>65284.01</v>
      </c>
      <c r="P256" s="2">
        <v>62340.02</v>
      </c>
      <c r="Q256" s="2">
        <v>58441.47</v>
      </c>
      <c r="R256" s="2">
        <v>60371.15</v>
      </c>
      <c r="S256" s="2">
        <v>70712.100000000006</v>
      </c>
      <c r="T256" s="2">
        <v>43294.13</v>
      </c>
      <c r="U256" s="2">
        <v>68956.429999999993</v>
      </c>
      <c r="V256" s="2">
        <v>68349.75</v>
      </c>
      <c r="W256" s="2">
        <v>58839.21</v>
      </c>
      <c r="X256" s="2">
        <v>53841.33</v>
      </c>
      <c r="Y256" s="2">
        <v>59309.18</v>
      </c>
      <c r="Z256" s="2">
        <v>82799.740000000005</v>
      </c>
      <c r="AA256" s="2">
        <v>65273.04</v>
      </c>
      <c r="AB256" s="2">
        <v>63401.42</v>
      </c>
      <c r="AC256" s="2">
        <v>56351.87</v>
      </c>
      <c r="AD256" s="2">
        <v>63460.98</v>
      </c>
      <c r="AE256" s="2">
        <v>57396.13</v>
      </c>
      <c r="AF256" s="2">
        <v>89091.36</v>
      </c>
      <c r="AG256" s="2">
        <v>61802.59</v>
      </c>
      <c r="AH256" s="2">
        <v>55659.98</v>
      </c>
      <c r="AI256" s="24">
        <f>SUM(E256:AH256)</f>
        <v>1946724.9000000001</v>
      </c>
      <c r="AJ256" s="26">
        <v>1981928.9047916562</v>
      </c>
      <c r="AK256" s="33">
        <f>$AJ256/$AI256*E256</f>
        <v>66618.531416226848</v>
      </c>
      <c r="AL256" s="33">
        <f>$AJ256/$AI256*F256</f>
        <v>67870.784557994732</v>
      </c>
      <c r="AM256" s="33">
        <f>$AJ256/$AI256*G256</f>
        <v>75442.558158378073</v>
      </c>
      <c r="AN256" s="33">
        <f>$AJ256/$AI256*H256</f>
        <v>85519.886668516512</v>
      </c>
      <c r="AO256" s="33">
        <f>$AJ256/$AI256*I256</f>
        <v>76187.897241058919</v>
      </c>
      <c r="AP256" s="33">
        <f>$AJ256/$AI256*J256</f>
        <v>71226.754969940986</v>
      </c>
      <c r="AQ256" s="33">
        <f>$AJ256/$AI256*K256</f>
        <v>66463.97612850416</v>
      </c>
      <c r="AR256" s="33">
        <f>$AJ256/$AI256*L256</f>
        <v>65729.876689960438</v>
      </c>
      <c r="AS256" s="33">
        <f>$AJ256/$AI256*M256</f>
        <v>66742.340575965703</v>
      </c>
      <c r="AT256" s="33">
        <f>$AJ256/$AI256*N256</f>
        <v>52274.953669916271</v>
      </c>
      <c r="AU256" s="33">
        <f>$AJ256/$AI256*O256</f>
        <v>66464.586978728999</v>
      </c>
      <c r="AV256" s="33">
        <f>$AJ256/$AI256*P256</f>
        <v>63467.358722996723</v>
      </c>
      <c r="AW256" s="33">
        <f>$AJ256/$AI256*Q256</f>
        <v>59498.308482885499</v>
      </c>
      <c r="AX256" s="33">
        <f>$AJ256/$AI256*R256</f>
        <v>61462.884252681411</v>
      </c>
      <c r="AY256" s="33">
        <f>$AJ256/$AI256*S256</f>
        <v>71990.836973687488</v>
      </c>
      <c r="AZ256" s="33">
        <f>$AJ256/$AI256*T256</f>
        <v>44077.048408230447</v>
      </c>
      <c r="BA256" s="33">
        <f>$AJ256/$AI256*U256</f>
        <v>70203.417949933486</v>
      </c>
      <c r="BB256" s="33">
        <f>$AJ256/$AI256*V256</f>
        <v>69585.766925919263</v>
      </c>
      <c r="BC256" s="33">
        <f>$AJ256/$AI256*W256</f>
        <v>59903.241096934784</v>
      </c>
      <c r="BD256" s="33">
        <f>$AJ256/$AI256*X256</f>
        <v>54814.980894026754</v>
      </c>
      <c r="BE256" s="33">
        <f>$AJ256/$AI256*Y256</f>
        <v>60381.709897218243</v>
      </c>
      <c r="BF256" s="33">
        <f>$AJ256/$AI256*Z256</f>
        <v>84297.066326749031</v>
      </c>
      <c r="BG256" s="33">
        <f>$AJ256/$AI256*AA256</f>
        <v>66453.418600451434</v>
      </c>
      <c r="BH256" s="33">
        <f>$AJ256/$AI256*AB256</f>
        <v>64547.952770746291</v>
      </c>
      <c r="BI256" s="33">
        <f>$AJ256/$AI256*AC256</f>
        <v>57370.920766494426</v>
      </c>
      <c r="BJ256" s="33">
        <f>$AJ256/$AI256*AD256</f>
        <v>64608.589836399173</v>
      </c>
      <c r="BK256" s="33">
        <f>$AJ256/$AI256*AE256</f>
        <v>58434.064859487597</v>
      </c>
      <c r="BL256" s="33">
        <f>$AJ256/$AI256*AF256</f>
        <v>90702.462146140504</v>
      </c>
      <c r="BM256" s="33">
        <f>$AJ256/$AI256*AG256</f>
        <v>62920.209995766607</v>
      </c>
      <c r="BN256" s="33">
        <f>$AJ256/$AI256*AH256</f>
        <v>56666.518829715227</v>
      </c>
    </row>
    <row r="257" spans="1:66" x14ac:dyDescent="0.25">
      <c r="A257" s="1" t="s">
        <v>36</v>
      </c>
      <c r="B257" s="4">
        <v>39</v>
      </c>
      <c r="C257" s="4" t="s">
        <v>5</v>
      </c>
      <c r="D257" s="4" t="str">
        <f>A257&amp;C257</f>
        <v>KAKAMEGAVEGES</v>
      </c>
      <c r="E257" s="2">
        <v>71568.539999999994</v>
      </c>
      <c r="F257" s="2">
        <v>74678.460000000006</v>
      </c>
      <c r="G257" s="2">
        <v>82448.210000000006</v>
      </c>
      <c r="H257" s="2">
        <v>94910.05</v>
      </c>
      <c r="I257" s="2">
        <v>68586.070000000007</v>
      </c>
      <c r="J257" s="2">
        <v>52506.03</v>
      </c>
      <c r="K257" s="2">
        <v>50465.15</v>
      </c>
      <c r="L257" s="2">
        <v>61983.83</v>
      </c>
      <c r="M257" s="2">
        <v>60884.9</v>
      </c>
      <c r="N257" s="2">
        <v>63500.97</v>
      </c>
      <c r="O257" s="2">
        <v>66180.33</v>
      </c>
      <c r="P257" s="2">
        <v>69323.7</v>
      </c>
      <c r="Q257" s="2">
        <v>55248.02</v>
      </c>
      <c r="R257" s="2">
        <v>57488.05</v>
      </c>
      <c r="S257" s="2">
        <v>74407.56</v>
      </c>
      <c r="T257" s="2">
        <v>73066.41</v>
      </c>
      <c r="U257" s="2">
        <v>66750.89</v>
      </c>
      <c r="V257" s="2">
        <v>75328.19</v>
      </c>
      <c r="W257" s="2">
        <v>73764.52</v>
      </c>
      <c r="X257" s="2">
        <v>105458.69</v>
      </c>
      <c r="Y257" s="2">
        <v>69597.289999999994</v>
      </c>
      <c r="Z257" s="2">
        <v>81329.55</v>
      </c>
      <c r="AA257" s="2">
        <v>67531.75</v>
      </c>
      <c r="AB257" s="2">
        <v>67310.12</v>
      </c>
      <c r="AC257" s="2">
        <v>64665.72</v>
      </c>
      <c r="AD257" s="2">
        <v>58662.1</v>
      </c>
      <c r="AE257" s="2">
        <v>72815.259999999995</v>
      </c>
      <c r="AF257" s="2">
        <v>96700.78</v>
      </c>
      <c r="AG257" s="2">
        <v>91704.27</v>
      </c>
      <c r="AH257" s="2">
        <v>61018.03</v>
      </c>
      <c r="AI257" s="24">
        <f>SUM(E257:AH257)</f>
        <v>2129883.44</v>
      </c>
      <c r="AJ257" s="26">
        <v>1945853.2655043942</v>
      </c>
      <c r="AK257" s="33">
        <f>$AJ257/$AI257*E257</f>
        <v>65384.741085353409</v>
      </c>
      <c r="AL257" s="33">
        <f>$AJ257/$AI257*F257</f>
        <v>68225.951958121848</v>
      </c>
      <c r="AM257" s="33">
        <f>$AJ257/$AI257*G257</f>
        <v>75324.365479592656</v>
      </c>
      <c r="AN257" s="33">
        <f>$AJ257/$AI257*H257</f>
        <v>86709.454260879807</v>
      </c>
      <c r="AO257" s="33">
        <f>$AJ257/$AI257*I257</f>
        <v>62659.968039196072</v>
      </c>
      <c r="AP257" s="33">
        <f>$AJ257/$AI257*J257</f>
        <v>47969.305744811878</v>
      </c>
      <c r="AQ257" s="33">
        <f>$AJ257/$AI257*K257</f>
        <v>46104.765677538242</v>
      </c>
      <c r="AR257" s="33">
        <f>$AJ257/$AI257*L257</f>
        <v>56628.187134019521</v>
      </c>
      <c r="AS257" s="33">
        <f>$AJ257/$AI257*M257</f>
        <v>55624.208940235949</v>
      </c>
      <c r="AT257" s="33">
        <f>$AJ257/$AI257*N257</f>
        <v>58014.24036481385</v>
      </c>
      <c r="AU257" s="33">
        <f>$AJ257/$AI257*O257</f>
        <v>60462.093288381278</v>
      </c>
      <c r="AV257" s="33">
        <f>$AJ257/$AI257*P257</f>
        <v>63333.863951656887</v>
      </c>
      <c r="AW257" s="33">
        <f>$AJ257/$AI257*Q257</f>
        <v>50474.37719392385</v>
      </c>
      <c r="AX257" s="33">
        <f>$AJ257/$AI257*R257</f>
        <v>52520.859930241015</v>
      </c>
      <c r="AY257" s="33">
        <f>$AJ257/$AI257*S257</f>
        <v>67978.458766839438</v>
      </c>
      <c r="AZ257" s="33">
        <f>$AJ257/$AI257*T257</f>
        <v>66753.189318746445</v>
      </c>
      <c r="BA257" s="33">
        <f>$AJ257/$AI257*U257</f>
        <v>60983.354695609356</v>
      </c>
      <c r="BB257" s="33">
        <f>$AJ257/$AI257*V257</f>
        <v>68819.542770864238</v>
      </c>
      <c r="BC257" s="33">
        <f>$AJ257/$AI257*W257</f>
        <v>67390.979912198483</v>
      </c>
      <c r="BD257" s="33">
        <f>$AJ257/$AI257*X257</f>
        <v>96346.650928614021</v>
      </c>
      <c r="BE257" s="33">
        <f>$AJ257/$AI257*Y257</f>
        <v>63583.814716525667</v>
      </c>
      <c r="BF257" s="33">
        <f>$AJ257/$AI257*Z257</f>
        <v>74302.362034188554</v>
      </c>
      <c r="BG257" s="33">
        <f>$AJ257/$AI257*AA257</f>
        <v>61696.745368716693</v>
      </c>
      <c r="BH257" s="33">
        <f>$AJ257/$AI257*AB257</f>
        <v>61494.265058698533</v>
      </c>
      <c r="BI257" s="33">
        <f>$AJ257/$AI257*AC257</f>
        <v>59078.351455792726</v>
      </c>
      <c r="BJ257" s="33">
        <f>$AJ257/$AI257*AD257</f>
        <v>53593.4674652174</v>
      </c>
      <c r="BK257" s="33">
        <f>$AJ257/$AI257*AE257</f>
        <v>66523.739651007141</v>
      </c>
      <c r="BL257" s="33">
        <f>$AJ257/$AI257*AF257</f>
        <v>88345.458256542915</v>
      </c>
      <c r="BM257" s="33">
        <f>$AJ257/$AI257*AG257</f>
        <v>83780.666063207973</v>
      </c>
      <c r="BN257" s="33">
        <f>$AJ257/$AI257*AH257</f>
        <v>55745.83599285841</v>
      </c>
    </row>
    <row r="258" spans="1:66" x14ac:dyDescent="0.25">
      <c r="A258" s="1" t="s">
        <v>39</v>
      </c>
      <c r="B258" s="4">
        <v>40</v>
      </c>
      <c r="C258" s="4" t="s">
        <v>5</v>
      </c>
      <c r="D258" s="4" t="str">
        <f>A258&amp;C258</f>
        <v>CHANIAVEGES</v>
      </c>
      <c r="E258" s="2">
        <v>104130.19</v>
      </c>
      <c r="F258" s="2">
        <v>91324.84</v>
      </c>
      <c r="G258" s="2">
        <v>93814.15</v>
      </c>
      <c r="H258" s="2">
        <v>88444.13</v>
      </c>
      <c r="I258" s="2">
        <v>82591.100000000006</v>
      </c>
      <c r="J258" s="2">
        <v>110021.66</v>
      </c>
      <c r="K258" s="2">
        <v>90257.53</v>
      </c>
      <c r="L258" s="2">
        <v>86162.08</v>
      </c>
      <c r="M258" s="2">
        <v>106905.97</v>
      </c>
      <c r="N258" s="2">
        <v>91325.04</v>
      </c>
      <c r="O258" s="2">
        <v>99706.8</v>
      </c>
      <c r="P258" s="2">
        <v>75838.100000000006</v>
      </c>
      <c r="Q258" s="2">
        <v>87906.65</v>
      </c>
      <c r="R258" s="2">
        <v>92435.01</v>
      </c>
      <c r="S258" s="2">
        <v>74836.509999999995</v>
      </c>
      <c r="T258" s="2">
        <v>85935.26</v>
      </c>
      <c r="U258" s="2">
        <v>73579.509999999995</v>
      </c>
      <c r="V258" s="2">
        <v>86559.25</v>
      </c>
      <c r="W258" s="2">
        <v>80455.69</v>
      </c>
      <c r="X258" s="2">
        <v>102923.8</v>
      </c>
      <c r="Y258" s="2">
        <v>117337.42</v>
      </c>
      <c r="Z258" s="2">
        <v>101223.6</v>
      </c>
      <c r="AA258" s="2">
        <v>91711.3</v>
      </c>
      <c r="AB258" s="2">
        <v>76061.98</v>
      </c>
      <c r="AC258" s="2">
        <v>94182.69</v>
      </c>
      <c r="AD258" s="2">
        <v>104892.5</v>
      </c>
      <c r="AE258" s="2">
        <v>128141.18</v>
      </c>
      <c r="AF258" s="2">
        <v>104520.56</v>
      </c>
      <c r="AG258" s="2">
        <v>129150.38</v>
      </c>
      <c r="AH258" s="2">
        <v>86548.67</v>
      </c>
      <c r="AI258" s="24">
        <f>SUM(E258:AH258)</f>
        <v>2838923.55</v>
      </c>
      <c r="AJ258" s="26">
        <v>2519764.6106884312</v>
      </c>
      <c r="AK258" s="33">
        <f>$AJ258/$AI258*E258</f>
        <v>92423.611641906449</v>
      </c>
      <c r="AL258" s="33">
        <f>$AJ258/$AI258*F258</f>
        <v>81057.871357185111</v>
      </c>
      <c r="AM258" s="33">
        <f>$AJ258/$AI258*G258</f>
        <v>83267.326854157829</v>
      </c>
      <c r="AN258" s="33">
        <f>$AJ258/$AI258*H258</f>
        <v>78501.018034503621</v>
      </c>
      <c r="AO258" s="33">
        <f>$AJ258/$AI258*I258</f>
        <v>73306.000416189199</v>
      </c>
      <c r="AP258" s="33">
        <f>$AJ258/$AI258*J258</f>
        <v>97652.747738555685</v>
      </c>
      <c r="AQ258" s="33">
        <f>$AJ258/$AI258*K258</f>
        <v>80110.551036906021</v>
      </c>
      <c r="AR258" s="33">
        <f>$AJ258/$AI258*L258</f>
        <v>76475.52184605517</v>
      </c>
      <c r="AS258" s="33">
        <f>$AJ258/$AI258*M258</f>
        <v>94887.331459601701</v>
      </c>
      <c r="AT258" s="33">
        <f>$AJ258/$AI258*N258</f>
        <v>81058.048872681131</v>
      </c>
      <c r="AU258" s="33">
        <f>$AJ258/$AI258*O258</f>
        <v>88497.510292233579</v>
      </c>
      <c r="AV258" s="33">
        <f>$AJ258/$AI258*P258</f>
        <v>67312.189693114604</v>
      </c>
      <c r="AW258" s="33">
        <f>$AJ258/$AI258*Q258</f>
        <v>78023.962890502691</v>
      </c>
      <c r="AX258" s="33">
        <f>$AJ258/$AI258*R258</f>
        <v>82043.233248261036</v>
      </c>
      <c r="AY258" s="33">
        <f>$AJ258/$AI258*S258</f>
        <v>66423.20096482728</v>
      </c>
      <c r="AZ258" s="33">
        <f>$AJ258/$AI258*T258</f>
        <v>76274.201522020245</v>
      </c>
      <c r="BA258" s="33">
        <f>$AJ258/$AI258*U258</f>
        <v>65307.516072349157</v>
      </c>
      <c r="BB258" s="33">
        <f>$AJ258/$AI258*V258</f>
        <v>76828.040993824092</v>
      </c>
      <c r="BC258" s="33">
        <f>$AJ258/$AI258*W258</f>
        <v>71410.658589421728</v>
      </c>
      <c r="BD258" s="33">
        <f>$AJ258/$AI258*X258</f>
        <v>91352.847045695889</v>
      </c>
      <c r="BE258" s="33">
        <f>$AJ258/$AI258*Y258</f>
        <v>104146.05156432795</v>
      </c>
      <c r="BF258" s="33">
        <f>$AJ258/$AI258*Z258</f>
        <v>89843.787814040115</v>
      </c>
      <c r="BG258" s="33">
        <f>$AJ258/$AI258*AA258</f>
        <v>81400.884550142233</v>
      </c>
      <c r="BH258" s="33">
        <f>$AJ258/$AI258*AB258</f>
        <v>67510.900539358045</v>
      </c>
      <c r="BI258" s="33">
        <f>$AJ258/$AI258*AC258</f>
        <v>83594.434658671671</v>
      </c>
      <c r="BJ258" s="33">
        <f>$AJ258/$AI258*AD258</f>
        <v>93100.22083075688</v>
      </c>
      <c r="BK258" s="33">
        <f>$AJ258/$AI258*AE258</f>
        <v>113735.22564066798</v>
      </c>
      <c r="BL258" s="33">
        <f>$AJ258/$AI258*AF258</f>
        <v>92770.095262810733</v>
      </c>
      <c r="BM258" s="33">
        <f>$AJ258/$AI258*AG258</f>
        <v>114630.96883357884</v>
      </c>
      <c r="BN258" s="33">
        <f>$AJ258/$AI258*AH258</f>
        <v>76818.650424084684</v>
      </c>
    </row>
    <row r="259" spans="1:66" x14ac:dyDescent="0.25">
      <c r="A259" s="1" t="s">
        <v>40</v>
      </c>
      <c r="B259" s="4">
        <v>41</v>
      </c>
      <c r="C259" s="4" t="s">
        <v>5</v>
      </c>
      <c r="D259" s="4" t="str">
        <f>A259&amp;C259</f>
        <v>OTCVEGES</v>
      </c>
      <c r="E259" s="2">
        <v>7564.84</v>
      </c>
      <c r="F259" s="2">
        <v>6974.22</v>
      </c>
      <c r="G259" s="2">
        <v>6402.36</v>
      </c>
      <c r="H259" s="2">
        <v>9061.5499999999993</v>
      </c>
      <c r="I259" s="2">
        <v>12507.5</v>
      </c>
      <c r="J259" s="2">
        <v>6724.79</v>
      </c>
      <c r="K259" s="2">
        <v>7674.04</v>
      </c>
      <c r="L259" s="2">
        <v>5735.36</v>
      </c>
      <c r="M259" s="2">
        <v>2183.58</v>
      </c>
      <c r="N259" s="2">
        <v>2547.15</v>
      </c>
      <c r="O259" s="2">
        <v>8309.4</v>
      </c>
      <c r="P259" s="2">
        <v>7164.71</v>
      </c>
      <c r="Q259" s="2">
        <v>5998.31</v>
      </c>
      <c r="R259" s="2">
        <v>4397.8999999999996</v>
      </c>
      <c r="S259" s="2">
        <v>2603.91</v>
      </c>
      <c r="T259" s="2">
        <v>1372.54</v>
      </c>
      <c r="U259" s="2">
        <v>1264.56</v>
      </c>
      <c r="V259" s="2">
        <v>5628.93</v>
      </c>
      <c r="W259" s="2">
        <v>5228.43</v>
      </c>
      <c r="X259" s="2">
        <v>4272.7</v>
      </c>
      <c r="Y259" s="2">
        <v>5714.05</v>
      </c>
      <c r="Z259" s="2">
        <v>7761.31</v>
      </c>
      <c r="AA259" s="2">
        <v>8914.42</v>
      </c>
      <c r="AB259" s="2">
        <v>3723.79</v>
      </c>
      <c r="AC259" s="2">
        <v>2123</v>
      </c>
      <c r="AD259" s="2">
        <v>1825.54</v>
      </c>
      <c r="AE259" s="2">
        <v>2009.94</v>
      </c>
      <c r="AF259" s="2">
        <v>7702.16</v>
      </c>
      <c r="AG259" s="2">
        <v>4438.57</v>
      </c>
      <c r="AH259" s="2">
        <v>2922.03</v>
      </c>
      <c r="AI259" s="24">
        <f>SUM(E259:AH259)</f>
        <v>160751.59000000003</v>
      </c>
      <c r="AJ259" s="26">
        <v>28847.260985582667</v>
      </c>
      <c r="AK259" s="33">
        <f>$AJ259/$AI259*E259</f>
        <v>1357.5288045000061</v>
      </c>
      <c r="AL259" s="33">
        <f>$AJ259/$AI259*F259</f>
        <v>1251.540619354809</v>
      </c>
      <c r="AM259" s="33">
        <f>$AJ259/$AI259*G259</f>
        <v>1148.9189615085922</v>
      </c>
      <c r="AN259" s="33">
        <f>$AJ259/$AI259*H259</f>
        <v>1626.1170280425006</v>
      </c>
      <c r="AO259" s="33">
        <f>$AJ259/$AI259*I259</f>
        <v>2244.5010763325895</v>
      </c>
      <c r="AP259" s="33">
        <f>$AJ259/$AI259*J259</f>
        <v>1206.7798035667108</v>
      </c>
      <c r="AQ259" s="33">
        <f>$AJ259/$AI259*K259</f>
        <v>1377.1250081806393</v>
      </c>
      <c r="AR259" s="33">
        <f>$AJ259/$AI259*L259</f>
        <v>1029.2242009318313</v>
      </c>
      <c r="AS259" s="33">
        <f>$AJ259/$AI259*M259</f>
        <v>391.84870359850618</v>
      </c>
      <c r="AT259" s="33">
        <f>$AJ259/$AI259*N259</f>
        <v>457.09221799564705</v>
      </c>
      <c r="AU259" s="33">
        <f>$AJ259/$AI259*O259</f>
        <v>1491.1418943576268</v>
      </c>
      <c r="AV259" s="33">
        <f>$AJ259/$AI259*P259</f>
        <v>1285.7245098229757</v>
      </c>
      <c r="AW259" s="33">
        <f>$AJ259/$AI259*Q259</f>
        <v>1076.4112133661033</v>
      </c>
      <c r="AX259" s="33">
        <f>$AJ259/$AI259*R259</f>
        <v>789.21377442359346</v>
      </c>
      <c r="AY259" s="33">
        <f>$AJ259/$AI259*S259</f>
        <v>467.27793705162446</v>
      </c>
      <c r="AZ259" s="33">
        <f>$AJ259/$AI259*T259</f>
        <v>246.30561721443394</v>
      </c>
      <c r="BA259" s="33">
        <f>$AJ259/$AI259*U259</f>
        <v>226.92834547968334</v>
      </c>
      <c r="BB259" s="33">
        <f>$AJ259/$AI259*V259</f>
        <v>1010.1250804398004</v>
      </c>
      <c r="BC259" s="33">
        <f>$AJ259/$AI259*W259</f>
        <v>938.25438836934654</v>
      </c>
      <c r="BD259" s="33">
        <f>$AJ259/$AI259*X259</f>
        <v>766.74633210843535</v>
      </c>
      <c r="BE259" s="33">
        <f>$AJ259/$AI259*Y259</f>
        <v>1025.4000699754733</v>
      </c>
      <c r="BF259" s="33">
        <f>$AJ259/$AI259*Z259</f>
        <v>1392.7858204078266</v>
      </c>
      <c r="BG259" s="33">
        <f>$AJ259/$AI259*AA259</f>
        <v>1599.7141942738967</v>
      </c>
      <c r="BH259" s="33">
        <f>$AJ259/$AI259*AB259</f>
        <v>668.24310717861556</v>
      </c>
      <c r="BI259" s="33">
        <f>$AJ259/$AI259*AC259</f>
        <v>380.97747631853588</v>
      </c>
      <c r="BJ259" s="33">
        <f>$AJ259/$AI259*AD259</f>
        <v>327.59756105442295</v>
      </c>
      <c r="BK259" s="33">
        <f>$AJ259/$AI259*AE259</f>
        <v>360.6885863173236</v>
      </c>
      <c r="BL259" s="33">
        <f>$AJ259/$AI259*AF259</f>
        <v>1382.171210080817</v>
      </c>
      <c r="BM259" s="33">
        <f>$AJ259/$AI259*AG259</f>
        <v>796.51210412772662</v>
      </c>
      <c r="BN259" s="33">
        <f>$AJ259/$AI259*AH259</f>
        <v>524.36533920256784</v>
      </c>
    </row>
    <row r="260" spans="1:66" x14ac:dyDescent="0.25">
      <c r="A260" s="1" t="s">
        <v>41</v>
      </c>
      <c r="B260" s="4">
        <v>42</v>
      </c>
      <c r="C260" s="4" t="s">
        <v>5</v>
      </c>
      <c r="D260" s="4" t="str">
        <f>A260&amp;C260</f>
        <v>MTWAPA MALLVEGES</v>
      </c>
      <c r="E260" s="2">
        <v>122718</v>
      </c>
      <c r="F260" s="2">
        <v>97844.45</v>
      </c>
      <c r="G260" s="2">
        <v>82577.27</v>
      </c>
      <c r="H260" s="2">
        <v>123356.13</v>
      </c>
      <c r="I260" s="2">
        <v>126210.38</v>
      </c>
      <c r="J260" s="2">
        <v>113409.73</v>
      </c>
      <c r="K260" s="2">
        <v>107887.26</v>
      </c>
      <c r="L260" s="2">
        <v>105866.56</v>
      </c>
      <c r="M260" s="2">
        <v>102807.67</v>
      </c>
      <c r="N260" s="2">
        <v>124948.96</v>
      </c>
      <c r="O260" s="2">
        <v>100563.94</v>
      </c>
      <c r="P260" s="2">
        <v>137790.38</v>
      </c>
      <c r="Q260" s="2">
        <v>106900.67</v>
      </c>
      <c r="R260" s="2">
        <v>90296.57</v>
      </c>
      <c r="S260" s="2">
        <v>119952.92</v>
      </c>
      <c r="T260" s="2">
        <v>99210.87</v>
      </c>
      <c r="U260" s="2">
        <v>113458.62</v>
      </c>
      <c r="V260" s="2">
        <v>121818.03</v>
      </c>
      <c r="W260" s="2">
        <v>123046.6</v>
      </c>
      <c r="X260" s="2">
        <v>111735.86</v>
      </c>
      <c r="Y260" s="2">
        <v>101255</v>
      </c>
      <c r="Z260" s="2">
        <v>98536.06</v>
      </c>
      <c r="AA260" s="2">
        <v>97753.95</v>
      </c>
      <c r="AB260" s="2">
        <v>103438.63</v>
      </c>
      <c r="AC260" s="2">
        <v>110495.03999999999</v>
      </c>
      <c r="AD260" s="2">
        <v>117326.99</v>
      </c>
      <c r="AE260" s="2">
        <v>132524.51</v>
      </c>
      <c r="AF260" s="2">
        <v>169319.95</v>
      </c>
      <c r="AG260" s="2">
        <v>121973.42</v>
      </c>
      <c r="AH260" s="2">
        <v>107301.65</v>
      </c>
      <c r="AI260" s="24">
        <f>SUM(E260:AH260)</f>
        <v>3392326.07</v>
      </c>
      <c r="AJ260" s="26">
        <v>2674487.3489808501</v>
      </c>
      <c r="AK260" s="33">
        <f>$AJ260/$AI260*E260</f>
        <v>96750.056368323101</v>
      </c>
      <c r="AL260" s="33">
        <f>$AJ260/$AI260*F260</f>
        <v>77139.914705483883</v>
      </c>
      <c r="AM260" s="33">
        <f>$AJ260/$AI260*G260</f>
        <v>65103.371365588064</v>
      </c>
      <c r="AN260" s="33">
        <f>$AJ260/$AI260*H260</f>
        <v>97253.153823222281</v>
      </c>
      <c r="AO260" s="33">
        <f>$AJ260/$AI260*I260</f>
        <v>99503.425571370768</v>
      </c>
      <c r="AP260" s="33">
        <f>$AJ260/$AI260*J260</f>
        <v>89411.478106034177</v>
      </c>
      <c r="AQ260" s="33">
        <f>$AJ260/$AI260*K260</f>
        <v>85057.599426522022</v>
      </c>
      <c r="AR260" s="33">
        <f>$AJ260/$AI260*L260</f>
        <v>83464.492963709141</v>
      </c>
      <c r="AS260" s="33">
        <f>$AJ260/$AI260*M260</f>
        <v>81052.884398343842</v>
      </c>
      <c r="AT260" s="33">
        <f>$AJ260/$AI260*N260</f>
        <v>98508.930419036726</v>
      </c>
      <c r="AU260" s="33">
        <f>$AJ260/$AI260*O260</f>
        <v>79283.942564421377</v>
      </c>
      <c r="AV260" s="33">
        <f>$AJ260/$AI260*P260</f>
        <v>108633.02068166577</v>
      </c>
      <c r="AW260" s="33">
        <f>$AJ260/$AI260*Q260</f>
        <v>84279.778421352254</v>
      </c>
      <c r="AX260" s="33">
        <f>$AJ260/$AI260*R260</f>
        <v>71189.216230432648</v>
      </c>
      <c r="AY260" s="33">
        <f>$AJ260/$AI260*S260</f>
        <v>94570.085656097319</v>
      </c>
      <c r="AZ260" s="33">
        <f>$AJ260/$AI260*T260</f>
        <v>78217.191160631482</v>
      </c>
      <c r="BA260" s="33">
        <f>$AJ260/$AI260*U260</f>
        <v>89450.022657410896</v>
      </c>
      <c r="BB260" s="33">
        <f>$AJ260/$AI260*V260</f>
        <v>96040.525996007709</v>
      </c>
      <c r="BC260" s="33">
        <f>$AJ260/$AI260*W260</f>
        <v>97009.12242646153</v>
      </c>
      <c r="BD260" s="33">
        <f>$AJ260/$AI260*X260</f>
        <v>88091.810112314881</v>
      </c>
      <c r="BE260" s="33">
        <f>$AJ260/$AI260*Y260</f>
        <v>79828.769679872188</v>
      </c>
      <c r="BF260" s="33">
        <f>$AJ260/$AI260*Z260</f>
        <v>77685.175437282771</v>
      </c>
      <c r="BG260" s="33">
        <f>$AJ260/$AI260*AA260</f>
        <v>77068.565106392198</v>
      </c>
      <c r="BH260" s="33">
        <f>$AJ260/$AI260*AB260</f>
        <v>81550.329072850902</v>
      </c>
      <c r="BI260" s="33">
        <f>$AJ260/$AI260*AC260</f>
        <v>87113.555863199494</v>
      </c>
      <c r="BJ260" s="33">
        <f>$AJ260/$AI260*AD260</f>
        <v>92499.819879933508</v>
      </c>
      <c r="BK260" s="33">
        <f>$AJ260/$AI260*AE260</f>
        <v>104481.44373836274</v>
      </c>
      <c r="BL260" s="33">
        <f>$AJ260/$AI260*AF260</f>
        <v>133490.72431739149</v>
      </c>
      <c r="BM260" s="33">
        <f>$AJ260/$AI260*AG260</f>
        <v>96163.034440238174</v>
      </c>
      <c r="BN260" s="33">
        <f>$AJ260/$AI260*AH260</f>
        <v>84595.908390896817</v>
      </c>
    </row>
    <row r="261" spans="1:66" x14ac:dyDescent="0.25">
      <c r="A261" s="1" t="s">
        <v>42</v>
      </c>
      <c r="B261" s="4">
        <v>43</v>
      </c>
      <c r="C261" s="4" t="s">
        <v>5</v>
      </c>
      <c r="D261" s="4" t="str">
        <f>A261&amp;C261</f>
        <v>KITALEVEGES</v>
      </c>
      <c r="E261" s="2">
        <v>109459.18</v>
      </c>
      <c r="F261" s="2">
        <v>106831.88</v>
      </c>
      <c r="G261" s="2">
        <v>134430.13</v>
      </c>
      <c r="H261" s="2">
        <v>113418.65</v>
      </c>
      <c r="I261" s="2">
        <v>98693.7</v>
      </c>
      <c r="J261" s="2">
        <v>107320.08</v>
      </c>
      <c r="K261" s="2">
        <v>94652.33</v>
      </c>
      <c r="L261" s="2">
        <v>102530.17</v>
      </c>
      <c r="M261" s="2">
        <v>114001.41</v>
      </c>
      <c r="N261" s="2">
        <v>112833.01</v>
      </c>
      <c r="O261" s="2">
        <v>131608.98000000001</v>
      </c>
      <c r="P261" s="2">
        <v>107749.33</v>
      </c>
      <c r="Q261" s="2">
        <v>119801.63</v>
      </c>
      <c r="R261" s="2">
        <v>98862.06</v>
      </c>
      <c r="S261" s="2">
        <v>121550.09</v>
      </c>
      <c r="T261" s="2">
        <v>100603.49</v>
      </c>
      <c r="U261" s="2">
        <v>85827.66</v>
      </c>
      <c r="V261" s="2">
        <v>104773.65</v>
      </c>
      <c r="W261" s="2">
        <v>87307.42</v>
      </c>
      <c r="X261" s="2">
        <v>110398.39999999999</v>
      </c>
      <c r="Y261" s="2">
        <v>120512.9</v>
      </c>
      <c r="Z261" s="2">
        <v>126978.88</v>
      </c>
      <c r="AA261" s="2">
        <v>103123.06</v>
      </c>
      <c r="AB261" s="2">
        <v>102551.81</v>
      </c>
      <c r="AC261" s="2">
        <v>114038.15</v>
      </c>
      <c r="AD261" s="2">
        <v>86692.99</v>
      </c>
      <c r="AE261" s="2">
        <v>123238.12</v>
      </c>
      <c r="AF261" s="2">
        <v>124108.26</v>
      </c>
      <c r="AG261" s="2">
        <v>150155.67000000001</v>
      </c>
      <c r="AH261" s="2">
        <v>117322.22</v>
      </c>
      <c r="AI261" s="24">
        <f>SUM(E261:AH261)</f>
        <v>3331375.31</v>
      </c>
      <c r="AJ261" s="26">
        <v>2274216.5454152981</v>
      </c>
      <c r="AK261" s="33">
        <f>$AJ261/$AI261*E261</f>
        <v>74724.056895165995</v>
      </c>
      <c r="AL261" s="33">
        <f>$AJ261/$AI261*F261</f>
        <v>72930.488601664547</v>
      </c>
      <c r="AM261" s="33">
        <f>$AJ261/$AI261*G261</f>
        <v>91770.874608640064</v>
      </c>
      <c r="AN261" s="33">
        <f>$AJ261/$AI261*H261</f>
        <v>77427.052309115781</v>
      </c>
      <c r="AO261" s="33">
        <f>$AJ261/$AI261*I261</f>
        <v>67374.83008729323</v>
      </c>
      <c r="AP261" s="33">
        <f>$AJ261/$AI261*J261</f>
        <v>73263.766126457078</v>
      </c>
      <c r="AQ261" s="33">
        <f>$AJ261/$AI261*K261</f>
        <v>64615.924330695954</v>
      </c>
      <c r="AR261" s="33">
        <f>$AJ261/$AI261*L261</f>
        <v>69993.857587376799</v>
      </c>
      <c r="AS261" s="33">
        <f>$AJ261/$AI261*M261</f>
        <v>77824.882727690332</v>
      </c>
      <c r="AT261" s="33">
        <f>$AJ261/$AI261*N261</f>
        <v>77027.255812558025</v>
      </c>
      <c r="AU261" s="33">
        <f>$AJ261/$AI261*O261</f>
        <v>89844.971517553538</v>
      </c>
      <c r="AV261" s="33">
        <f>$AJ261/$AI261*P261</f>
        <v>73556.800492530805</v>
      </c>
      <c r="AW261" s="33">
        <f>$AJ261/$AI261*Q261</f>
        <v>81784.49551927601</v>
      </c>
      <c r="AX261" s="33">
        <f>$AJ261/$AI261*R261</f>
        <v>67489.763729394967</v>
      </c>
      <c r="AY261" s="33">
        <f>$AJ261/$AI261*S261</f>
        <v>82978.10965487361</v>
      </c>
      <c r="AZ261" s="33">
        <f>$AJ261/$AI261*T261</f>
        <v>68678.578723248836</v>
      </c>
      <c r="BA261" s="33">
        <f>$AJ261/$AI261*U261</f>
        <v>58591.622457056263</v>
      </c>
      <c r="BB261" s="33">
        <f>$AJ261/$AI261*V261</f>
        <v>71525.405029657719</v>
      </c>
      <c r="BC261" s="33">
        <f>$AJ261/$AI261*W261</f>
        <v>59601.804247484353</v>
      </c>
      <c r="BD261" s="33">
        <f>$AJ261/$AI261*X261</f>
        <v>75365.230424120615</v>
      </c>
      <c r="BE261" s="33">
        <f>$AJ261/$AI261*Y261</f>
        <v>82270.055341191575</v>
      </c>
      <c r="BF261" s="33">
        <f>$AJ261/$AI261*Z261</f>
        <v>86684.159826562347</v>
      </c>
      <c r="BG261" s="33">
        <f>$AJ261/$AI261*AA261</f>
        <v>70398.603412190889</v>
      </c>
      <c r="BH261" s="33">
        <f>$AJ261/$AI261*AB261</f>
        <v>70008.630478889521</v>
      </c>
      <c r="BI261" s="33">
        <f>$AJ261/$AI261*AC261</f>
        <v>77849.963875295565</v>
      </c>
      <c r="BJ261" s="33">
        <f>$AJ261/$AI261*AD261</f>
        <v>59182.353797754178</v>
      </c>
      <c r="BK261" s="33">
        <f>$AJ261/$AI261*AE261</f>
        <v>84130.470286122145</v>
      </c>
      <c r="BL261" s="33">
        <f>$AJ261/$AI261*AF261</f>
        <v>84724.485250118392</v>
      </c>
      <c r="BM261" s="33">
        <f>$AJ261/$AI261*AG261</f>
        <v>102506.1655697747</v>
      </c>
      <c r="BN261" s="33">
        <f>$AJ261/$AI261*AH261</f>
        <v>80091.88669554425</v>
      </c>
    </row>
    <row r="262" spans="1:66" x14ac:dyDescent="0.25">
      <c r="A262" s="1" t="s">
        <v>43</v>
      </c>
      <c r="B262" s="4">
        <v>44</v>
      </c>
      <c r="C262" s="4" t="s">
        <v>5</v>
      </c>
      <c r="D262" s="4" t="str">
        <f>A262&amp;C262</f>
        <v>KISIIVEGES</v>
      </c>
      <c r="E262" s="2">
        <v>68800.47</v>
      </c>
      <c r="F262" s="2">
        <v>92940.479999999996</v>
      </c>
      <c r="G262" s="2">
        <v>140706.31</v>
      </c>
      <c r="H262" s="2">
        <v>102652.75</v>
      </c>
      <c r="I262" s="2">
        <v>139113.82999999999</v>
      </c>
      <c r="J262" s="2">
        <v>95248.47</v>
      </c>
      <c r="K262" s="2">
        <v>105476.29</v>
      </c>
      <c r="L262" s="2">
        <v>71156.929999999993</v>
      </c>
      <c r="M262" s="2">
        <v>94784.94</v>
      </c>
      <c r="N262" s="2">
        <v>116133.63</v>
      </c>
      <c r="O262" s="2">
        <v>96597.32</v>
      </c>
      <c r="P262" s="2">
        <v>107404.76</v>
      </c>
      <c r="Q262" s="2">
        <v>85554.72</v>
      </c>
      <c r="R262" s="2">
        <v>59028</v>
      </c>
      <c r="S262" s="2">
        <v>62079.79</v>
      </c>
      <c r="T262" s="2">
        <v>72048.179999999993</v>
      </c>
      <c r="U262" s="2">
        <v>98473.06</v>
      </c>
      <c r="V262" s="2">
        <v>77901.3</v>
      </c>
      <c r="W262" s="2">
        <v>105402.86</v>
      </c>
      <c r="X262" s="2">
        <v>69256.05</v>
      </c>
      <c r="Y262" s="2">
        <v>81904.56</v>
      </c>
      <c r="Z262" s="2">
        <v>87908.59</v>
      </c>
      <c r="AA262" s="2">
        <v>91921.66</v>
      </c>
      <c r="AB262" s="2">
        <v>93314.12</v>
      </c>
      <c r="AC262" s="2">
        <v>78109.55</v>
      </c>
      <c r="AD262" s="2">
        <v>107274.76</v>
      </c>
      <c r="AE262" s="2">
        <v>85303.8</v>
      </c>
      <c r="AF262" s="2">
        <v>119849.89</v>
      </c>
      <c r="AG262" s="2">
        <v>94362.16</v>
      </c>
      <c r="AH262" s="2">
        <v>54427.51</v>
      </c>
      <c r="AI262" s="24">
        <f>SUM(E262:AH262)</f>
        <v>2755136.7399999998</v>
      </c>
      <c r="AJ262" s="26">
        <v>2036540.7179805511</v>
      </c>
      <c r="AK262" s="33">
        <f>$AJ262/$AI262*E262</f>
        <v>50855.900012860846</v>
      </c>
      <c r="AL262" s="33">
        <f>$AJ262/$AI262*F262</f>
        <v>68699.701586737603</v>
      </c>
      <c r="AM262" s="33">
        <f>$AJ262/$AI262*G262</f>
        <v>104007.22600497644</v>
      </c>
      <c r="AN262" s="33">
        <f>$AJ262/$AI262*H262</f>
        <v>75878.81289248752</v>
      </c>
      <c r="AO262" s="33">
        <f>$AJ262/$AI262*I262</f>
        <v>102830.09736541219</v>
      </c>
      <c r="AP262" s="33">
        <f>$AJ262/$AI262*J262</f>
        <v>70405.720581530564</v>
      </c>
      <c r="AQ262" s="33">
        <f>$AJ262/$AI262*K262</f>
        <v>77965.915900974418</v>
      </c>
      <c r="AR262" s="33">
        <f>$AJ262/$AI262*L262</f>
        <v>52597.747040131238</v>
      </c>
      <c r="AS262" s="33">
        <f>$AJ262/$AI262*M262</f>
        <v>70063.088687693773</v>
      </c>
      <c r="AT262" s="33">
        <f>$AJ262/$AI262*N262</f>
        <v>85843.60361797786</v>
      </c>
      <c r="AU262" s="33">
        <f>$AJ262/$AI262*O262</f>
        <v>71402.762908891804</v>
      </c>
      <c r="AV262" s="33">
        <f>$AJ262/$AI262*P262</f>
        <v>79391.401475386956</v>
      </c>
      <c r="AW262" s="33">
        <f>$AJ262/$AI262*Q262</f>
        <v>63240.298880927789</v>
      </c>
      <c r="AX262" s="33">
        <f>$AJ262/$AI262*R262</f>
        <v>43632.290098587262</v>
      </c>
      <c r="AY262" s="33">
        <f>$AJ262/$AI262*S262</f>
        <v>45888.110837896871</v>
      </c>
      <c r="AZ262" s="33">
        <f>$AJ262/$AI262*T262</f>
        <v>53256.540808349127</v>
      </c>
      <c r="BA262" s="33">
        <f>$AJ262/$AI262*U262</f>
        <v>72789.27154597122</v>
      </c>
      <c r="BB262" s="33">
        <f>$AJ262/$AI262*V262</f>
        <v>57583.047378482683</v>
      </c>
      <c r="BC262" s="33">
        <f>$AJ262/$AI262*W262</f>
        <v>77911.63794708917</v>
      </c>
      <c r="BD262" s="33">
        <f>$AJ262/$AI262*X262</f>
        <v>51192.655429326158</v>
      </c>
      <c r="BE262" s="33">
        <f>$AJ262/$AI262*Y262</f>
        <v>60542.175278124727</v>
      </c>
      <c r="BF262" s="33">
        <f>$AJ262/$AI262*Z262</f>
        <v>64980.231433180306</v>
      </c>
      <c r="BG262" s="33">
        <f>$AJ262/$AI262*AA262</f>
        <v>67946.610684144893</v>
      </c>
      <c r="BH262" s="33">
        <f>$AJ262/$AI262*AB262</f>
        <v>68975.888631401758</v>
      </c>
      <c r="BI262" s="33">
        <f>$AJ262/$AI262*AC262</f>
        <v>57736.981518433742</v>
      </c>
      <c r="BJ262" s="33">
        <f>$AJ262/$AI262*AD262</f>
        <v>79295.308134721228</v>
      </c>
      <c r="BK262" s="33">
        <f>$AJ262/$AI262*AE262</f>
        <v>63054.823949852071</v>
      </c>
      <c r="BL262" s="33">
        <f>$AJ262/$AI262*AF262</f>
        <v>88590.586988611714</v>
      </c>
      <c r="BM262" s="33">
        <f>$AJ262/$AI262*AG262</f>
        <v>69750.578360257961</v>
      </c>
      <c r="BN262" s="33">
        <f>$AJ262/$AI262*AH262</f>
        <v>40231.702000131452</v>
      </c>
    </row>
    <row r="263" spans="1:66" x14ac:dyDescent="0.25">
      <c r="A263" s="1" t="s">
        <v>44</v>
      </c>
      <c r="B263" s="4">
        <v>45</v>
      </c>
      <c r="C263" s="4" t="s">
        <v>5</v>
      </c>
      <c r="D263" s="4" t="str">
        <f>A263&amp;C263</f>
        <v>WESTLANDSVEGES</v>
      </c>
      <c r="E263" s="2">
        <v>81948.69</v>
      </c>
      <c r="F263" s="2">
        <v>87359.28</v>
      </c>
      <c r="G263" s="2">
        <v>93837.72</v>
      </c>
      <c r="H263" s="2">
        <v>122398.13</v>
      </c>
      <c r="I263" s="2">
        <v>87034.72</v>
      </c>
      <c r="J263" s="2">
        <v>104719.97</v>
      </c>
      <c r="K263" s="2">
        <v>112445.79</v>
      </c>
      <c r="L263" s="2">
        <v>107837.64</v>
      </c>
      <c r="M263" s="2">
        <v>104718.69</v>
      </c>
      <c r="N263" s="2">
        <v>107070.96</v>
      </c>
      <c r="O263" s="2">
        <v>114740.83</v>
      </c>
      <c r="P263" s="2">
        <v>116849.2</v>
      </c>
      <c r="Q263" s="2">
        <v>94801.61</v>
      </c>
      <c r="R263" s="2">
        <v>89166.29</v>
      </c>
      <c r="S263" s="2">
        <v>88239.99</v>
      </c>
      <c r="T263" s="2">
        <v>98160.33</v>
      </c>
      <c r="U263" s="2">
        <v>103777.73</v>
      </c>
      <c r="V263" s="2">
        <v>124484.02</v>
      </c>
      <c r="W263" s="2">
        <v>95538.65</v>
      </c>
      <c r="X263" s="2">
        <v>95380.25</v>
      </c>
      <c r="Y263" s="2">
        <v>114746.37</v>
      </c>
      <c r="Z263" s="2">
        <v>99782.91</v>
      </c>
      <c r="AA263" s="2">
        <v>95832.65</v>
      </c>
      <c r="AB263" s="2">
        <v>103912.19</v>
      </c>
      <c r="AC263" s="2">
        <v>111284.69</v>
      </c>
      <c r="AD263" s="2">
        <v>72624.759999999995</v>
      </c>
      <c r="AE263" s="2">
        <v>104311.6</v>
      </c>
      <c r="AF263" s="2">
        <v>109072.42</v>
      </c>
      <c r="AG263" s="2">
        <v>92928.73</v>
      </c>
      <c r="AH263" s="2">
        <v>104843.14</v>
      </c>
      <c r="AI263" s="24">
        <f>SUM(E263:AH263)</f>
        <v>3039849.95</v>
      </c>
      <c r="AJ263" s="26">
        <v>2564340.7578108418</v>
      </c>
      <c r="AK263" s="33">
        <f>$AJ263/$AI263*E263</f>
        <v>69129.848273006282</v>
      </c>
      <c r="AL263" s="33">
        <f>$AJ263/$AI263*F263</f>
        <v>73694.085550837641</v>
      </c>
      <c r="AM263" s="33">
        <f>$AJ263/$AI263*G263</f>
        <v>79159.134159250723</v>
      </c>
      <c r="AN263" s="33">
        <f>$AJ263/$AI263*H263</f>
        <v>103251.97578874903</v>
      </c>
      <c r="AO263" s="33">
        <f>$AJ263/$AI263*I263</f>
        <v>73420.294919706299</v>
      </c>
      <c r="AP263" s="33">
        <f>$AJ263/$AI263*J263</f>
        <v>88339.125826828589</v>
      </c>
      <c r="AQ263" s="33">
        <f>$AJ263/$AI263*K263</f>
        <v>94856.432746372477</v>
      </c>
      <c r="AR263" s="33">
        <f>$AJ263/$AI263*L263</f>
        <v>90969.113616325936</v>
      </c>
      <c r="AS263" s="33">
        <f>$AJ263/$AI263*M263</f>
        <v>88338.046051108089</v>
      </c>
      <c r="AT263" s="33">
        <f>$AJ263/$AI263*N263</f>
        <v>90322.361702732844</v>
      </c>
      <c r="AU263" s="33">
        <f>$AJ263/$AI263*O263</f>
        <v>96792.470613243582</v>
      </c>
      <c r="AV263" s="33">
        <f>$AJ263/$AI263*P263</f>
        <v>98571.03837562463</v>
      </c>
      <c r="AW263" s="33">
        <f>$AJ263/$AI263*Q263</f>
        <v>79972.24745553243</v>
      </c>
      <c r="AX263" s="33">
        <f>$AJ263/$AI263*R263</f>
        <v>75218.433617021539</v>
      </c>
      <c r="AY263" s="33">
        <f>$AJ263/$AI263*S263</f>
        <v>74437.030296781959</v>
      </c>
      <c r="AZ263" s="33">
        <f>$AJ263/$AI263*T263</f>
        <v>82805.578946145775</v>
      </c>
      <c r="BA263" s="33">
        <f>$AJ263/$AI263*U263</f>
        <v>87544.275924569534</v>
      </c>
      <c r="BB263" s="33">
        <f>$AJ263/$AI263*V263</f>
        <v>105011.57999003865</v>
      </c>
      <c r="BC263" s="33">
        <f>$AJ263/$AI263*W263</f>
        <v>80593.99581259751</v>
      </c>
      <c r="BD263" s="33">
        <f>$AJ263/$AI263*X263</f>
        <v>80460.373567184637</v>
      </c>
      <c r="BE263" s="33">
        <f>$AJ263/$AI263*Y263</f>
        <v>96797.144017533894</v>
      </c>
      <c r="BF263" s="33">
        <f>$AJ263/$AI263*Z263</f>
        <v>84174.346515350539</v>
      </c>
      <c r="BG263" s="33">
        <f>$AJ263/$AI263*AA263</f>
        <v>80842.006798401722</v>
      </c>
      <c r="BH263" s="33">
        <f>$AJ263/$AI263*AB263</f>
        <v>87657.702989709796</v>
      </c>
      <c r="BI263" s="33">
        <f>$AJ263/$AI263*AC263</f>
        <v>93876.958067402171</v>
      </c>
      <c r="BJ263" s="33">
        <f>$AJ263/$AI263*AD263</f>
        <v>61264.416059164527</v>
      </c>
      <c r="BK263" s="33">
        <f>$AJ263/$AI263*AE263</f>
        <v>87994.635193247421</v>
      </c>
      <c r="BL263" s="33">
        <f>$AJ263/$AI263*AF263</f>
        <v>92010.742885208005</v>
      </c>
      <c r="BM263" s="33">
        <f>$AJ263/$AI263*AG263</f>
        <v>78392.333118481416</v>
      </c>
      <c r="BN263" s="33">
        <f>$AJ263/$AI263*AH263</f>
        <v>88443.028932684058</v>
      </c>
    </row>
    <row r="264" spans="1:66" x14ac:dyDescent="0.25">
      <c r="A264" s="1" t="s">
        <v>45</v>
      </c>
      <c r="B264" s="4">
        <v>46</v>
      </c>
      <c r="C264" s="4" t="s">
        <v>5</v>
      </c>
      <c r="D264" s="4" t="str">
        <f>A264&amp;C264</f>
        <v>BANDARIVEGES</v>
      </c>
      <c r="E264" s="2">
        <v>132517.54999999999</v>
      </c>
      <c r="F264" s="2">
        <v>108824.47</v>
      </c>
      <c r="G264" s="2">
        <v>76896.92</v>
      </c>
      <c r="H264" s="2">
        <v>102139.19</v>
      </c>
      <c r="I264" s="2">
        <v>104341.4</v>
      </c>
      <c r="J264" s="2">
        <v>96584.83</v>
      </c>
      <c r="K264" s="2">
        <v>105822.08</v>
      </c>
      <c r="L264" s="2">
        <v>104481.09</v>
      </c>
      <c r="M264" s="2">
        <v>102786.02</v>
      </c>
      <c r="N264" s="2">
        <v>98403.96</v>
      </c>
      <c r="O264" s="2">
        <v>123118.99</v>
      </c>
      <c r="P264" s="2">
        <v>128225.4</v>
      </c>
      <c r="Q264" s="2">
        <v>130359.79</v>
      </c>
      <c r="R264" s="2">
        <v>104396.87</v>
      </c>
      <c r="S264" s="2">
        <v>105088.95</v>
      </c>
      <c r="T264" s="2">
        <v>119430.42</v>
      </c>
      <c r="U264" s="2">
        <v>104432.91</v>
      </c>
      <c r="V264" s="2">
        <v>126654.95</v>
      </c>
      <c r="W264" s="2">
        <v>102532.25</v>
      </c>
      <c r="X264" s="2">
        <v>98809.04</v>
      </c>
      <c r="Y264" s="2">
        <v>124884.85</v>
      </c>
      <c r="Z264" s="2">
        <v>101441.53</v>
      </c>
      <c r="AA264" s="2">
        <v>94483.46</v>
      </c>
      <c r="AB264" s="2">
        <v>115933.67</v>
      </c>
      <c r="AC264" s="2">
        <v>114309.13</v>
      </c>
      <c r="AD264" s="2">
        <v>132838.98000000001</v>
      </c>
      <c r="AE264" s="2">
        <v>100131.25</v>
      </c>
      <c r="AF264" s="2">
        <v>107369.16</v>
      </c>
      <c r="AG264" s="2">
        <v>99923.39</v>
      </c>
      <c r="AH264" s="2">
        <v>98545.31</v>
      </c>
      <c r="AI264" s="24">
        <f>SUM(E264:AH264)</f>
        <v>3265707.8099999996</v>
      </c>
      <c r="AJ264" s="26">
        <v>3056796.5952733955</v>
      </c>
      <c r="AK264" s="33">
        <f>$AJ264/$AI264*E264</f>
        <v>124040.24463351238</v>
      </c>
      <c r="AL264" s="33">
        <f>$AJ264/$AI264*F264</f>
        <v>101862.83915535966</v>
      </c>
      <c r="AM264" s="33">
        <f>$AJ264/$AI264*G264</f>
        <v>71977.732521946193</v>
      </c>
      <c r="AN264" s="33">
        <f>$AJ264/$AI264*H264</f>
        <v>95605.224472296715</v>
      </c>
      <c r="AO264" s="33">
        <f>$AJ264/$AI264*I264</f>
        <v>97666.556478014943</v>
      </c>
      <c r="AP264" s="33">
        <f>$AJ264/$AI264*J264</f>
        <v>90406.183491063683</v>
      </c>
      <c r="AQ264" s="33">
        <f>$AJ264/$AI264*K264</f>
        <v>99052.515616438119</v>
      </c>
      <c r="AR264" s="33">
        <f>$AJ264/$AI264*L264</f>
        <v>97797.310342486904</v>
      </c>
      <c r="AS264" s="33">
        <f>$AJ264/$AI264*M264</f>
        <v>96210.675987483148</v>
      </c>
      <c r="AT264" s="33">
        <f>$AJ264/$AI264*N264</f>
        <v>92108.941580238767</v>
      </c>
      <c r="AU264" s="33">
        <f>$AJ264/$AI264*O264</f>
        <v>115242.92170079335</v>
      </c>
      <c r="AV264" s="33">
        <f>$AJ264/$AI264*P264</f>
        <v>120022.66857657705</v>
      </c>
      <c r="AW264" s="33">
        <f>$AJ264/$AI264*Q264</f>
        <v>122020.51910839962</v>
      </c>
      <c r="AX264" s="33">
        <f>$AJ264/$AI264*R264</f>
        <v>97718.477996106856</v>
      </c>
      <c r="AY264" s="33">
        <f>$AJ264/$AI264*S264</f>
        <v>98366.28481494679</v>
      </c>
      <c r="AZ264" s="33">
        <f>$AJ264/$AI264*T264</f>
        <v>111790.31391301101</v>
      </c>
      <c r="BA264" s="33">
        <f>$AJ264/$AI264*U264</f>
        <v>97752.212474420056</v>
      </c>
      <c r="BB264" s="33">
        <f>$AJ264/$AI264*V264</f>
        <v>118552.68213187823</v>
      </c>
      <c r="BC264" s="33">
        <f>$AJ264/$AI264*W264</f>
        <v>95973.139956363899</v>
      </c>
      <c r="BD264" s="33">
        <f>$AJ264/$AI264*X264</f>
        <v>92488.108130602399</v>
      </c>
      <c r="BE264" s="33">
        <f>$AJ264/$AI264*Y264</f>
        <v>116895.81753525854</v>
      </c>
      <c r="BF264" s="33">
        <f>$AJ264/$AI264*Z264</f>
        <v>94952.194612696854</v>
      </c>
      <c r="BG264" s="33">
        <f>$AJ264/$AI264*AA264</f>
        <v>88439.240630548054</v>
      </c>
      <c r="BH264" s="33">
        <f>$AJ264/$AI264*AB264</f>
        <v>108517.25517156706</v>
      </c>
      <c r="BI264" s="33">
        <f>$AJ264/$AI264*AC264</f>
        <v>106996.63892853416</v>
      </c>
      <c r="BJ264" s="33">
        <f>$AJ264/$AI264*AD264</f>
        <v>124341.11237391773</v>
      </c>
      <c r="BK264" s="33">
        <f>$AJ264/$AI264*AE264</f>
        <v>93725.734783501408</v>
      </c>
      <c r="BL264" s="33">
        <f>$AJ264/$AI264*AF264</f>
        <v>100500.62706784674</v>
      </c>
      <c r="BM264" s="33">
        <f>$AJ264/$AI264*AG264</f>
        <v>93531.171835050263</v>
      </c>
      <c r="BN264" s="33">
        <f>$AJ264/$AI264*AH264</f>
        <v>92241.249252535345</v>
      </c>
    </row>
    <row r="265" spans="1:66" ht="24.75" x14ac:dyDescent="0.25">
      <c r="A265" s="1" t="s">
        <v>82</v>
      </c>
      <c r="B265" s="4">
        <v>47</v>
      </c>
      <c r="C265" s="4" t="s">
        <v>5</v>
      </c>
      <c r="D265" s="4" t="str">
        <f>A265&amp;C265</f>
        <v>KITENGELA OBC MALLVEGES</v>
      </c>
      <c r="E265" s="2">
        <v>159554.15</v>
      </c>
      <c r="F265" s="2">
        <v>167063.32999999999</v>
      </c>
      <c r="G265" s="2">
        <v>158477.48000000001</v>
      </c>
      <c r="H265" s="2">
        <v>186987.15</v>
      </c>
      <c r="I265" s="2">
        <v>217403.54</v>
      </c>
      <c r="J265" s="2">
        <v>222220.68</v>
      </c>
      <c r="K265" s="2">
        <v>182658.06</v>
      </c>
      <c r="L265" s="2">
        <v>166328.44</v>
      </c>
      <c r="M265" s="2">
        <v>217988.21</v>
      </c>
      <c r="N265" s="2">
        <v>158098.99</v>
      </c>
      <c r="O265" s="2">
        <v>193940.77</v>
      </c>
      <c r="P265" s="2">
        <v>174955.99</v>
      </c>
      <c r="Q265" s="2">
        <v>228853.31</v>
      </c>
      <c r="R265" s="2">
        <v>147476.46</v>
      </c>
      <c r="S265" s="2">
        <v>161399.95000000001</v>
      </c>
      <c r="T265" s="2">
        <v>152244.82</v>
      </c>
      <c r="U265" s="2">
        <v>161609.91</v>
      </c>
      <c r="V265" s="2">
        <v>195339.55</v>
      </c>
      <c r="W265" s="2">
        <v>218648.38</v>
      </c>
      <c r="X265" s="2">
        <v>199371.7</v>
      </c>
      <c r="Y265" s="2">
        <v>188375.48</v>
      </c>
      <c r="Z265" s="2">
        <v>189803.49</v>
      </c>
      <c r="AA265" s="2">
        <v>190004.18</v>
      </c>
      <c r="AB265" s="2">
        <v>161832.99</v>
      </c>
      <c r="AC265" s="2">
        <v>187930.77</v>
      </c>
      <c r="AD265" s="2">
        <v>264759.23</v>
      </c>
      <c r="AE265" s="2">
        <v>238658.91</v>
      </c>
      <c r="AF265" s="2">
        <v>242816.28</v>
      </c>
      <c r="AG265" s="2">
        <v>221141.68</v>
      </c>
      <c r="AH265" s="2">
        <v>152722.92000000001</v>
      </c>
      <c r="AI265" s="24">
        <f>SUM(E265:AH265)</f>
        <v>5708666.7999999998</v>
      </c>
      <c r="AJ265" s="26">
        <v>4723893.3796195965</v>
      </c>
      <c r="AK265" s="33">
        <f>$AJ265/$AI265*E265</f>
        <v>132030.2654335741</v>
      </c>
      <c r="AL265" s="33">
        <f>$AJ265/$AI265*F265</f>
        <v>138244.07452966145</v>
      </c>
      <c r="AM265" s="33">
        <f>$AJ265/$AI265*G265</f>
        <v>131139.32636439687</v>
      </c>
      <c r="AN265" s="33">
        <f>$AJ265/$AI265*H265</f>
        <v>154730.93646995415</v>
      </c>
      <c r="AO265" s="33">
        <f>$AJ265/$AI265*I265</f>
        <v>179900.3478906606</v>
      </c>
      <c r="AP265" s="33">
        <f>$AJ265/$AI265*J265</f>
        <v>183886.50727812049</v>
      </c>
      <c r="AQ265" s="33">
        <f>$AJ265/$AI265*K265</f>
        <v>151148.63602972223</v>
      </c>
      <c r="AR265" s="33">
        <f>$AJ265/$AI265*L265</f>
        <v>137635.9567103225</v>
      </c>
      <c r="AS265" s="33">
        <f>$AJ265/$AI265*M265</f>
        <v>180384.15940725885</v>
      </c>
      <c r="AT265" s="33">
        <f>$AJ265/$AI265*N265</f>
        <v>130826.12777216999</v>
      </c>
      <c r="AU265" s="33">
        <f>$AJ265/$AI265*O265</f>
        <v>160485.02242963747</v>
      </c>
      <c r="AV265" s="33">
        <f>$AJ265/$AI265*P265</f>
        <v>144775.21141815322</v>
      </c>
      <c r="AW265" s="33">
        <f>$AJ265/$AI265*Q265</f>
        <v>189374.97560954708</v>
      </c>
      <c r="AX265" s="33">
        <f>$AJ265/$AI265*R265</f>
        <v>122036.03703823355</v>
      </c>
      <c r="AY265" s="33">
        <f>$AJ265/$AI265*S265</f>
        <v>133557.65575176571</v>
      </c>
      <c r="AZ265" s="33">
        <f>$AJ265/$AI265*T265</f>
        <v>125981.83121834631</v>
      </c>
      <c r="BA265" s="33">
        <f>$AJ265/$AI265*U265</f>
        <v>133731.39660733377</v>
      </c>
      <c r="BB265" s="33">
        <f>$AJ265/$AI265*V265</f>
        <v>161642.50592150012</v>
      </c>
      <c r="BC265" s="33">
        <f>$AJ265/$AI265*W265</f>
        <v>180930.44679828745</v>
      </c>
      <c r="BD265" s="33">
        <f>$AJ265/$AI265*X265</f>
        <v>164979.08998884019</v>
      </c>
      <c r="BE265" s="33">
        <f>$AJ265/$AI265*Y265</f>
        <v>155879.77263879962</v>
      </c>
      <c r="BF265" s="33">
        <f>$AJ265/$AI265*Z265</f>
        <v>157061.44381025957</v>
      </c>
      <c r="BG265" s="33">
        <f>$AJ265/$AI265*AA265</f>
        <v>157227.5137869406</v>
      </c>
      <c r="BH265" s="33">
        <f>$AJ265/$AI265*AB265</f>
        <v>133915.99419763725</v>
      </c>
      <c r="BI265" s="33">
        <f>$AJ265/$AI265*AC265</f>
        <v>155511.7773259797</v>
      </c>
      <c r="BJ265" s="33">
        <f>$AJ265/$AI265*AD265</f>
        <v>219086.94579795442</v>
      </c>
      <c r="BK265" s="33">
        <f>$AJ265/$AI265*AE265</f>
        <v>197489.06083224705</v>
      </c>
      <c r="BL265" s="33">
        <f>$AJ265/$AI265*AF265</f>
        <v>200929.26382668861</v>
      </c>
      <c r="BM265" s="33">
        <f>$AJ265/$AI265*AG265</f>
        <v>182993.64014553369</v>
      </c>
      <c r="BN265" s="33">
        <f>$AJ265/$AI265*AH265</f>
        <v>126377.45659006991</v>
      </c>
    </row>
    <row r="266" spans="1:66" ht="24.75" x14ac:dyDescent="0.25">
      <c r="A266" s="1" t="s">
        <v>47</v>
      </c>
      <c r="B266" s="4">
        <v>48</v>
      </c>
      <c r="C266" s="4" t="s">
        <v>5</v>
      </c>
      <c r="D266" s="4" t="str">
        <f>A266&amp;C266</f>
        <v>MACHAKOS EXPRESSVEGES</v>
      </c>
      <c r="E266" s="2">
        <v>13049.77</v>
      </c>
      <c r="F266" s="2">
        <v>11390.51</v>
      </c>
      <c r="G266" s="2">
        <v>12263.87</v>
      </c>
      <c r="H266" s="2">
        <v>22970.25</v>
      </c>
      <c r="I266" s="2">
        <v>22474.86</v>
      </c>
      <c r="J266" s="2">
        <v>17159.22</v>
      </c>
      <c r="K266" s="2">
        <v>15133.45</v>
      </c>
      <c r="L266" s="2">
        <v>12236.47</v>
      </c>
      <c r="M266" s="2">
        <v>16223.44</v>
      </c>
      <c r="N266" s="2">
        <v>19108.490000000002</v>
      </c>
      <c r="O266" s="2">
        <v>25472.44</v>
      </c>
      <c r="P266" s="2">
        <v>29069.94</v>
      </c>
      <c r="Q266" s="2">
        <v>20570.11</v>
      </c>
      <c r="R266" s="2">
        <v>16548.349999999999</v>
      </c>
      <c r="S266" s="2">
        <v>8928.5400000000009</v>
      </c>
      <c r="T266" s="2">
        <v>17095.29</v>
      </c>
      <c r="U266" s="2">
        <v>14641.91</v>
      </c>
      <c r="V266" s="2">
        <v>16322.68</v>
      </c>
      <c r="W266" s="2">
        <v>25827.47</v>
      </c>
      <c r="X266" s="2">
        <v>18299.060000000001</v>
      </c>
      <c r="Y266" s="2">
        <v>16675.91</v>
      </c>
      <c r="Z266" s="2">
        <v>15273.69</v>
      </c>
      <c r="AA266" s="2">
        <v>14062.81</v>
      </c>
      <c r="AB266" s="2">
        <v>10074.61</v>
      </c>
      <c r="AC266" s="2">
        <v>17810.580000000002</v>
      </c>
      <c r="AD266" s="2">
        <v>25331.73</v>
      </c>
      <c r="AE266" s="2">
        <v>13788.59</v>
      </c>
      <c r="AF266" s="2">
        <v>22528.78</v>
      </c>
      <c r="AG266" s="2">
        <v>16391.71</v>
      </c>
      <c r="AH266" s="2">
        <v>15255.42</v>
      </c>
      <c r="AI266" s="24">
        <f>SUM(E266:AH266)</f>
        <v>521979.94999999995</v>
      </c>
      <c r="AJ266" s="26">
        <v>430836.08518262999</v>
      </c>
      <c r="AK266" s="33">
        <f>$AJ266/$AI266*E266</f>
        <v>10771.126016111786</v>
      </c>
      <c r="AL266" s="33">
        <f>$AJ266/$AI266*F266</f>
        <v>9401.5924110372416</v>
      </c>
      <c r="AM266" s="33">
        <f>$AJ266/$AI266*G266</f>
        <v>10122.45343904244</v>
      </c>
      <c r="AN266" s="33">
        <f>$AJ266/$AI266*H266</f>
        <v>18959.373028918653</v>
      </c>
      <c r="AO266" s="33">
        <f>$AJ266/$AI266*I266</f>
        <v>18550.483974389597</v>
      </c>
      <c r="AP266" s="33">
        <f>$AJ266/$AI266*J266</f>
        <v>14163.017505916634</v>
      </c>
      <c r="AQ266" s="33">
        <f>$AJ266/$AI266*K266</f>
        <v>12490.970876002177</v>
      </c>
      <c r="AR266" s="33">
        <f>$AJ266/$AI266*L266</f>
        <v>10099.83780268705</v>
      </c>
      <c r="AS266" s="33">
        <f>$AJ266/$AI266*M266</f>
        <v>13390.635747206932</v>
      </c>
      <c r="AT266" s="33">
        <f>$AJ266/$AI266*N266</f>
        <v>15771.921939437394</v>
      </c>
      <c r="AU266" s="33">
        <f>$AJ266/$AI266*O266</f>
        <v>21024.651099432904</v>
      </c>
      <c r="AV266" s="33">
        <f>$AJ266/$AI266*P266</f>
        <v>23993.985106312881</v>
      </c>
      <c r="AW266" s="33">
        <f>$AJ266/$AI266*Q266</f>
        <v>16978.325823005405</v>
      </c>
      <c r="AX266" s="33">
        <f>$AJ266/$AI266*R266</f>
        <v>13658.812623419682</v>
      </c>
      <c r="AY266" s="33">
        <f>$AJ266/$AI266*S266</f>
        <v>7369.511453450501</v>
      </c>
      <c r="AZ266" s="33">
        <f>$AJ266/$AI266*T266</f>
        <v>14110.250439048019</v>
      </c>
      <c r="BA266" s="33">
        <f>$AJ266/$AI266*U266</f>
        <v>12085.25956599751</v>
      </c>
      <c r="BB266" s="33">
        <f>$AJ266/$AI266*V266</f>
        <v>13472.547270999223</v>
      </c>
      <c r="BC266" s="33">
        <f>$AJ266/$AI266*W266</f>
        <v>21317.688667872819</v>
      </c>
      <c r="BD266" s="33">
        <f>$AJ266/$AI266*X266</f>
        <v>15103.827978300809</v>
      </c>
      <c r="BE266" s="33">
        <f>$AJ266/$AI266*Y266</f>
        <v>13764.099140700464</v>
      </c>
      <c r="BF266" s="33">
        <f>$AJ266/$AI266*Z266</f>
        <v>12606.723315508736</v>
      </c>
      <c r="BG266" s="33">
        <f>$AJ266/$AI266*AA266</f>
        <v>11607.277266238178</v>
      </c>
      <c r="BH266" s="33">
        <f>$AJ266/$AI266*AB266</f>
        <v>8315.4640942468704</v>
      </c>
      <c r="BI266" s="33">
        <f>$AJ266/$AI266*AC266</f>
        <v>14700.642356151893</v>
      </c>
      <c r="BJ266" s="33">
        <f>$AJ266/$AI266*AD266</f>
        <v>20908.510727477911</v>
      </c>
      <c r="BK266" s="33">
        <f>$AJ266/$AI266*AE266</f>
        <v>11380.939317282897</v>
      </c>
      <c r="BL266" s="33">
        <f>$AJ266/$AI266*AF266</f>
        <v>18594.9889054948</v>
      </c>
      <c r="BM266" s="33">
        <f>$AJ266/$AI266*AG266</f>
        <v>13529.523817627416</v>
      </c>
      <c r="BN266" s="33">
        <f>$AJ266/$AI266*AH266</f>
        <v>12591.643473311182</v>
      </c>
    </row>
    <row r="267" spans="1:66" ht="24.75" x14ac:dyDescent="0.25">
      <c r="A267" s="1" t="s">
        <v>48</v>
      </c>
      <c r="B267" s="4">
        <v>49</v>
      </c>
      <c r="C267" s="4" t="s">
        <v>5</v>
      </c>
      <c r="D267" s="4" t="str">
        <f>A267&amp;C267</f>
        <v>MACHAKOS PIONEERVEGES</v>
      </c>
      <c r="E267" s="2">
        <v>25642.89</v>
      </c>
      <c r="F267" s="2">
        <v>27026.83</v>
      </c>
      <c r="G267" s="2">
        <v>22824.12</v>
      </c>
      <c r="H267" s="2">
        <v>40434.85</v>
      </c>
      <c r="I267" s="2">
        <v>38269.730000000003</v>
      </c>
      <c r="J267" s="2">
        <v>21169.08</v>
      </c>
      <c r="K267" s="2">
        <v>32104.57</v>
      </c>
      <c r="L267" s="2">
        <v>34382.11</v>
      </c>
      <c r="M267" s="2">
        <v>19734.740000000002</v>
      </c>
      <c r="N267" s="2">
        <v>27135.919999999998</v>
      </c>
      <c r="O267" s="2">
        <v>34383.29</v>
      </c>
      <c r="P267" s="2">
        <v>34501.480000000003</v>
      </c>
      <c r="Q267" s="2">
        <v>27067.77</v>
      </c>
      <c r="R267" s="2">
        <v>29307.13</v>
      </c>
      <c r="S267" s="2">
        <v>27389.39</v>
      </c>
      <c r="T267" s="2">
        <v>30672.05</v>
      </c>
      <c r="U267" s="2">
        <v>20129.740000000002</v>
      </c>
      <c r="V267" s="2">
        <v>26072.46</v>
      </c>
      <c r="W267" s="2">
        <v>31389.71</v>
      </c>
      <c r="X267" s="2">
        <v>45081.33</v>
      </c>
      <c r="Y267" s="2">
        <v>31866.44</v>
      </c>
      <c r="Z267" s="2">
        <v>28275.11</v>
      </c>
      <c r="AA267" s="2">
        <v>25551.3</v>
      </c>
      <c r="AB267" s="2">
        <v>29675.66</v>
      </c>
      <c r="AC267" s="2">
        <v>29992.98</v>
      </c>
      <c r="AD267" s="2">
        <v>37250.42</v>
      </c>
      <c r="AE267" s="2">
        <v>29671.01</v>
      </c>
      <c r="AF267" s="2">
        <v>32777.78</v>
      </c>
      <c r="AG267" s="2">
        <v>28212.84</v>
      </c>
      <c r="AH267" s="2">
        <v>39397.18</v>
      </c>
      <c r="AI267" s="24">
        <f>SUM(E267:AH267)</f>
        <v>907389.91</v>
      </c>
      <c r="AJ267" s="26">
        <v>787281.46994999447</v>
      </c>
      <c r="AK267" s="33">
        <f>$AJ267/$AI267*E267</f>
        <v>22248.61871449068</v>
      </c>
      <c r="AL267" s="33">
        <f>$AJ267/$AI267*F267</f>
        <v>23449.370789772845</v>
      </c>
      <c r="AM267" s="33">
        <f>$AJ267/$AI267*G267</f>
        <v>19802.960718303631</v>
      </c>
      <c r="AN267" s="33">
        <f>$AJ267/$AI267*H267</f>
        <v>35082.611999958797</v>
      </c>
      <c r="AO267" s="33">
        <f>$AJ267/$AI267*I267</f>
        <v>33204.082343156544</v>
      </c>
      <c r="AP267" s="33">
        <f>$AJ267/$AI267*J267</f>
        <v>18366.993324720825</v>
      </c>
      <c r="AQ267" s="33">
        <f>$AJ267/$AI267*K267</f>
        <v>27854.98580396656</v>
      </c>
      <c r="AR267" s="33">
        <f>$AJ267/$AI267*L267</f>
        <v>29831.054767605256</v>
      </c>
      <c r="AS267" s="33">
        <f>$AJ267/$AI267*M267</f>
        <v>17122.51254400763</v>
      </c>
      <c r="AT267" s="33">
        <f>$AJ267/$AI267*N267</f>
        <v>23544.020878571871</v>
      </c>
      <c r="AU267" s="33">
        <f>$AJ267/$AI267*O267</f>
        <v>29832.078574597494</v>
      </c>
      <c r="AV267" s="33">
        <f>$AJ267/$AI267*P267</f>
        <v>29934.624124099351</v>
      </c>
      <c r="AW267" s="33">
        <f>$AJ267/$AI267*Q267</f>
        <v>23484.891686605115</v>
      </c>
      <c r="AX267" s="33">
        <f>$AJ267/$AI267*R267</f>
        <v>25427.834420613715</v>
      </c>
      <c r="AY267" s="33">
        <f>$AJ267/$AI267*S267</f>
        <v>23763.939826302099</v>
      </c>
      <c r="AZ267" s="33">
        <f>$AJ267/$AI267*T267</f>
        <v>26612.084115393929</v>
      </c>
      <c r="BA267" s="33">
        <f>$AJ267/$AI267*U267</f>
        <v>17465.227596492892</v>
      </c>
      <c r="BB267" s="33">
        <f>$AJ267/$AI267*V267</f>
        <v>22621.327841316233</v>
      </c>
      <c r="BC267" s="33">
        <f>$AJ267/$AI267*W267</f>
        <v>27234.749645942218</v>
      </c>
      <c r="BD267" s="33">
        <f>$AJ267/$AI267*X267</f>
        <v>39114.05158748215</v>
      </c>
      <c r="BE267" s="33">
        <f>$AJ267/$AI267*Y267</f>
        <v>27648.376347135381</v>
      </c>
      <c r="BF267" s="33">
        <f>$AJ267/$AI267*Z267</f>
        <v>24532.419766269817</v>
      </c>
      <c r="BG267" s="33">
        <f>$AJ267/$AI267*AA267</f>
        <v>22169.15220396631</v>
      </c>
      <c r="BH267" s="33">
        <f>$AJ267/$AI267*AB267</f>
        <v>25747.583226417246</v>
      </c>
      <c r="BI267" s="33">
        <f>$AJ267/$AI267*AC267</f>
        <v>26022.900544023887</v>
      </c>
      <c r="BJ267" s="33">
        <f>$AJ267/$AI267*AD267</f>
        <v>32319.695304805264</v>
      </c>
      <c r="BK267" s="33">
        <f>$AJ267/$AI267*AE267</f>
        <v>25743.548732761403</v>
      </c>
      <c r="BL267" s="33">
        <f>$AJ267/$AI267*AF267</f>
        <v>28439.0850456972</v>
      </c>
      <c r="BM267" s="33">
        <f>$AJ267/$AI267*AG267</f>
        <v>24478.39225660334</v>
      </c>
      <c r="BN267" s="33">
        <f>$AJ267/$AI267*AH267</f>
        <v>34182.295218914791</v>
      </c>
    </row>
    <row r="268" spans="1:66" x14ac:dyDescent="0.25">
      <c r="A268" s="1" t="s">
        <v>49</v>
      </c>
      <c r="B268" s="4">
        <v>50</v>
      </c>
      <c r="C268" s="4" t="s">
        <v>5</v>
      </c>
      <c r="D268" s="4" t="str">
        <f>A268&amp;C268</f>
        <v>MLOLONGOVEGES</v>
      </c>
      <c r="E268" s="2">
        <v>48114.52</v>
      </c>
      <c r="F268" s="2">
        <v>56002.720000000001</v>
      </c>
      <c r="G268" s="2">
        <v>42116.75</v>
      </c>
      <c r="H268" s="2">
        <v>60686.21</v>
      </c>
      <c r="I268" s="2">
        <v>59343.26</v>
      </c>
      <c r="J268" s="2">
        <v>48255.46</v>
      </c>
      <c r="K268" s="2">
        <v>68047.83</v>
      </c>
      <c r="L268" s="2">
        <v>44640.83</v>
      </c>
      <c r="M268" s="2">
        <v>49099.519999999997</v>
      </c>
      <c r="N268" s="2">
        <v>56399.83</v>
      </c>
      <c r="O268" s="2">
        <v>60483.44</v>
      </c>
      <c r="P268" s="2">
        <v>67073.91</v>
      </c>
      <c r="Q268" s="2">
        <v>63661.35</v>
      </c>
      <c r="R268" s="2">
        <v>56849.19</v>
      </c>
      <c r="S268" s="2">
        <v>44218.3</v>
      </c>
      <c r="T268" s="2">
        <v>42400.28</v>
      </c>
      <c r="U268" s="2">
        <v>66201.679999999993</v>
      </c>
      <c r="V268" s="2">
        <v>59417.13</v>
      </c>
      <c r="W268" s="2">
        <v>61860.81</v>
      </c>
      <c r="X268" s="2">
        <v>59936.87</v>
      </c>
      <c r="Y268" s="2">
        <v>51694.97</v>
      </c>
      <c r="Z268" s="2">
        <v>56547.39</v>
      </c>
      <c r="AA268" s="2">
        <v>50191.59</v>
      </c>
      <c r="AB268" s="2">
        <v>48556.78</v>
      </c>
      <c r="AC268" s="2">
        <v>56700.74</v>
      </c>
      <c r="AD268" s="2">
        <v>78406.720000000001</v>
      </c>
      <c r="AE268" s="2">
        <v>46345.61</v>
      </c>
      <c r="AF268" s="2">
        <v>84745.32</v>
      </c>
      <c r="AG268" s="2">
        <v>62607.4</v>
      </c>
      <c r="AH268" s="2">
        <v>45916.5</v>
      </c>
      <c r="AI268" s="24">
        <f>SUM(E268:AH268)</f>
        <v>1696522.9100000001</v>
      </c>
      <c r="AJ268" s="26">
        <v>1552763.9396789875</v>
      </c>
      <c r="AK268" s="33">
        <f>$AJ268/$AI268*E268</f>
        <v>44037.419825331701</v>
      </c>
      <c r="AL268" s="33">
        <f>$AJ268/$AI268*F268</f>
        <v>51257.19412768745</v>
      </c>
      <c r="AM268" s="33">
        <f>$AJ268/$AI268*G268</f>
        <v>38547.885366590774</v>
      </c>
      <c r="AN268" s="33">
        <f>$AJ268/$AI268*H268</f>
        <v>55543.817279653689</v>
      </c>
      <c r="AO268" s="33">
        <f>$AJ268/$AI268*I268</f>
        <v>54314.665394642077</v>
      </c>
      <c r="AP268" s="33">
        <f>$AJ268/$AI268*J268</f>
        <v>44166.416933692803</v>
      </c>
      <c r="AQ268" s="33">
        <f>$AJ268/$AI268*K268</f>
        <v>62281.632611378052</v>
      </c>
      <c r="AR268" s="33">
        <f>$AJ268/$AI268*L268</f>
        <v>40858.081345532752</v>
      </c>
      <c r="AS268" s="33">
        <f>$AJ268/$AI268*M268</f>
        <v>44938.953468979227</v>
      </c>
      <c r="AT268" s="33">
        <f>$AJ268/$AI268*N268</f>
        <v>51620.654051777674</v>
      </c>
      <c r="AU268" s="33">
        <f>$AJ268/$AI268*O268</f>
        <v>55358.229485823838</v>
      </c>
      <c r="AV268" s="33">
        <f>$AJ268/$AI268*P268</f>
        <v>61390.240077143339</v>
      </c>
      <c r="AW268" s="33">
        <f>$AJ268/$AI268*Q268</f>
        <v>58266.851599005466</v>
      </c>
      <c r="AX268" s="33">
        <f>$AJ268/$AI268*R268</f>
        <v>52031.936445797422</v>
      </c>
      <c r="AY268" s="33">
        <f>$AJ268/$AI268*S268</f>
        <v>40471.355446598347</v>
      </c>
      <c r="AZ268" s="33">
        <f>$AJ268/$AI268*T268</f>
        <v>38807.389766573899</v>
      </c>
      <c r="BA268" s="33">
        <f>$AJ268/$AI268*U268</f>
        <v>60591.920594911164</v>
      </c>
      <c r="BB268" s="33">
        <f>$AJ268/$AI268*V268</f>
        <v>54382.275841602721</v>
      </c>
      <c r="BC268" s="33">
        <f>$AJ268/$AI268*W268</f>
        <v>56618.884708921083</v>
      </c>
      <c r="BD268" s="33">
        <f>$AJ268/$AI268*X268</f>
        <v>54857.974416170611</v>
      </c>
      <c r="BE268" s="33">
        <f>$AJ268/$AI268*Y268</f>
        <v>47314.471738425898</v>
      </c>
      <c r="BF268" s="33">
        <f>$AJ268/$AI268*Z268</f>
        <v>51755.71019843415</v>
      </c>
      <c r="BG268" s="33">
        <f>$AJ268/$AI268*AA268</f>
        <v>45938.484277322532</v>
      </c>
      <c r="BH268" s="33">
        <f>$AJ268/$AI268*AB268</f>
        <v>44442.203855016531</v>
      </c>
      <c r="BI268" s="33">
        <f>$AJ268/$AI268*AC268</f>
        <v>51896.065715442623</v>
      </c>
      <c r="BJ268" s="33">
        <f>$AJ268/$AI268*AD268</f>
        <v>71762.737023402326</v>
      </c>
      <c r="BK268" s="33">
        <f>$AJ268/$AI268*AE268</f>
        <v>42418.402690728108</v>
      </c>
      <c r="BL268" s="33">
        <f>$AJ268/$AI268*AF268</f>
        <v>77564.22042809696</v>
      </c>
      <c r="BM268" s="33">
        <f>$AJ268/$AI268*AG268</f>
        <v>57302.210600302613</v>
      </c>
      <c r="BN268" s="33">
        <f>$AJ268/$AI268*AH268</f>
        <v>42025.654364001617</v>
      </c>
    </row>
    <row r="269" spans="1:66" x14ac:dyDescent="0.25">
      <c r="A269" s="1" t="s">
        <v>50</v>
      </c>
      <c r="B269" s="4">
        <v>51</v>
      </c>
      <c r="C269" s="4" t="s">
        <v>5</v>
      </c>
      <c r="D269" s="4" t="str">
        <f>A269&amp;C269</f>
        <v>KITUIVEGES</v>
      </c>
      <c r="E269" s="2">
        <v>52744.53</v>
      </c>
      <c r="F269" s="2">
        <v>35844.6</v>
      </c>
      <c r="G269" s="2">
        <v>47607.5</v>
      </c>
      <c r="H269" s="2">
        <v>56399.68</v>
      </c>
      <c r="I269" s="2">
        <v>47919.5</v>
      </c>
      <c r="J269" s="2">
        <v>48916.05</v>
      </c>
      <c r="K269" s="2">
        <v>41569.67</v>
      </c>
      <c r="L269" s="2">
        <v>49827.62</v>
      </c>
      <c r="M269" s="2">
        <v>55273.55</v>
      </c>
      <c r="N269" s="2">
        <v>61639.01</v>
      </c>
      <c r="O269" s="2">
        <v>63052.38</v>
      </c>
      <c r="P269" s="2">
        <v>65881.279999999999</v>
      </c>
      <c r="Q269" s="2">
        <v>54198.69</v>
      </c>
      <c r="R269" s="2">
        <v>50439.42</v>
      </c>
      <c r="S269" s="2">
        <v>42753.52</v>
      </c>
      <c r="T269" s="2">
        <v>46527.9</v>
      </c>
      <c r="U269" s="2">
        <v>55433.54</v>
      </c>
      <c r="V269" s="2">
        <v>50665.32</v>
      </c>
      <c r="W269" s="2">
        <v>56098.95</v>
      </c>
      <c r="X269" s="2">
        <v>45383.75</v>
      </c>
      <c r="Y269" s="2">
        <v>57028.19</v>
      </c>
      <c r="Z269" s="2">
        <v>52340.17</v>
      </c>
      <c r="AA269" s="2">
        <v>65162.84</v>
      </c>
      <c r="AB269" s="2">
        <v>59671.519999999997</v>
      </c>
      <c r="AC269" s="2">
        <v>59788.02</v>
      </c>
      <c r="AD269" s="2">
        <v>57850</v>
      </c>
      <c r="AE269" s="2">
        <v>57776.57</v>
      </c>
      <c r="AF269" s="2">
        <v>66648.13</v>
      </c>
      <c r="AG269" s="2">
        <v>63455.26</v>
      </c>
      <c r="AH269" s="2">
        <v>39168.89</v>
      </c>
      <c r="AI269" s="24">
        <f>SUM(E269:AH269)</f>
        <v>1607066.0500000003</v>
      </c>
      <c r="AJ269" s="26">
        <v>1606915.9108232474</v>
      </c>
      <c r="AK269" s="33">
        <f>$AJ269/$AI269*E269</f>
        <v>52739.602374086666</v>
      </c>
      <c r="AL269" s="33">
        <f>$AJ269/$AI269*F269</f>
        <v>35841.251239857229</v>
      </c>
      <c r="AM269" s="33">
        <f>$AJ269/$AI269*G269</f>
        <v>47603.052298017086</v>
      </c>
      <c r="AN269" s="33">
        <f>$AJ269/$AI269*H269</f>
        <v>56394.410893901761</v>
      </c>
      <c r="AO269" s="33">
        <f>$AJ269/$AI269*I269</f>
        <v>47915.0231496052</v>
      </c>
      <c r="AP269" s="33">
        <f>$AJ269/$AI269*J269</f>
        <v>48911.480047522316</v>
      </c>
      <c r="AQ269" s="33">
        <f>$AJ269/$AI269*K269</f>
        <v>41565.78637864437</v>
      </c>
      <c r="AR269" s="33">
        <f>$AJ269/$AI269*L269</f>
        <v>49822.964884644694</v>
      </c>
      <c r="AS269" s="33">
        <f>$AJ269/$AI269*M269</f>
        <v>55268.386101918026</v>
      </c>
      <c r="AT269" s="33">
        <f>$AJ269/$AI269*N269</f>
        <v>61633.251412655532</v>
      </c>
      <c r="AU269" s="33">
        <f>$AJ269/$AI269*O269</f>
        <v>63046.48936941546</v>
      </c>
      <c r="AV269" s="33">
        <f>$AJ269/$AI269*P269</f>
        <v>65875.125081138627</v>
      </c>
      <c r="AW269" s="33">
        <f>$AJ269/$AI269*Q269</f>
        <v>54193.626520065445</v>
      </c>
      <c r="AX269" s="33">
        <f>$AJ269/$AI269*R269</f>
        <v>50434.707727598565</v>
      </c>
      <c r="AY269" s="33">
        <f>$AJ269/$AI269*S269</f>
        <v>42749.525778171912</v>
      </c>
      <c r="AZ269" s="33">
        <f>$AJ269/$AI269*T269</f>
        <v>46523.553158996147</v>
      </c>
      <c r="BA269" s="33">
        <f>$AJ269/$AI269*U269</f>
        <v>55428.36115494874</v>
      </c>
      <c r="BB269" s="33">
        <f>$AJ269/$AI269*V269</f>
        <v>50660.586623027273</v>
      </c>
      <c r="BC269" s="33">
        <f>$AJ269/$AI269*W269</f>
        <v>56093.708989420687</v>
      </c>
      <c r="BD269" s="33">
        <f>$AJ269/$AI269*X269</f>
        <v>45379.510050520039</v>
      </c>
      <c r="BE269" s="33">
        <f>$AJ269/$AI269*Y269</f>
        <v>57022.862175733972</v>
      </c>
      <c r="BF269" s="33">
        <f>$AJ269/$AI269*Z269</f>
        <v>52335.280151175859</v>
      </c>
      <c r="BG269" s="33">
        <f>$AJ269/$AI269*AA269</f>
        <v>65156.752200962444</v>
      </c>
      <c r="BH269" s="33">
        <f>$AJ269/$AI269*AB269</f>
        <v>59665.945224222494</v>
      </c>
      <c r="BI269" s="33">
        <f>$AJ269/$AI269*AC269</f>
        <v>59782.434340280233</v>
      </c>
      <c r="BJ269" s="33">
        <f>$AJ269/$AI269*AD269</f>
        <v>57844.595398630227</v>
      </c>
      <c r="BK269" s="33">
        <f>$AJ269/$AI269*AE269</f>
        <v>57771.172258783699</v>
      </c>
      <c r="BL269" s="33">
        <f>$AJ269/$AI269*AF269</f>
        <v>66641.90343863974</v>
      </c>
      <c r="BM269" s="33">
        <f>$AJ269/$AI269*AG269</f>
        <v>63449.331730594378</v>
      </c>
      <c r="BN269" s="33">
        <f>$AJ269/$AI269*AH269</f>
        <v>39165.23067006834</v>
      </c>
    </row>
    <row r="270" spans="1:66" x14ac:dyDescent="0.25">
      <c r="A270" s="1" t="s">
        <v>83</v>
      </c>
      <c r="B270" s="4">
        <v>52</v>
      </c>
      <c r="C270" s="4" t="s">
        <v>5</v>
      </c>
      <c r="D270" s="4" t="str">
        <f>A270&amp;C270</f>
        <v>T-MALLVEGES</v>
      </c>
      <c r="E270" s="2">
        <v>80477.72</v>
      </c>
      <c r="F270" s="2">
        <v>90662.23</v>
      </c>
      <c r="G270" s="2">
        <v>84273.69</v>
      </c>
      <c r="H270" s="2">
        <v>87532.1</v>
      </c>
      <c r="I270" s="2">
        <v>80714.58</v>
      </c>
      <c r="J270" s="2">
        <v>94276.52</v>
      </c>
      <c r="K270" s="2">
        <v>83657.77</v>
      </c>
      <c r="L270" s="2">
        <v>82077.89</v>
      </c>
      <c r="M270" s="2">
        <v>80845.55</v>
      </c>
      <c r="N270" s="2">
        <v>89148.81</v>
      </c>
      <c r="O270" s="2">
        <v>81221.48</v>
      </c>
      <c r="P270" s="2">
        <v>86396.46</v>
      </c>
      <c r="Q270" s="2">
        <v>100828.42</v>
      </c>
      <c r="R270" s="2">
        <v>99102.86</v>
      </c>
      <c r="S270" s="2">
        <v>74950.960000000006</v>
      </c>
      <c r="T270" s="2">
        <v>78907.94</v>
      </c>
      <c r="U270" s="2">
        <v>65674.36</v>
      </c>
      <c r="V270" s="2">
        <v>92678.17</v>
      </c>
      <c r="W270" s="2">
        <v>98397.13</v>
      </c>
      <c r="X270" s="2">
        <v>95467.04</v>
      </c>
      <c r="Y270" s="2">
        <v>90645.17</v>
      </c>
      <c r="Z270" s="2">
        <v>70038.62</v>
      </c>
      <c r="AA270" s="2">
        <v>89595.68</v>
      </c>
      <c r="AB270" s="2">
        <v>74660.53</v>
      </c>
      <c r="AC270" s="2">
        <v>89530.29</v>
      </c>
      <c r="AD270" s="2">
        <v>130549.78</v>
      </c>
      <c r="AE270" s="2">
        <v>95343.07</v>
      </c>
      <c r="AF270" s="2">
        <v>92829.08</v>
      </c>
      <c r="AG270" s="2">
        <v>103736.09</v>
      </c>
      <c r="AH270" s="2">
        <v>86025.919999999998</v>
      </c>
      <c r="AI270" s="24">
        <f>SUM(E270:AH270)</f>
        <v>2650245.9099999997</v>
      </c>
      <c r="AJ270" s="26">
        <v>2786541.6714284574</v>
      </c>
      <c r="AK270" s="33">
        <f>$AJ270/$AI270*E270</f>
        <v>84616.495229890352</v>
      </c>
      <c r="AL270" s="33">
        <f>$AJ270/$AI270*F270</f>
        <v>95324.770039785188</v>
      </c>
      <c r="AM270" s="33">
        <f>$AJ270/$AI270*G270</f>
        <v>88607.682820664631</v>
      </c>
      <c r="AN270" s="33">
        <f>$AJ270/$AI270*H270</f>
        <v>92033.664995880667</v>
      </c>
      <c r="AO270" s="33">
        <f>$AJ270/$AI270*I270</f>
        <v>84865.536368980174</v>
      </c>
      <c r="AP270" s="33">
        <f>$AJ270/$AI270*J270</f>
        <v>99124.934265914373</v>
      </c>
      <c r="AQ270" s="33">
        <f>$AJ270/$AI270*K270</f>
        <v>87960.08753911349</v>
      </c>
      <c r="AR270" s="33">
        <f>$AJ270/$AI270*L270</f>
        <v>86298.958117407718</v>
      </c>
      <c r="AS270" s="33">
        <f>$AJ270/$AI270*M270</f>
        <v>85003.241840510163</v>
      </c>
      <c r="AT270" s="33">
        <f>$AJ270/$AI270*N270</f>
        <v>93733.518495745171</v>
      </c>
      <c r="AU270" s="33">
        <f>$AJ270/$AI270*O270</f>
        <v>85398.505014613169</v>
      </c>
      <c r="AV270" s="33">
        <f>$AJ270/$AI270*P270</f>
        <v>90839.621766986107</v>
      </c>
      <c r="AW270" s="33">
        <f>$AJ270/$AI270*Q270</f>
        <v>106013.78269622177</v>
      </c>
      <c r="AX270" s="33">
        <f>$AJ270/$AI270*R270</f>
        <v>104199.48130312951</v>
      </c>
      <c r="AY270" s="33">
        <f>$AJ270/$AI270*S270</f>
        <v>78805.507279725411</v>
      </c>
      <c r="AZ270" s="33">
        <f>$AJ270/$AI270*T270</f>
        <v>82965.985226848803</v>
      </c>
      <c r="BA270" s="33">
        <f>$AJ270/$AI270*U270</f>
        <v>69051.834093536716</v>
      </c>
      <c r="BB270" s="33">
        <f>$AJ270/$AI270*V270</f>
        <v>97444.384976611749</v>
      </c>
      <c r="BC270" s="33">
        <f>$AJ270/$AI270*W270</f>
        <v>103457.45730967405</v>
      </c>
      <c r="BD270" s="33">
        <f>$AJ270/$AI270*X270</f>
        <v>100376.67984097649</v>
      </c>
      <c r="BE270" s="33">
        <f>$AJ270/$AI270*Y270</f>
        <v>95306.83268509098</v>
      </c>
      <c r="BF270" s="33">
        <f>$AJ270/$AI270*Z270</f>
        <v>73640.537469725808</v>
      </c>
      <c r="BG270" s="33">
        <f>$AJ270/$AI270*AA270</f>
        <v>94203.36994311944</v>
      </c>
      <c r="BH270" s="33">
        <f>$AJ270/$AI270*AB270</f>
        <v>78500.141164611588</v>
      </c>
      <c r="BI270" s="33">
        <f>$AJ270/$AI270*AC270</f>
        <v>94134.617092975532</v>
      </c>
      <c r="BJ270" s="33">
        <f>$AJ270/$AI270*AD270</f>
        <v>137263.6406279059</v>
      </c>
      <c r="BK270" s="33">
        <f>$AJ270/$AI270*AE270</f>
        <v>100246.33436258014</v>
      </c>
      <c r="BL270" s="33">
        <f>$AJ270/$AI270*AF270</f>
        <v>97603.055914296652</v>
      </c>
      <c r="BM270" s="33">
        <f>$AJ270/$AI270*AG270</f>
        <v>109070.98715833992</v>
      </c>
      <c r="BN270" s="33">
        <f>$AJ270/$AI270*AH270</f>
        <v>90450.02578759598</v>
      </c>
    </row>
    <row r="271" spans="1:66" x14ac:dyDescent="0.25">
      <c r="A271" s="1" t="s">
        <v>84</v>
      </c>
      <c r="B271" s="4">
        <v>53</v>
      </c>
      <c r="C271" s="4" t="s">
        <v>5</v>
      </c>
      <c r="D271" s="4" t="str">
        <f>A271&amp;C271</f>
        <v>MILELE-NGONGVEGES</v>
      </c>
      <c r="E271" s="2">
        <v>47576.27</v>
      </c>
      <c r="F271" s="2">
        <v>70529.06</v>
      </c>
      <c r="G271" s="2">
        <v>55142.63</v>
      </c>
      <c r="H271" s="2">
        <v>78079.62</v>
      </c>
      <c r="I271" s="2">
        <v>95226.75</v>
      </c>
      <c r="J271" s="2">
        <v>81981.41</v>
      </c>
      <c r="K271" s="2">
        <v>62171.22</v>
      </c>
      <c r="L271" s="2">
        <v>69910.61</v>
      </c>
      <c r="M271" s="2">
        <v>67427.58</v>
      </c>
      <c r="N271" s="2">
        <v>60627.78</v>
      </c>
      <c r="O271" s="2">
        <v>71418.87</v>
      </c>
      <c r="P271" s="2">
        <v>66709.259999999995</v>
      </c>
      <c r="Q271" s="2">
        <v>71961.06</v>
      </c>
      <c r="R271" s="2">
        <v>60369.97</v>
      </c>
      <c r="S271" s="2">
        <v>43406.34</v>
      </c>
      <c r="T271" s="2">
        <v>52855.76</v>
      </c>
      <c r="U271" s="2">
        <v>45871.31</v>
      </c>
      <c r="V271" s="2">
        <v>59790.29</v>
      </c>
      <c r="W271" s="2">
        <v>79983.05</v>
      </c>
      <c r="X271" s="2">
        <v>89479.3</v>
      </c>
      <c r="Y271" s="2">
        <v>67620.06</v>
      </c>
      <c r="Z271" s="2">
        <v>73891.33</v>
      </c>
      <c r="AA271" s="2">
        <v>61420.88</v>
      </c>
      <c r="AB271" s="2">
        <v>56601.17</v>
      </c>
      <c r="AC271" s="2">
        <v>72075.09</v>
      </c>
      <c r="AD271" s="2">
        <v>69004.87</v>
      </c>
      <c r="AE271" s="2">
        <v>83800</v>
      </c>
      <c r="AF271" s="2">
        <v>83508.820000000007</v>
      </c>
      <c r="AG271" s="2">
        <v>90708.06</v>
      </c>
      <c r="AH271" s="2">
        <v>56319.62</v>
      </c>
      <c r="AI271" s="24">
        <f>SUM(E271:AH271)</f>
        <v>2045468.0400000003</v>
      </c>
      <c r="AJ271" s="26">
        <v>1601309.2277551759</v>
      </c>
      <c r="AK271" s="33">
        <f>$AJ271/$AI271*E271</f>
        <v>37245.421919753746</v>
      </c>
      <c r="AL271" s="33">
        <f>$AJ271/$AI271*F271</f>
        <v>55214.177095086001</v>
      </c>
      <c r="AM271" s="33">
        <f>$AJ271/$AI271*G271</f>
        <v>43168.800751191098</v>
      </c>
      <c r="AN271" s="33">
        <f>$AJ271/$AI271*H271</f>
        <v>61125.186783958532</v>
      </c>
      <c r="AO271" s="33">
        <f>$AJ271/$AI271*I271</f>
        <v>74548.939666705905</v>
      </c>
      <c r="AP271" s="33">
        <f>$AJ271/$AI271*J271</f>
        <v>64179.730883197</v>
      </c>
      <c r="AQ271" s="33">
        <f>$AJ271/$AI271*K271</f>
        <v>48671.182506863872</v>
      </c>
      <c r="AR271" s="33">
        <f>$AJ271/$AI271*L271</f>
        <v>54730.019106528431</v>
      </c>
      <c r="AS271" s="33">
        <f>$AJ271/$AI271*M271</f>
        <v>52786.161381040365</v>
      </c>
      <c r="AT271" s="33">
        <f>$AJ271/$AI271*N271</f>
        <v>47462.889506848849</v>
      </c>
      <c r="AU271" s="33">
        <f>$AJ271/$AI271*O271</f>
        <v>55910.771192908629</v>
      </c>
      <c r="AV271" s="33">
        <f>$AJ271/$AI271*P271</f>
        <v>52223.819451473428</v>
      </c>
      <c r="AW271" s="33">
        <f>$AJ271/$AI271*Q271</f>
        <v>56335.228497162861</v>
      </c>
      <c r="AX271" s="33">
        <f>$AJ271/$AI271*R271</f>
        <v>47261.061111618801</v>
      </c>
      <c r="AY271" s="33">
        <f>$AJ271/$AI271*S271</f>
        <v>33980.962511190635</v>
      </c>
      <c r="AZ271" s="33">
        <f>$AJ271/$AI271*T271</f>
        <v>41378.508279216578</v>
      </c>
      <c r="BA271" s="33">
        <f>$AJ271/$AI271*U271</f>
        <v>35910.681837012846</v>
      </c>
      <c r="BB271" s="33">
        <f>$AJ271/$AI271*V271</f>
        <v>46807.254493772489</v>
      </c>
      <c r="BC271" s="33">
        <f>$AJ271/$AI271*W271</f>
        <v>62615.300520170247</v>
      </c>
      <c r="BD271" s="33">
        <f>$AJ271/$AI271*X271</f>
        <v>70049.507487329742</v>
      </c>
      <c r="BE271" s="33">
        <f>$AJ271/$AI271*Y271</f>
        <v>52936.845720336285</v>
      </c>
      <c r="BF271" s="33">
        <f>$AJ271/$AI271*Z271</f>
        <v>57846.354118592266</v>
      </c>
      <c r="BG271" s="33">
        <f>$AJ271/$AI271*AA271</f>
        <v>48083.773492175082</v>
      </c>
      <c r="BH271" s="33">
        <f>$AJ271/$AI271*AB271</f>
        <v>44310.629181348348</v>
      </c>
      <c r="BI271" s="33">
        <f>$AJ271/$AI271*AC271</f>
        <v>56424.497695053098</v>
      </c>
      <c r="BJ271" s="33">
        <f>$AJ271/$AI271*AD271</f>
        <v>54020.954094714813</v>
      </c>
      <c r="BK271" s="33">
        <f>$AJ271/$AI271*AE271</f>
        <v>65603.427020978401</v>
      </c>
      <c r="BL271" s="33">
        <f>$AJ271/$AI271*AF271</f>
        <v>65375.474683508612</v>
      </c>
      <c r="BM271" s="33">
        <f>$AJ271/$AI271*AG271</f>
        <v>71011.451007452619</v>
      </c>
      <c r="BN271" s="33">
        <f>$AJ271/$AI271*AH271</f>
        <v>44090.215757986109</v>
      </c>
    </row>
    <row r="272" spans="1:66" x14ac:dyDescent="0.25">
      <c r="A272" s="1" t="s">
        <v>51</v>
      </c>
      <c r="B272" s="4">
        <v>54</v>
      </c>
      <c r="C272" s="4" t="s">
        <v>5</v>
      </c>
      <c r="D272" s="4" t="str">
        <f>A272&amp;C272</f>
        <v>KARENVEGES</v>
      </c>
      <c r="E272" s="2">
        <v>75719.960000000006</v>
      </c>
      <c r="F272" s="2">
        <v>67705.2</v>
      </c>
      <c r="G272" s="2">
        <v>82725.55</v>
      </c>
      <c r="H272" s="2">
        <v>80235.05</v>
      </c>
      <c r="I272" s="2">
        <v>58351.26</v>
      </c>
      <c r="J272" s="2">
        <v>81422.44</v>
      </c>
      <c r="K272" s="2">
        <v>85321.53</v>
      </c>
      <c r="L272" s="2">
        <v>66694.11</v>
      </c>
      <c r="M272" s="2">
        <v>72672.259999999995</v>
      </c>
      <c r="N272" s="2">
        <v>76232.44</v>
      </c>
      <c r="O272" s="2">
        <v>90045.43</v>
      </c>
      <c r="P272" s="2">
        <v>57176.7</v>
      </c>
      <c r="Q272" s="2">
        <v>64182.13</v>
      </c>
      <c r="R272" s="2">
        <v>88144.05</v>
      </c>
      <c r="S272" s="2">
        <v>77852.34</v>
      </c>
      <c r="T272" s="2">
        <v>75665.11</v>
      </c>
      <c r="U272" s="2">
        <v>76683.8</v>
      </c>
      <c r="V272" s="2">
        <v>68316.58</v>
      </c>
      <c r="W272" s="2">
        <v>77298.17</v>
      </c>
      <c r="X272" s="2">
        <v>73643.509999999995</v>
      </c>
      <c r="Y272" s="2">
        <v>92741.26</v>
      </c>
      <c r="Z272" s="2">
        <v>83017.59</v>
      </c>
      <c r="AA272" s="2">
        <v>76502.97</v>
      </c>
      <c r="AB272" s="2">
        <v>78758.02</v>
      </c>
      <c r="AC272" s="2">
        <v>83410.259999999995</v>
      </c>
      <c r="AD272" s="2">
        <v>63658.42</v>
      </c>
      <c r="AE272" s="2">
        <v>85096.95</v>
      </c>
      <c r="AF272" s="2">
        <v>76083.240000000005</v>
      </c>
      <c r="AG272" s="2">
        <v>67360.009999999995</v>
      </c>
      <c r="AH272" s="2">
        <v>69777.460000000006</v>
      </c>
      <c r="AI272" s="24">
        <f>SUM(E272:AH272)</f>
        <v>2272493.7999999998</v>
      </c>
      <c r="AJ272" s="26">
        <v>1884132.8032221205</v>
      </c>
      <c r="AK272" s="33">
        <f>$AJ272/$AI272*E272</f>
        <v>62779.691849837771</v>
      </c>
      <c r="AL272" s="33">
        <f>$AJ272/$AI272*F272</f>
        <v>56134.625436036091</v>
      </c>
      <c r="AM272" s="33">
        <f>$AJ272/$AI272*G272</f>
        <v>68588.051778003399</v>
      </c>
      <c r="AN272" s="33">
        <f>$AJ272/$AI272*H272</f>
        <v>66523.169248324033</v>
      </c>
      <c r="AO272" s="33">
        <f>$AJ272/$AI272*I272</f>
        <v>48379.240055723276</v>
      </c>
      <c r="AP272" s="33">
        <f>$AJ272/$AI272*J272</f>
        <v>67507.638578545273</v>
      </c>
      <c r="AQ272" s="33">
        <f>$AJ272/$AI272*K272</f>
        <v>70740.388155998604</v>
      </c>
      <c r="AR272" s="33">
        <f>$AJ272/$AI272*L272</f>
        <v>55296.327071477368</v>
      </c>
      <c r="AS272" s="33">
        <f>$AJ272/$AI272*M272</f>
        <v>60252.832791133151</v>
      </c>
      <c r="AT272" s="33">
        <f>$AJ272/$AI272*N272</f>
        <v>63204.59086562178</v>
      </c>
      <c r="AU272" s="33">
        <f>$AJ272/$AI272*O272</f>
        <v>74656.990678364542</v>
      </c>
      <c r="AV272" s="33">
        <f>$AJ272/$AI272*P272</f>
        <v>47405.40812476154</v>
      </c>
      <c r="AW272" s="33">
        <f>$AJ272/$AI272*Q272</f>
        <v>53213.635396350284</v>
      </c>
      <c r="AX272" s="33">
        <f>$AJ272/$AI272*R272</f>
        <v>73080.549664800303</v>
      </c>
      <c r="AY272" s="33">
        <f>$AJ272/$AI272*S272</f>
        <v>64547.655796289357</v>
      </c>
      <c r="AZ272" s="33">
        <f>$AJ272/$AI272*T272</f>
        <v>62734.215517072087</v>
      </c>
      <c r="BA272" s="33">
        <f>$AJ272/$AI272*U272</f>
        <v>63578.815069033175</v>
      </c>
      <c r="BB272" s="33">
        <f>$AJ272/$AI272*V272</f>
        <v>56641.522798411272</v>
      </c>
      <c r="BC272" s="33">
        <f>$AJ272/$AI272*W272</f>
        <v>64088.191451189014</v>
      </c>
      <c r="BD272" s="33">
        <f>$AJ272/$AI272*X272</f>
        <v>61058.099668045856</v>
      </c>
      <c r="BE272" s="33">
        <f>$AJ272/$AI272*Y272</f>
        <v>76892.113051376218</v>
      </c>
      <c r="BF272" s="33">
        <f>$AJ272/$AI272*Z272</f>
        <v>68830.183194974918</v>
      </c>
      <c r="BG272" s="33">
        <f>$AJ272/$AI272*AA272</f>
        <v>63428.888264037421</v>
      </c>
      <c r="BH272" s="33">
        <f>$AJ272/$AI272*AB272</f>
        <v>65298.558349784653</v>
      </c>
      <c r="BI272" s="33">
        <f>$AJ272/$AI272*AC272</f>
        <v>69155.747307775237</v>
      </c>
      <c r="BJ272" s="33">
        <f>$AJ272/$AI272*AD272</f>
        <v>52779.425547075691</v>
      </c>
      <c r="BK272" s="33">
        <f>$AJ272/$AI272*AE272</f>
        <v>70554.188068259042</v>
      </c>
      <c r="BL272" s="33">
        <f>$AJ272/$AI272*AF272</f>
        <v>63080.888607670298</v>
      </c>
      <c r="BM272" s="33">
        <f>$AJ272/$AI272*AG272</f>
        <v>55848.427162428372</v>
      </c>
      <c r="BN272" s="33">
        <f>$AJ272/$AI272*AH272</f>
        <v>57852.743673720652</v>
      </c>
    </row>
    <row r="273" spans="1:66" x14ac:dyDescent="0.25">
      <c r="A273" s="1" t="s">
        <v>70</v>
      </c>
      <c r="B273" s="4">
        <v>55</v>
      </c>
      <c r="C273" s="4" t="s">
        <v>5</v>
      </c>
      <c r="D273" s="4" t="str">
        <f>A273&amp;C273</f>
        <v>SHABAABVEGES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24"/>
      <c r="AJ273" s="26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</row>
    <row r="274" spans="1:66" x14ac:dyDescent="0.25">
      <c r="A274" s="1" t="s">
        <v>52</v>
      </c>
      <c r="B274" s="4">
        <v>56</v>
      </c>
      <c r="C274" s="4" t="s">
        <v>5</v>
      </c>
      <c r="D274" s="4" t="str">
        <f>A274&amp;C274</f>
        <v>THOMEVEGES</v>
      </c>
      <c r="E274" s="2">
        <v>98505.49</v>
      </c>
      <c r="F274" s="2">
        <v>108704.13</v>
      </c>
      <c r="G274" s="2">
        <v>94108.63</v>
      </c>
      <c r="H274" s="2">
        <v>101827.33</v>
      </c>
      <c r="I274" s="2">
        <v>144844.20000000001</v>
      </c>
      <c r="J274" s="2">
        <v>116740.02</v>
      </c>
      <c r="K274" s="2">
        <v>122631.78</v>
      </c>
      <c r="L274" s="2">
        <v>100448.28</v>
      </c>
      <c r="M274" s="2">
        <v>87659.5</v>
      </c>
      <c r="N274" s="2">
        <v>71791.73</v>
      </c>
      <c r="O274" s="2">
        <v>104574.25</v>
      </c>
      <c r="P274" s="2">
        <v>104984.13</v>
      </c>
      <c r="Q274" s="2">
        <v>121570.09</v>
      </c>
      <c r="R274" s="2">
        <v>128495.63</v>
      </c>
      <c r="S274" s="2">
        <v>86691.47</v>
      </c>
      <c r="T274" s="2">
        <v>124865.68</v>
      </c>
      <c r="U274" s="2">
        <v>70988.960000000006</v>
      </c>
      <c r="V274" s="2">
        <v>105460.32</v>
      </c>
      <c r="W274" s="2">
        <v>92080.66</v>
      </c>
      <c r="X274" s="2">
        <v>128940.92</v>
      </c>
      <c r="Y274" s="2">
        <v>126266.03</v>
      </c>
      <c r="Z274" s="2">
        <v>126291.38</v>
      </c>
      <c r="AA274" s="2">
        <v>104917.31</v>
      </c>
      <c r="AB274" s="2">
        <v>105450.56</v>
      </c>
      <c r="AC274" s="2">
        <v>91444.79</v>
      </c>
      <c r="AD274" s="2">
        <v>126879.88</v>
      </c>
      <c r="AE274" s="2">
        <v>156564.62</v>
      </c>
      <c r="AF274" s="2">
        <v>125462.39999999999</v>
      </c>
      <c r="AG274" s="2">
        <v>142982.57</v>
      </c>
      <c r="AH274" s="2">
        <v>87148.4</v>
      </c>
      <c r="AI274" s="24">
        <f>SUM(E274:AH274)</f>
        <v>3309321.1399999997</v>
      </c>
      <c r="AJ274" s="26">
        <v>2969558.6806674795</v>
      </c>
      <c r="AK274" s="33">
        <f>$AJ274/$AI274*E274</f>
        <v>88392.096308581167</v>
      </c>
      <c r="AL274" s="33">
        <f>$AJ274/$AI274*F274</f>
        <v>97543.659019416358</v>
      </c>
      <c r="AM274" s="33">
        <f>$AJ274/$AI274*G274</f>
        <v>84446.65456137147</v>
      </c>
      <c r="AN274" s="33">
        <f>$AJ274/$AI274*H274</f>
        <v>91372.888558857754</v>
      </c>
      <c r="AO274" s="33">
        <f>$AJ274/$AI274*I274</f>
        <v>129973.28855619513</v>
      </c>
      <c r="AP274" s="33">
        <f>$AJ274/$AI274*J274</f>
        <v>104754.5176507999</v>
      </c>
      <c r="AQ274" s="33">
        <f>$AJ274/$AI274*K274</f>
        <v>110041.38051851463</v>
      </c>
      <c r="AR274" s="33">
        <f>$AJ274/$AI274*L274</f>
        <v>90135.423312866391</v>
      </c>
      <c r="AS274" s="33">
        <f>$AJ274/$AI274*M274</f>
        <v>78659.645938130663</v>
      </c>
      <c r="AT274" s="33">
        <f>$AJ274/$AI274*N274</f>
        <v>64420.993310318598</v>
      </c>
      <c r="AU274" s="33">
        <f>$AJ274/$AI274*O274</f>
        <v>93837.786882717337</v>
      </c>
      <c r="AV274" s="33">
        <f>$AJ274/$AI274*P274</f>
        <v>94205.585189542282</v>
      </c>
      <c r="AW274" s="33">
        <f>$AJ274/$AI274*Q274</f>
        <v>109088.69245280522</v>
      </c>
      <c r="AX274" s="33">
        <f>$AJ274/$AI274*R274</f>
        <v>115303.19885918857</v>
      </c>
      <c r="AY274" s="33">
        <f>$AJ274/$AI274*S274</f>
        <v>77791.001957073415</v>
      </c>
      <c r="AZ274" s="33">
        <f>$AJ274/$AI274*T274</f>
        <v>112045.929746621</v>
      </c>
      <c r="BA274" s="33">
        <f>$AJ274/$AI274*U274</f>
        <v>63700.642361821832</v>
      </c>
      <c r="BB274" s="33">
        <f>$AJ274/$AI274*V274</f>
        <v>94632.885559716407</v>
      </c>
      <c r="BC274" s="33">
        <f>$AJ274/$AI274*W274</f>
        <v>82626.892845035516</v>
      </c>
      <c r="BD274" s="33">
        <f>$AJ274/$AI274*X274</f>
        <v>115702.77168061455</v>
      </c>
      <c r="BE274" s="33">
        <f>$AJ274/$AI274*Y274</f>
        <v>113302.5081572834</v>
      </c>
      <c r="BF274" s="33">
        <f>$AJ274/$AI274*Z274</f>
        <v>113325.25551523699</v>
      </c>
      <c r="BG274" s="33">
        <f>$AJ274/$AI274*AA274</f>
        <v>94145.625487039011</v>
      </c>
      <c r="BH274" s="33">
        <f>$AJ274/$AI274*AB274</f>
        <v>94624.12760257136</v>
      </c>
      <c r="BI274" s="33">
        <f>$AJ274/$AI274*AC274</f>
        <v>82056.306553045724</v>
      </c>
      <c r="BJ274" s="33">
        <f>$AJ274/$AI274*AD274</f>
        <v>113853.33520579636</v>
      </c>
      <c r="BK274" s="33">
        <f>$AJ274/$AI274*AE274</f>
        <v>140490.3926629512</v>
      </c>
      <c r="BL274" s="33">
        <f>$AJ274/$AI274*AF274</f>
        <v>112581.38550354639</v>
      </c>
      <c r="BM274" s="33">
        <f>$AJ274/$AI274*AG274</f>
        <v>128302.78899062834</v>
      </c>
      <c r="BN274" s="33">
        <f>$AJ274/$AI274*AH274</f>
        <v>78201.01971919286</v>
      </c>
    </row>
    <row r="275" spans="1:66" x14ac:dyDescent="0.25">
      <c r="A275" s="1" t="s">
        <v>53</v>
      </c>
      <c r="B275" s="4">
        <v>57</v>
      </c>
      <c r="C275" s="4" t="s">
        <v>5</v>
      </c>
      <c r="D275" s="4" t="str">
        <f>A275&amp;C275</f>
        <v>KILELESHWAVEGES</v>
      </c>
      <c r="E275" s="2">
        <v>342310.59</v>
      </c>
      <c r="F275" s="2">
        <v>371982.95</v>
      </c>
      <c r="G275" s="2">
        <v>392109.5</v>
      </c>
      <c r="H275" s="2">
        <v>395569.53</v>
      </c>
      <c r="I275" s="2">
        <v>411847.34</v>
      </c>
      <c r="J275" s="2">
        <v>419449.77</v>
      </c>
      <c r="K275" s="2">
        <v>369836.88</v>
      </c>
      <c r="L275" s="2">
        <v>415161.51</v>
      </c>
      <c r="M275" s="2">
        <v>362925.63</v>
      </c>
      <c r="N275" s="2">
        <v>369275.29</v>
      </c>
      <c r="O275" s="2">
        <v>416772.51</v>
      </c>
      <c r="P275" s="2">
        <v>412521.97</v>
      </c>
      <c r="Q275" s="2">
        <v>467015.7</v>
      </c>
      <c r="R275" s="2">
        <v>386299.47</v>
      </c>
      <c r="S275" s="2">
        <v>326136.64</v>
      </c>
      <c r="T275" s="2">
        <v>340951.91</v>
      </c>
      <c r="U275" s="2">
        <v>408522.17</v>
      </c>
      <c r="V275" s="2">
        <v>384739.13</v>
      </c>
      <c r="W275" s="2">
        <v>422030.43</v>
      </c>
      <c r="X275" s="2">
        <v>449992.24</v>
      </c>
      <c r="Y275" s="2">
        <v>410688.82</v>
      </c>
      <c r="Z275" s="2">
        <v>435002.71</v>
      </c>
      <c r="AA275" s="2">
        <v>375451.95</v>
      </c>
      <c r="AB275" s="2">
        <v>428279.84</v>
      </c>
      <c r="AC275" s="2">
        <v>384640.88</v>
      </c>
      <c r="AD275" s="2">
        <v>486774.03</v>
      </c>
      <c r="AE275" s="2">
        <v>489374.62</v>
      </c>
      <c r="AF275" s="2">
        <v>475307.27</v>
      </c>
      <c r="AG275" s="2">
        <v>439018.4</v>
      </c>
      <c r="AH275" s="2">
        <v>417493.02</v>
      </c>
      <c r="AI275" s="24">
        <f>SUM(E275:AH275)</f>
        <v>12207482.699999997</v>
      </c>
      <c r="AJ275" s="26">
        <v>12000652.547504421</v>
      </c>
      <c r="AK275" s="33">
        <f>$AJ275/$AI275*E275</f>
        <v>336510.85607692425</v>
      </c>
      <c r="AL275" s="33">
        <f>$AJ275/$AI275*F275</f>
        <v>365680.48026361002</v>
      </c>
      <c r="AM275" s="33">
        <f>$AJ275/$AI275*G275</f>
        <v>385466.02814974182</v>
      </c>
      <c r="AN275" s="33">
        <f>$AJ275/$AI275*H275</f>
        <v>388867.43520919577</v>
      </c>
      <c r="AO275" s="33">
        <f>$AJ275/$AI275*I275</f>
        <v>404869.45191033703</v>
      </c>
      <c r="AP275" s="33">
        <f>$AJ275/$AI275*J275</f>
        <v>412343.07470291521</v>
      </c>
      <c r="AQ275" s="33">
        <f>$AJ275/$AI275*K275</f>
        <v>363570.77091193321</v>
      </c>
      <c r="AR275" s="33">
        <f>$AJ275/$AI275*L275</f>
        <v>408127.47026111156</v>
      </c>
      <c r="AS275" s="33">
        <f>$AJ275/$AI275*M275</f>
        <v>356776.61752608081</v>
      </c>
      <c r="AT275" s="33">
        <f>$AJ275/$AI275*N275</f>
        <v>363018.69587486162</v>
      </c>
      <c r="AU275" s="33">
        <f>$AJ275/$AI275*O275</f>
        <v>409711.17525002215</v>
      </c>
      <c r="AV275" s="33">
        <f>$AJ275/$AI275*P275</f>
        <v>405532.6517220494</v>
      </c>
      <c r="AW275" s="33">
        <f>$AJ275/$AI275*Q275</f>
        <v>459103.09993145126</v>
      </c>
      <c r="AX275" s="33">
        <f>$AJ275/$AI275*R275</f>
        <v>379754.43690410542</v>
      </c>
      <c r="AY275" s="33">
        <f>$AJ275/$AI275*S275</f>
        <v>320610.93968624127</v>
      </c>
      <c r="AZ275" s="33">
        <f>$AJ275/$AI275*T275</f>
        <v>335175.19605561259</v>
      </c>
      <c r="BA275" s="33">
        <f>$AJ275/$AI275*U275</f>
        <v>401600.61993145692</v>
      </c>
      <c r="BB275" s="33">
        <f>$AJ275/$AI275*V275</f>
        <v>378220.53358790639</v>
      </c>
      <c r="BC275" s="33">
        <f>$AJ275/$AI275*W275</f>
        <v>414880.01083989965</v>
      </c>
      <c r="BD275" s="33">
        <f>$AJ275/$AI275*X275</f>
        <v>442368.06670331978</v>
      </c>
      <c r="BE275" s="33">
        <f>$AJ275/$AI275*Y275</f>
        <v>403730.56059826206</v>
      </c>
      <c r="BF275" s="33">
        <f>$AJ275/$AI275*Z275</f>
        <v>427632.50280361477</v>
      </c>
      <c r="BG275" s="33">
        <f>$AJ275/$AI275*AA275</f>
        <v>369090.7053452555</v>
      </c>
      <c r="BH275" s="33">
        <f>$AJ275/$AI275*AB275</f>
        <v>421023.5377143551</v>
      </c>
      <c r="BI275" s="33">
        <f>$AJ275/$AI275*AC275</f>
        <v>378123.94822778192</v>
      </c>
      <c r="BJ275" s="33">
        <f>$AJ275/$AI275*AD275</f>
        <v>478526.66653203574</v>
      </c>
      <c r="BK275" s="33">
        <f>$AJ275/$AI275*AE275</f>
        <v>481083.19499703322</v>
      </c>
      <c r="BL275" s="33">
        <f>$AJ275/$AI275*AF275</f>
        <v>467254.18669427017</v>
      </c>
      <c r="BM275" s="33">
        <f>$AJ275/$AI275*AG275</f>
        <v>431580.15537153429</v>
      </c>
      <c r="BN275" s="33">
        <f>$AJ275/$AI275*AH275</f>
        <v>410419.47772150568</v>
      </c>
    </row>
    <row r="276" spans="1:66" x14ac:dyDescent="0.25">
      <c r="A276" s="1" t="s">
        <v>54</v>
      </c>
      <c r="B276" s="4">
        <v>58</v>
      </c>
      <c r="C276" s="4" t="s">
        <v>5</v>
      </c>
      <c r="D276" s="4" t="str">
        <f>A276&amp;C276</f>
        <v>NYALIVEGES</v>
      </c>
      <c r="E276" s="2">
        <v>167146.35999999999</v>
      </c>
      <c r="F276" s="2">
        <v>191866.04</v>
      </c>
      <c r="G276" s="2">
        <v>188003.59</v>
      </c>
      <c r="H276" s="2">
        <v>183018.99</v>
      </c>
      <c r="I276" s="2">
        <v>183281.72</v>
      </c>
      <c r="J276" s="2">
        <v>211027.14</v>
      </c>
      <c r="K276" s="2">
        <v>208060.89</v>
      </c>
      <c r="L276" s="2">
        <v>188642.74</v>
      </c>
      <c r="M276" s="2">
        <v>191427.77</v>
      </c>
      <c r="N276" s="2">
        <v>168451.22</v>
      </c>
      <c r="O276" s="2">
        <v>192375.41</v>
      </c>
      <c r="P276" s="2">
        <v>219898.75</v>
      </c>
      <c r="Q276" s="2">
        <v>252837.79</v>
      </c>
      <c r="R276" s="2">
        <v>194193.21</v>
      </c>
      <c r="S276" s="2">
        <v>182793.34</v>
      </c>
      <c r="T276" s="2">
        <v>173124.65</v>
      </c>
      <c r="U276" s="2">
        <v>147524.85</v>
      </c>
      <c r="V276" s="2">
        <v>210445.01</v>
      </c>
      <c r="W276" s="2">
        <v>179371.26</v>
      </c>
      <c r="X276" s="2">
        <v>214441.67</v>
      </c>
      <c r="Y276" s="2">
        <v>170382.42</v>
      </c>
      <c r="Z276" s="2">
        <v>176331.46</v>
      </c>
      <c r="AA276" s="2">
        <v>148254.45000000001</v>
      </c>
      <c r="AB276" s="2">
        <v>172947.7</v>
      </c>
      <c r="AC276" s="2">
        <v>159041.26999999999</v>
      </c>
      <c r="AD276" s="2">
        <v>183903.65</v>
      </c>
      <c r="AE276" s="2">
        <v>236815.51</v>
      </c>
      <c r="AF276" s="2">
        <v>206957.51</v>
      </c>
      <c r="AG276" s="2">
        <v>209583.67</v>
      </c>
      <c r="AH276" s="2">
        <v>189427.82</v>
      </c>
      <c r="AI276" s="24">
        <f>SUM(E276:AH276)</f>
        <v>5701577.8599999994</v>
      </c>
      <c r="AJ276" s="26">
        <v>2837171.1906900634</v>
      </c>
      <c r="AK276" s="33">
        <f>$AJ276/$AI276*E276</f>
        <v>83173.964973392474</v>
      </c>
      <c r="AL276" s="33">
        <f>$AJ276/$AI276*F276</f>
        <v>95474.764096229919</v>
      </c>
      <c r="AM276" s="33">
        <f>$AJ276/$AI276*G276</f>
        <v>93552.764233286565</v>
      </c>
      <c r="AN276" s="33">
        <f>$AJ276/$AI276*H276</f>
        <v>91072.369531263903</v>
      </c>
      <c r="AO276" s="33">
        <f>$AJ276/$AI276*I276</f>
        <v>91203.107022750162</v>
      </c>
      <c r="AP276" s="33">
        <f>$AJ276/$AI276*J276</f>
        <v>105009.54942001245</v>
      </c>
      <c r="AQ276" s="33">
        <f>$AJ276/$AI276*K276</f>
        <v>103533.50905872474</v>
      </c>
      <c r="AR276" s="33">
        <f>$AJ276/$AI276*L276</f>
        <v>93870.812677253532</v>
      </c>
      <c r="AS276" s="33">
        <f>$AJ276/$AI276*M276</f>
        <v>95256.675867273632</v>
      </c>
      <c r="AT276" s="33">
        <f>$AJ276/$AI276*N276</f>
        <v>83823.278424999691</v>
      </c>
      <c r="AU276" s="33">
        <f>$AJ276/$AI276*O276</f>
        <v>95728.23250881453</v>
      </c>
      <c r="AV276" s="33">
        <f>$AJ276/$AI276*P276</f>
        <v>109424.16532548354</v>
      </c>
      <c r="AW276" s="33">
        <f>$AJ276/$AI276*Q276</f>
        <v>125815.01319807362</v>
      </c>
      <c r="AX276" s="33">
        <f>$AJ276/$AI276*R276</f>
        <v>96632.790846361531</v>
      </c>
      <c r="AY276" s="33">
        <f>$AJ276/$AI276*S276</f>
        <v>90960.083477315464</v>
      </c>
      <c r="AZ276" s="33">
        <f>$AJ276/$AI276*T276</f>
        <v>86148.831330403074</v>
      </c>
      <c r="BA276" s="33">
        <f>$AJ276/$AI276*U276</f>
        <v>73410.074300182067</v>
      </c>
      <c r="BB276" s="33">
        <f>$AJ276/$AI276*V276</f>
        <v>104719.87478856991</v>
      </c>
      <c r="BC276" s="33">
        <f>$AJ276/$AI276*W276</f>
        <v>89257.216827654978</v>
      </c>
      <c r="BD276" s="33">
        <f>$AJ276/$AI276*X276</f>
        <v>106708.65910221312</v>
      </c>
      <c r="BE276" s="33">
        <f>$AJ276/$AI276*Y276</f>
        <v>84784.265916181772</v>
      </c>
      <c r="BF276" s="33">
        <f>$AJ276/$AI276*Z276</f>
        <v>87744.577134357911</v>
      </c>
      <c r="BG276" s="33">
        <f>$AJ276/$AI276*AA276</f>
        <v>73773.131711929396</v>
      </c>
      <c r="BH276" s="33">
        <f>$AJ276/$AI276*AB276</f>
        <v>86060.778960599506</v>
      </c>
      <c r="BI276" s="33">
        <f>$AJ276/$AI276*AC276</f>
        <v>79140.778299353071</v>
      </c>
      <c r="BJ276" s="33">
        <f>$AJ276/$AI276*AD276</f>
        <v>91512.58659523922</v>
      </c>
      <c r="BK276" s="33">
        <f>$AJ276/$AI276*AE276</f>
        <v>117842.14106664409</v>
      </c>
      <c r="BL276" s="33">
        <f>$AJ276/$AI276*AF276</f>
        <v>102984.45438907867</v>
      </c>
      <c r="BM276" s="33">
        <f>$AJ276/$AI276*AG276</f>
        <v>104291.26202673542</v>
      </c>
      <c r="BN276" s="33">
        <f>$AJ276/$AI276*AH276</f>
        <v>94261.47757968583</v>
      </c>
    </row>
    <row r="277" spans="1:66" x14ac:dyDescent="0.25">
      <c r="A277" s="1" t="s">
        <v>55</v>
      </c>
      <c r="B277" s="4">
        <v>59</v>
      </c>
      <c r="C277" s="4" t="s">
        <v>5</v>
      </c>
      <c r="D277" s="4" t="str">
        <f>A277&amp;C277</f>
        <v>OUTERING 2VEGES</v>
      </c>
      <c r="E277" s="2">
        <v>57784.2</v>
      </c>
      <c r="F277" s="2">
        <v>58330.17</v>
      </c>
      <c r="G277" s="2">
        <v>66950.06</v>
      </c>
      <c r="H277" s="2">
        <v>46566.87</v>
      </c>
      <c r="I277" s="2">
        <v>60892.31</v>
      </c>
      <c r="J277" s="2">
        <v>70611.78</v>
      </c>
      <c r="K277" s="2">
        <v>55561.63</v>
      </c>
      <c r="L277" s="2">
        <v>58737.81</v>
      </c>
      <c r="M277" s="2">
        <v>63518.37</v>
      </c>
      <c r="N277" s="2">
        <v>48524.7</v>
      </c>
      <c r="O277" s="2">
        <v>93334</v>
      </c>
      <c r="P277" s="2">
        <v>70476.5</v>
      </c>
      <c r="Q277" s="2">
        <v>82173.11</v>
      </c>
      <c r="R277" s="2">
        <v>66559.78</v>
      </c>
      <c r="S277" s="2">
        <v>42122.48</v>
      </c>
      <c r="T277" s="2">
        <v>49507.7</v>
      </c>
      <c r="U277" s="2">
        <v>44502.52</v>
      </c>
      <c r="V277" s="2">
        <v>57423.18</v>
      </c>
      <c r="W277" s="2">
        <v>68661.509999999995</v>
      </c>
      <c r="X277" s="2">
        <v>67911.320000000007</v>
      </c>
      <c r="Y277" s="2">
        <v>57801.3</v>
      </c>
      <c r="Z277" s="2">
        <v>62991.93</v>
      </c>
      <c r="AA277" s="2">
        <v>59426.49</v>
      </c>
      <c r="AB277" s="2">
        <v>64144.160000000003</v>
      </c>
      <c r="AC277" s="2">
        <v>64787.56</v>
      </c>
      <c r="AD277" s="2">
        <v>63429.32</v>
      </c>
      <c r="AE277" s="2">
        <v>101257.83</v>
      </c>
      <c r="AF277" s="2">
        <v>85119.57</v>
      </c>
      <c r="AG277" s="2">
        <v>118416.52</v>
      </c>
      <c r="AH277" s="2">
        <v>61790.03</v>
      </c>
      <c r="AI277" s="24">
        <f>SUM(E277:AH277)</f>
        <v>1969314.7100000002</v>
      </c>
      <c r="AJ277" s="26">
        <v>1832168.2681077311</v>
      </c>
      <c r="AK277" s="33">
        <f>$AJ277/$AI277*E277</f>
        <v>53760.009560884631</v>
      </c>
      <c r="AL277" s="33">
        <f>$AJ277/$AI277*F277</f>
        <v>54267.957277041576</v>
      </c>
      <c r="AM277" s="33">
        <f>$AJ277/$AI277*G277</f>
        <v>62287.543406360208</v>
      </c>
      <c r="AN277" s="33">
        <f>$AJ277/$AI277*H277</f>
        <v>43323.873592097356</v>
      </c>
      <c r="AO277" s="33">
        <f>$AJ277/$AI277*I277</f>
        <v>56651.665468836647</v>
      </c>
      <c r="AP277" s="33">
        <f>$AJ277/$AI277*J277</f>
        <v>65694.254967812696</v>
      </c>
      <c r="AQ277" s="33">
        <f>$AJ277/$AI277*K277</f>
        <v>51692.223133976659</v>
      </c>
      <c r="AR277" s="33">
        <f>$AJ277/$AI277*L277</f>
        <v>54647.208530799508</v>
      </c>
      <c r="AS277" s="33">
        <f>$AJ277/$AI277*M277</f>
        <v>59094.842162594752</v>
      </c>
      <c r="AT277" s="33">
        <f>$AJ277/$AI277*N277</f>
        <v>45145.356965036437</v>
      </c>
      <c r="AU277" s="33">
        <f>$AJ277/$AI277*O277</f>
        <v>86834.060735557578</v>
      </c>
      <c r="AV277" s="33">
        <f>$AJ277/$AI277*P277</f>
        <v>65568.396098201338</v>
      </c>
      <c r="AW277" s="33">
        <f>$AJ277/$AI277*Q277</f>
        <v>76450.434188716376</v>
      </c>
      <c r="AX277" s="33">
        <f>$AJ277/$AI277*R277</f>
        <v>61924.443172534666</v>
      </c>
      <c r="AY277" s="33">
        <f>$AJ277/$AI277*S277</f>
        <v>39188.998506999698</v>
      </c>
      <c r="AZ277" s="33">
        <f>$AJ277/$AI277*T277</f>
        <v>46059.899165124858</v>
      </c>
      <c r="BA277" s="33">
        <f>$AJ277/$AI277*U277</f>
        <v>41403.288453997098</v>
      </c>
      <c r="BB277" s="33">
        <f>$AJ277/$AI277*V277</f>
        <v>53424.131610654804</v>
      </c>
      <c r="BC277" s="33">
        <f>$AJ277/$AI277*W277</f>
        <v>63879.80510355383</v>
      </c>
      <c r="BD277" s="33">
        <f>$AJ277/$AI277*X277</f>
        <v>63181.859617201517</v>
      </c>
      <c r="BE277" s="33">
        <f>$AJ277/$AI277*Y277</f>
        <v>53775.918687661353</v>
      </c>
      <c r="BF277" s="33">
        <f>$AJ277/$AI277*Z277</f>
        <v>58605.064343861741</v>
      </c>
      <c r="BG277" s="33">
        <f>$AJ277/$AI277*AA277</f>
        <v>55287.927678670203</v>
      </c>
      <c r="BH277" s="33">
        <f>$AJ277/$AI277*AB277</f>
        <v>59677.051077542194</v>
      </c>
      <c r="BI277" s="33">
        <f>$AJ277/$AI277*AC277</f>
        <v>60275.64360199478</v>
      </c>
      <c r="BJ277" s="33">
        <f>$AJ277/$AI277*AD277</f>
        <v>59011.993756777993</v>
      </c>
      <c r="BK277" s="33">
        <f>$AJ277/$AI277*AE277</f>
        <v>94206.061672817668</v>
      </c>
      <c r="BL277" s="33">
        <f>$AJ277/$AI277*AF277</f>
        <v>79191.697678922428</v>
      </c>
      <c r="BM277" s="33">
        <f>$AJ277/$AI277*AG277</f>
        <v>110169.79117763482</v>
      </c>
      <c r="BN277" s="33">
        <f>$AJ277/$AI277*AH277</f>
        <v>57486.866713865522</v>
      </c>
    </row>
    <row r="278" spans="1:66" x14ac:dyDescent="0.25">
      <c r="A278" s="1" t="s">
        <v>85</v>
      </c>
      <c r="B278" s="4">
        <v>60</v>
      </c>
      <c r="C278" s="4" t="s">
        <v>5</v>
      </c>
      <c r="D278" s="4" t="str">
        <f>A278&amp;C278</f>
        <v>NAROK MORANVEGES</v>
      </c>
      <c r="E278" s="2">
        <v>153256.12</v>
      </c>
      <c r="F278" s="2">
        <v>194796.56</v>
      </c>
      <c r="G278" s="2">
        <v>183221.18</v>
      </c>
      <c r="H278" s="2">
        <v>210091.15</v>
      </c>
      <c r="I278" s="2">
        <v>221691.32</v>
      </c>
      <c r="J278" s="2">
        <v>154157.88</v>
      </c>
      <c r="K278" s="2">
        <v>216850.17</v>
      </c>
      <c r="L278" s="2">
        <v>196305.42</v>
      </c>
      <c r="M278" s="2">
        <v>195214.55</v>
      </c>
      <c r="N278" s="2">
        <v>175361.65</v>
      </c>
      <c r="O278" s="2">
        <v>182069.47</v>
      </c>
      <c r="P278" s="2">
        <v>185200.23</v>
      </c>
      <c r="Q278" s="2">
        <v>167763.32</v>
      </c>
      <c r="R278" s="2">
        <v>150378.67000000001</v>
      </c>
      <c r="S278" s="2">
        <v>153237.26999999999</v>
      </c>
      <c r="T278" s="2">
        <v>205578.94</v>
      </c>
      <c r="U278" s="2">
        <v>166882.63</v>
      </c>
      <c r="V278" s="2">
        <v>254730.1</v>
      </c>
      <c r="W278" s="2">
        <v>177219.26</v>
      </c>
      <c r="X278" s="2">
        <v>136515.56</v>
      </c>
      <c r="Y278" s="2">
        <v>138816.89000000001</v>
      </c>
      <c r="Z278" s="2">
        <v>112336.17</v>
      </c>
      <c r="AA278" s="2">
        <v>185758.46</v>
      </c>
      <c r="AB278" s="2">
        <v>164784.54</v>
      </c>
      <c r="AC278" s="2">
        <v>153470.9</v>
      </c>
      <c r="AD278" s="2">
        <v>192370.02</v>
      </c>
      <c r="AE278" s="2">
        <v>98480.86</v>
      </c>
      <c r="AF278" s="2">
        <v>191457.14</v>
      </c>
      <c r="AG278" s="2">
        <v>221733.37</v>
      </c>
      <c r="AH278" s="2">
        <v>211097.86</v>
      </c>
      <c r="AI278" s="24">
        <f>SUM(E278:AH278)</f>
        <v>5350827.66</v>
      </c>
      <c r="AJ278" s="26">
        <v>3937514.1271671955</v>
      </c>
      <c r="AK278" s="33">
        <f>$AJ278/$AI278*E278</f>
        <v>112776.59755067331</v>
      </c>
      <c r="AL278" s="33">
        <f>$AJ278/$AI278*F278</f>
        <v>143344.96561295944</v>
      </c>
      <c r="AM278" s="33">
        <f>$AJ278/$AI278*G278</f>
        <v>134826.98948413591</v>
      </c>
      <c r="AN278" s="33">
        <f>$AJ278/$AI278*H278</f>
        <v>154599.79720554152</v>
      </c>
      <c r="AO278" s="33">
        <f>$AJ278/$AI278*I278</f>
        <v>163136.01555433829</v>
      </c>
      <c r="AP278" s="33">
        <f>$AJ278/$AI278*J278</f>
        <v>113440.17577911401</v>
      </c>
      <c r="AQ278" s="33">
        <f>$AJ278/$AI278*K278</f>
        <v>159573.55798179604</v>
      </c>
      <c r="AR278" s="33">
        <f>$AJ278/$AI278*L278</f>
        <v>144455.29058386639</v>
      </c>
      <c r="AS278" s="33">
        <f>$AJ278/$AI278*M278</f>
        <v>143652.5519593331</v>
      </c>
      <c r="AT278" s="33">
        <f>$AJ278/$AI278*N278</f>
        <v>129043.39629550865</v>
      </c>
      <c r="AU278" s="33">
        <f>$AJ278/$AI278*O278</f>
        <v>133979.48052224203</v>
      </c>
      <c r="AV278" s="33">
        <f>$AJ278/$AI278*P278</f>
        <v>136283.31322104548</v>
      </c>
      <c r="AW278" s="33">
        <f>$AJ278/$AI278*Q278</f>
        <v>123452.01237904772</v>
      </c>
      <c r="AX278" s="33">
        <f>$AJ278/$AI278*R278</f>
        <v>110659.16810888538</v>
      </c>
      <c r="AY278" s="33">
        <f>$AJ278/$AI278*S278</f>
        <v>112762.72639914062</v>
      </c>
      <c r="AZ278" s="33">
        <f>$AJ278/$AI278*T278</f>
        <v>151279.39674627033</v>
      </c>
      <c r="BA278" s="33">
        <f>$AJ278/$AI278*U278</f>
        <v>122803.93893377909</v>
      </c>
      <c r="BB278" s="33">
        <f>$AJ278/$AI278*V278</f>
        <v>187448.26615565346</v>
      </c>
      <c r="BC278" s="33">
        <f>$AJ278/$AI278*W278</f>
        <v>130410.35596652281</v>
      </c>
      <c r="BD278" s="33">
        <f>$AJ278/$AI278*X278</f>
        <v>100457.71985826598</v>
      </c>
      <c r="BE278" s="33">
        <f>$AJ278/$AI278*Y278</f>
        <v>102151.19981352841</v>
      </c>
      <c r="BF278" s="33">
        <f>$AJ278/$AI278*Z278</f>
        <v>82664.829531597308</v>
      </c>
      <c r="BG278" s="33">
        <f>$AJ278/$AI278*AA278</f>
        <v>136694.09799134184</v>
      </c>
      <c r="BH278" s="33">
        <f>$AJ278/$AI278*AB278</f>
        <v>121260.01721923293</v>
      </c>
      <c r="BI278" s="33">
        <f>$AJ278/$AI278*AC278</f>
        <v>112934.64773243396</v>
      </c>
      <c r="BJ278" s="33">
        <f>$AJ278/$AI278*AD278</f>
        <v>141559.34736149508</v>
      </c>
      <c r="BK278" s="33">
        <f>$AJ278/$AI278*AE278</f>
        <v>72469.121067819025</v>
      </c>
      <c r="BL278" s="33">
        <f>$AJ278/$AI278*AF278</f>
        <v>140887.58625745529</v>
      </c>
      <c r="BM278" s="33">
        <f>$AJ278/$AI278*AG278</f>
        <v>163166.9588923727</v>
      </c>
      <c r="BN278" s="33">
        <f>$AJ278/$AI278*AH278</f>
        <v>155340.60500179944</v>
      </c>
    </row>
    <row r="279" spans="1:66" x14ac:dyDescent="0.25">
      <c r="A279" s="1" t="s">
        <v>66</v>
      </c>
      <c r="B279" s="4">
        <v>61</v>
      </c>
      <c r="C279" s="4" t="s">
        <v>5</v>
      </c>
      <c r="D279" s="4" t="str">
        <f>A279&amp;C279</f>
        <v>JOSKAVEGES</v>
      </c>
      <c r="E279" s="2">
        <v>84229.17</v>
      </c>
      <c r="F279" s="2">
        <v>81005.58</v>
      </c>
      <c r="G279" s="2">
        <v>96259.98</v>
      </c>
      <c r="H279" s="2">
        <v>99813.24</v>
      </c>
      <c r="I279" s="2">
        <v>103095.49</v>
      </c>
      <c r="J279" s="2">
        <v>134402.23000000001</v>
      </c>
      <c r="K279" s="2">
        <v>85276.52</v>
      </c>
      <c r="L279" s="2">
        <v>114742.44</v>
      </c>
      <c r="M279" s="2">
        <v>89270.86</v>
      </c>
      <c r="N279" s="2">
        <v>111796.14</v>
      </c>
      <c r="O279" s="2">
        <v>125418.42</v>
      </c>
      <c r="P279" s="2">
        <v>137437.04</v>
      </c>
      <c r="Q279" s="2">
        <v>125539.95</v>
      </c>
      <c r="R279" s="2">
        <v>83874.509999999995</v>
      </c>
      <c r="S279" s="2">
        <v>83246.87</v>
      </c>
      <c r="T279" s="2">
        <v>91985.32</v>
      </c>
      <c r="U279" s="2">
        <v>83041.63</v>
      </c>
      <c r="V279" s="2">
        <v>102842.45</v>
      </c>
      <c r="W279" s="2">
        <v>121516.96</v>
      </c>
      <c r="X279" s="2">
        <v>112267.41</v>
      </c>
      <c r="Y279" s="2">
        <v>97640.04</v>
      </c>
      <c r="Z279" s="2">
        <v>115175.96</v>
      </c>
      <c r="AA279" s="2">
        <v>87578.99</v>
      </c>
      <c r="AB279" s="2">
        <v>98373.88</v>
      </c>
      <c r="AC279" s="2">
        <v>92293.84</v>
      </c>
      <c r="AD279" s="2">
        <v>122486.72</v>
      </c>
      <c r="AE279" s="2">
        <v>128158.53</v>
      </c>
      <c r="AF279" s="2">
        <v>114094.67</v>
      </c>
      <c r="AG279" s="2">
        <v>149680.16</v>
      </c>
      <c r="AH279" s="2">
        <v>79173.34</v>
      </c>
      <c r="AI279" s="24">
        <f>SUM(E279:AH279)</f>
        <v>3151718.34</v>
      </c>
      <c r="AJ279" s="26">
        <v>2163996.4003969599</v>
      </c>
      <c r="AK279" s="33">
        <f>$AJ279/$AI279*E279</f>
        <v>57832.458686147569</v>
      </c>
      <c r="AL279" s="33">
        <f>$AJ279/$AI279*F279</f>
        <v>55619.114597679421</v>
      </c>
      <c r="AM279" s="33">
        <f>$AJ279/$AI279*G279</f>
        <v>66092.914325041915</v>
      </c>
      <c r="AN279" s="33">
        <f>$AJ279/$AI279*H279</f>
        <v>68532.61261663308</v>
      </c>
      <c r="AO279" s="33">
        <f>$AJ279/$AI279*I279</f>
        <v>70786.23315596176</v>
      </c>
      <c r="AP279" s="33">
        <f>$AJ279/$AI279*J279</f>
        <v>92281.704946173675</v>
      </c>
      <c r="AQ279" s="33">
        <f>$AJ279/$AI279*K279</f>
        <v>58551.578031677593</v>
      </c>
      <c r="AR279" s="33">
        <f>$AJ279/$AI279*L279</f>
        <v>78783.127280581844</v>
      </c>
      <c r="AS279" s="33">
        <f>$AJ279/$AI279*M279</f>
        <v>61294.125572255594</v>
      </c>
      <c r="AT279" s="33">
        <f>$AJ279/$AI279*N279</f>
        <v>76760.172845354755</v>
      </c>
      <c r="AU279" s="33">
        <f>$AJ279/$AI279*O279</f>
        <v>86113.34521201982</v>
      </c>
      <c r="AV279" s="33">
        <f>$AJ279/$AI279*P279</f>
        <v>94365.431094078347</v>
      </c>
      <c r="AW279" s="33">
        <f>$AJ279/$AI279*Q279</f>
        <v>86196.788735256821</v>
      </c>
      <c r="AX279" s="33">
        <f>$AJ279/$AI279*R279</f>
        <v>57588.946138206877</v>
      </c>
      <c r="AY279" s="33">
        <f>$AJ279/$AI279*S279</f>
        <v>57158.003219384649</v>
      </c>
      <c r="AZ279" s="33">
        <f>$AJ279/$AI279*T279</f>
        <v>63157.896707661537</v>
      </c>
      <c r="BA279" s="33">
        <f>$AJ279/$AI279*U279</f>
        <v>57017.083703963282</v>
      </c>
      <c r="BB279" s="33">
        <f>$AJ279/$AI279*V279</f>
        <v>70612.493757295684</v>
      </c>
      <c r="BC279" s="33">
        <f>$AJ279/$AI279*W279</f>
        <v>83434.569862985081</v>
      </c>
      <c r="BD279" s="33">
        <f>$AJ279/$AI279*X279</f>
        <v>77083.750803026909</v>
      </c>
      <c r="BE279" s="33">
        <f>$AJ279/$AI279*Y279</f>
        <v>67040.475163340627</v>
      </c>
      <c r="BF279" s="33">
        <f>$AJ279/$AI279*Z279</f>
        <v>79080.785769791924</v>
      </c>
      <c r="BG279" s="33">
        <f>$AJ279/$AI279*AA279</f>
        <v>60132.473357502291</v>
      </c>
      <c r="BH279" s="33">
        <f>$AJ279/$AI279*AB279</f>
        <v>67544.335898074729</v>
      </c>
      <c r="BI279" s="33">
        <f>$AJ279/$AI279*AC279</f>
        <v>63369.729142361415</v>
      </c>
      <c r="BJ279" s="33">
        <f>$AJ279/$AI279*AD279</f>
        <v>84100.415259959525</v>
      </c>
      <c r="BK279" s="33">
        <f>$AJ279/$AI279*AE279</f>
        <v>87994.727853811259</v>
      </c>
      <c r="BL279" s="33">
        <f>$AJ279/$AI279*AF279</f>
        <v>78338.362933941302</v>
      </c>
      <c r="BM279" s="33">
        <f>$AJ279/$AI279*AG279</f>
        <v>102771.66057003717</v>
      </c>
      <c r="BN279" s="33">
        <f>$AJ279/$AI279*AH279</f>
        <v>54361.083156753346</v>
      </c>
    </row>
    <row r="280" spans="1:66" x14ac:dyDescent="0.25">
      <c r="A280" s="1" t="s">
        <v>71</v>
      </c>
      <c r="B280" s="4">
        <v>62</v>
      </c>
      <c r="C280" s="4" t="s">
        <v>5</v>
      </c>
      <c r="D280" s="4" t="str">
        <f>A280&amp;C280</f>
        <v>CIRCLE MALLVEGES</v>
      </c>
      <c r="E280" s="2">
        <v>71849.81</v>
      </c>
      <c r="F280" s="2">
        <v>78118.37</v>
      </c>
      <c r="G280" s="2">
        <v>72993.11</v>
      </c>
      <c r="H280" s="2">
        <v>86377.89</v>
      </c>
      <c r="I280" s="2">
        <v>74720.87</v>
      </c>
      <c r="J280" s="2">
        <v>87581.32</v>
      </c>
      <c r="K280" s="2">
        <v>76300.97</v>
      </c>
      <c r="L280" s="2">
        <v>76290.17</v>
      </c>
      <c r="M280" s="2">
        <v>82329.070000000007</v>
      </c>
      <c r="N280" s="2">
        <v>82238.539999999994</v>
      </c>
      <c r="O280" s="2">
        <v>81919.320000000007</v>
      </c>
      <c r="P280" s="2">
        <v>80303.11</v>
      </c>
      <c r="Q280" s="2">
        <v>95615.15</v>
      </c>
      <c r="R280" s="2">
        <v>95857.89</v>
      </c>
      <c r="S280" s="2">
        <v>88593.7</v>
      </c>
      <c r="T280" s="2">
        <v>84898.6</v>
      </c>
      <c r="U280" s="2">
        <v>77853.02</v>
      </c>
      <c r="V280" s="2">
        <v>77008.34</v>
      </c>
      <c r="W280" s="2">
        <v>103834.35</v>
      </c>
      <c r="X280" s="2">
        <v>80853.16</v>
      </c>
      <c r="Y280" s="2">
        <v>101871.16</v>
      </c>
      <c r="Z280" s="2">
        <v>75385.119999999995</v>
      </c>
      <c r="AA280" s="2">
        <v>72193.17</v>
      </c>
      <c r="AB280" s="2">
        <v>80038.63</v>
      </c>
      <c r="AC280" s="2">
        <v>88676.61</v>
      </c>
      <c r="AD280" s="2">
        <v>89673.45</v>
      </c>
      <c r="AE280" s="2">
        <v>118380.37</v>
      </c>
      <c r="AF280" s="2">
        <v>80222.64</v>
      </c>
      <c r="AG280" s="2">
        <v>87025.94</v>
      </c>
      <c r="AH280" s="2">
        <v>95675.58</v>
      </c>
      <c r="AI280" s="24">
        <f>SUM(E280:AH280)</f>
        <v>2544679.4300000002</v>
      </c>
      <c r="AJ280" s="26">
        <v>1706089.9591865386</v>
      </c>
      <c r="AK280" s="33">
        <f>$AJ280/$AI280*E280</f>
        <v>48171.97717138796</v>
      </c>
      <c r="AL280" s="33">
        <f>$AJ280/$AI280*F280</f>
        <v>52374.756959079474</v>
      </c>
      <c r="AM280" s="33">
        <f>$AJ280/$AI280*G280</f>
        <v>48938.506985454944</v>
      </c>
      <c r="AN280" s="33">
        <f>$AJ280/$AI280*H280</f>
        <v>57912.38341747404</v>
      </c>
      <c r="AO280" s="33">
        <f>$AJ280/$AI280*I280</f>
        <v>50096.890219560046</v>
      </c>
      <c r="AP280" s="33">
        <f>$AJ280/$AI280*J280</f>
        <v>58719.227617721248</v>
      </c>
      <c r="AQ280" s="33">
        <f>$AJ280/$AI280*K280</f>
        <v>51156.274247555528</v>
      </c>
      <c r="AR280" s="33">
        <f>$AJ280/$AI280*L280</f>
        <v>51149.033346661694</v>
      </c>
      <c r="AS280" s="33">
        <f>$AJ280/$AI280*M280</f>
        <v>55197.836717753351</v>
      </c>
      <c r="AT280" s="33">
        <f>$AJ280/$AI280*N280</f>
        <v>55137.140536464547</v>
      </c>
      <c r="AU280" s="33">
        <f>$AJ280/$AI280*O280</f>
        <v>54923.118278748763</v>
      </c>
      <c r="AV280" s="33">
        <f>$AJ280/$AI280*P280</f>
        <v>53839.52416452398</v>
      </c>
      <c r="AW280" s="33">
        <f>$AJ280/$AI280*Q280</f>
        <v>64105.539361048213</v>
      </c>
      <c r="AX280" s="33">
        <f>$AJ280/$AI280*R280</f>
        <v>64268.28531317506</v>
      </c>
      <c r="AY280" s="33">
        <f>$AJ280/$AI280*S280</f>
        <v>59397.98162206405</v>
      </c>
      <c r="AZ280" s="33">
        <f>$AJ280/$AI280*T280</f>
        <v>56920.587835692233</v>
      </c>
      <c r="BA280" s="33">
        <f>$AJ280/$AI280*U280</f>
        <v>52196.852046840635</v>
      </c>
      <c r="BB280" s="33">
        <f>$AJ280/$AI280*V280</f>
        <v>51630.533142488232</v>
      </c>
      <c r="BC280" s="33">
        <f>$AJ280/$AI280*W280</f>
        <v>69616.133122772459</v>
      </c>
      <c r="BD280" s="33">
        <f>$AJ280/$AI280*X280</f>
        <v>54208.307269769793</v>
      </c>
      <c r="BE280" s="33">
        <f>$AJ280/$AI280*Y280</f>
        <v>68299.904953719582</v>
      </c>
      <c r="BF280" s="33">
        <f>$AJ280/$AI280*Z280</f>
        <v>50542.239147220316</v>
      </c>
      <c r="BG280" s="33">
        <f>$AJ280/$AI280*AA280</f>
        <v>48402.184183509045</v>
      </c>
      <c r="BH280" s="33">
        <f>$AJ280/$AI280*AB280</f>
        <v>53662.20254707936</v>
      </c>
      <c r="BI280" s="33">
        <f>$AJ280/$AI280*AC280</f>
        <v>59453.568945499974</v>
      </c>
      <c r="BJ280" s="33">
        <f>$AJ280/$AI280*AD280</f>
        <v>60121.90409800109</v>
      </c>
      <c r="BK280" s="33">
        <f>$AJ280/$AI280*AE280</f>
        <v>79368.567309787744</v>
      </c>
      <c r="BL280" s="33">
        <f>$AJ280/$AI280*AF280</f>
        <v>53785.572748327031</v>
      </c>
      <c r="BM280" s="33">
        <f>$AJ280/$AI280*AG280</f>
        <v>58346.870993793564</v>
      </c>
      <c r="BN280" s="33">
        <f>$AJ280/$AI280*AH280</f>
        <v>64146.054883364377</v>
      </c>
    </row>
    <row r="281" spans="1:66" x14ac:dyDescent="0.25">
      <c r="A281" s="1" t="s">
        <v>72</v>
      </c>
      <c r="B281" s="4">
        <v>63</v>
      </c>
      <c r="C281" s="4" t="s">
        <v>5</v>
      </c>
      <c r="D281" s="4" t="str">
        <f>A281&amp;C281</f>
        <v>BANANA RDVEGES</v>
      </c>
      <c r="E281" s="2">
        <v>48062.27</v>
      </c>
      <c r="F281" s="2">
        <v>41089.919999999998</v>
      </c>
      <c r="G281" s="2">
        <v>39356.69</v>
      </c>
      <c r="H281" s="2">
        <v>36061.86</v>
      </c>
      <c r="I281" s="2">
        <v>48276.42</v>
      </c>
      <c r="J281" s="2">
        <v>56928.35</v>
      </c>
      <c r="K281" s="2">
        <v>47750.81</v>
      </c>
      <c r="L281" s="2">
        <v>42917.18</v>
      </c>
      <c r="M281" s="2">
        <v>49035.12</v>
      </c>
      <c r="N281" s="2">
        <v>50897.83</v>
      </c>
      <c r="O281" s="2">
        <v>54894.93</v>
      </c>
      <c r="P281" s="2">
        <v>51182.53</v>
      </c>
      <c r="Q281" s="2">
        <v>48741.13</v>
      </c>
      <c r="R281" s="2">
        <v>45754.080000000002</v>
      </c>
      <c r="S281" s="2">
        <v>43053.89</v>
      </c>
      <c r="T281" s="2">
        <v>59797.23</v>
      </c>
      <c r="U281" s="2">
        <v>31726.98</v>
      </c>
      <c r="V281" s="2">
        <v>45908.93</v>
      </c>
      <c r="W281" s="2">
        <v>66653.2</v>
      </c>
      <c r="X281" s="2">
        <v>61005.56</v>
      </c>
      <c r="Y281" s="2">
        <v>48465.47</v>
      </c>
      <c r="Z281" s="2">
        <v>50873.32</v>
      </c>
      <c r="AA281" s="2">
        <v>54181.74</v>
      </c>
      <c r="AB281" s="2">
        <v>38240.480000000003</v>
      </c>
      <c r="AC281" s="2">
        <v>59992.32</v>
      </c>
      <c r="AD281" s="2">
        <v>70027.59</v>
      </c>
      <c r="AE281" s="2">
        <v>70246.679999999993</v>
      </c>
      <c r="AF281" s="2">
        <v>59825.16</v>
      </c>
      <c r="AG281" s="2">
        <v>77198.41</v>
      </c>
      <c r="AH281" s="2">
        <v>59626.73</v>
      </c>
      <c r="AI281" s="24">
        <f>SUM(E281:AH281)</f>
        <v>1557772.8099999998</v>
      </c>
      <c r="AJ281" s="26">
        <v>1645920.9797110036</v>
      </c>
      <c r="AK281" s="33">
        <f>$AJ281/$AI281*E281</f>
        <v>50781.922766731805</v>
      </c>
      <c r="AL281" s="33">
        <f>$AJ281/$AI281*F281</f>
        <v>43415.035201857689</v>
      </c>
      <c r="AM281" s="33">
        <f>$AJ281/$AI281*G281</f>
        <v>41583.728607371362</v>
      </c>
      <c r="AN281" s="33">
        <f>$AJ281/$AI281*H281</f>
        <v>38102.457277708592</v>
      </c>
      <c r="AO281" s="33">
        <f>$AJ281/$AI281*I281</f>
        <v>51008.190663784851</v>
      </c>
      <c r="AP281" s="33">
        <f>$AJ281/$AI281*J281</f>
        <v>60149.698982954338</v>
      </c>
      <c r="AQ281" s="33">
        <f>$AJ281/$AI281*K281</f>
        <v>50452.838483677217</v>
      </c>
      <c r="AR281" s="33">
        <f>$AJ281/$AI281*L281</f>
        <v>45345.692580186646</v>
      </c>
      <c r="AS281" s="33">
        <f>$AJ281/$AI281*M281</f>
        <v>51809.822480241288</v>
      </c>
      <c r="AT281" s="33">
        <f>$AJ281/$AI281*N281</f>
        <v>53777.935833123265</v>
      </c>
      <c r="AU281" s="33">
        <f>$AJ281/$AI281*O281</f>
        <v>58001.215829904599</v>
      </c>
      <c r="AV281" s="33">
        <f>$AJ281/$AI281*P281</f>
        <v>54078.745874173939</v>
      </c>
      <c r="AW281" s="33">
        <f>$AJ281/$AI281*Q281</f>
        <v>51499.196755027064</v>
      </c>
      <c r="AX281" s="33">
        <f>$AJ281/$AI281*R281</f>
        <v>48343.121471850347</v>
      </c>
      <c r="AY281" s="33">
        <f>$AJ281/$AI281*S281</f>
        <v>45490.138455536267</v>
      </c>
      <c r="AZ281" s="33">
        <f>$AJ281/$AI281*T281</f>
        <v>63180.917495667571</v>
      </c>
      <c r="BA281" s="33">
        <f>$AJ281/$AI281*U281</f>
        <v>33522.283653719329</v>
      </c>
      <c r="BB281" s="33">
        <f>$AJ281/$AI281*V281</f>
        <v>48506.733817676461</v>
      </c>
      <c r="BC281" s="33">
        <f>$AJ281/$AI281*W281</f>
        <v>70424.839579061256</v>
      </c>
      <c r="BD281" s="33">
        <f>$AJ281/$AI281*X281</f>
        <v>64457.622086123338</v>
      </c>
      <c r="BE281" s="33">
        <f>$AJ281/$AI281*Y281</f>
        <v>51207.938251633925</v>
      </c>
      <c r="BF281" s="33">
        <f>$AJ281/$AI281*Z281</f>
        <v>53752.038909673487</v>
      </c>
      <c r="BG281" s="33">
        <f>$AJ281/$AI281*AA281</f>
        <v>57247.669243403267</v>
      </c>
      <c r="BH281" s="33">
        <f>$AJ281/$AI281*AB281</f>
        <v>40404.356721452241</v>
      </c>
      <c r="BI281" s="33">
        <f>$AJ281/$AI281*AC281</f>
        <v>63387.046863101968</v>
      </c>
      <c r="BJ281" s="33">
        <f>$AJ281/$AI281*AD281</f>
        <v>73990.172892798451</v>
      </c>
      <c r="BK281" s="33">
        <f>$AJ281/$AI281*AE281</f>
        <v>74221.660324810364</v>
      </c>
      <c r="BL281" s="33">
        <f>$AJ281/$AI281*AF281</f>
        <v>63210.427943319643</v>
      </c>
      <c r="BM281" s="33">
        <f>$AJ281/$AI281*AG281</f>
        <v>81566.761085868333</v>
      </c>
      <c r="BN281" s="33">
        <f>$AJ281/$AI281*AH281</f>
        <v>63000.769578564861</v>
      </c>
    </row>
    <row r="282" spans="1:66" ht="24.75" x14ac:dyDescent="0.25">
      <c r="A282" s="1" t="s">
        <v>79</v>
      </c>
      <c r="B282" s="4">
        <v>64</v>
      </c>
      <c r="C282" s="4" t="s">
        <v>5</v>
      </c>
      <c r="D282" s="4" t="str">
        <f>A282&amp;C282</f>
        <v>NAKURU STATEHOUSEVEGES</v>
      </c>
      <c r="E282" s="2">
        <v>53436.93</v>
      </c>
      <c r="F282" s="2">
        <v>53138.13</v>
      </c>
      <c r="G282" s="2">
        <v>34663.769999999997</v>
      </c>
      <c r="H282" s="2">
        <v>38043.75</v>
      </c>
      <c r="I282" s="2">
        <v>64601.24</v>
      </c>
      <c r="J282" s="2">
        <v>41484.239999999998</v>
      </c>
      <c r="K282" s="2">
        <v>26664.86</v>
      </c>
      <c r="L282" s="2">
        <v>39546.620000000003</v>
      </c>
      <c r="M282" s="2">
        <v>39173.97</v>
      </c>
      <c r="N282" s="2">
        <v>38313.75</v>
      </c>
      <c r="O282" s="2">
        <v>47340.36</v>
      </c>
      <c r="P282" s="2">
        <v>48940.9</v>
      </c>
      <c r="Q282" s="2">
        <v>58431.81</v>
      </c>
      <c r="R282" s="2">
        <v>41971.34</v>
      </c>
      <c r="S282" s="2">
        <v>34057.14</v>
      </c>
      <c r="T282" s="2">
        <v>31172.57</v>
      </c>
      <c r="U282" s="2">
        <v>43669.65</v>
      </c>
      <c r="V282" s="2">
        <v>40378.019999999997</v>
      </c>
      <c r="W282" s="2">
        <v>58569.25</v>
      </c>
      <c r="X282" s="2">
        <v>42386.57</v>
      </c>
      <c r="Y282" s="2">
        <v>31757.279999999999</v>
      </c>
      <c r="Z282" s="2">
        <v>44687.49</v>
      </c>
      <c r="AA282" s="2">
        <v>31838.13</v>
      </c>
      <c r="AB282" s="2">
        <v>46804.61</v>
      </c>
      <c r="AC282" s="2">
        <v>30737</v>
      </c>
      <c r="AD282" s="2">
        <v>39795.61</v>
      </c>
      <c r="AE282" s="2">
        <v>43380.07</v>
      </c>
      <c r="AF282" s="2">
        <v>62942.96</v>
      </c>
      <c r="AG282" s="2">
        <v>39494.99</v>
      </c>
      <c r="AH282" s="2">
        <v>31996.95</v>
      </c>
      <c r="AI282" s="24">
        <f>SUM(E282:AH282)</f>
        <v>1279419.96</v>
      </c>
      <c r="AJ282" s="26">
        <v>3937514.1271671955</v>
      </c>
      <c r="AK282" s="33">
        <f>$AJ282/$AI282*E282</f>
        <v>164456.29532576975</v>
      </c>
      <c r="AL282" s="33">
        <f>$AJ282/$AI282*F282</f>
        <v>163536.71515820886</v>
      </c>
      <c r="AM282" s="33">
        <f>$AJ282/$AI282*G282</f>
        <v>106680.43984234419</v>
      </c>
      <c r="AN282" s="33">
        <f>$AJ282/$AI282*H282</f>
        <v>117082.59036025747</v>
      </c>
      <c r="AO282" s="33">
        <f>$AJ282/$AI282*I282</f>
        <v>198815.32497939028</v>
      </c>
      <c r="AP282" s="33">
        <f>$AJ282/$AI282*J282</f>
        <v>127670.96509483444</v>
      </c>
      <c r="AQ282" s="33">
        <f>$AJ282/$AI282*K282</f>
        <v>82063.174119102754</v>
      </c>
      <c r="AR282" s="33">
        <f>$AJ282/$AI282*L282</f>
        <v>121707.78931080048</v>
      </c>
      <c r="AS282" s="33">
        <f>$AJ282/$AI282*M282</f>
        <v>120560.93004225439</v>
      </c>
      <c r="AT282" s="33">
        <f>$AJ282/$AI282*N282</f>
        <v>117913.53629480046</v>
      </c>
      <c r="AU282" s="33">
        <f>$AJ282/$AI282*O282</f>
        <v>145693.62845111534</v>
      </c>
      <c r="AV282" s="33">
        <f>$AJ282/$AI282*P282</f>
        <v>150619.41439953542</v>
      </c>
      <c r="AW282" s="33">
        <f>$AJ282/$AI282*Q282</f>
        <v>179828.42580551066</v>
      </c>
      <c r="AX282" s="33">
        <f>$AJ282/$AI282*R282</f>
        <v>129170.05311230067</v>
      </c>
      <c r="AY282" s="33">
        <f>$AJ282/$AI282*S282</f>
        <v>104813.48898207824</v>
      </c>
      <c r="AZ282" s="33">
        <f>$AJ282/$AI282*T282</f>
        <v>95936.001150949931</v>
      </c>
      <c r="BA282" s="33">
        <f>$AJ282/$AI282*U282</f>
        <v>134396.73381635139</v>
      </c>
      <c r="BB282" s="33">
        <f>$AJ282/$AI282*V282</f>
        <v>124266.48727368578</v>
      </c>
      <c r="BC282" s="33">
        <f>$AJ282/$AI282*W282</f>
        <v>180251.4080619684</v>
      </c>
      <c r="BD282" s="33">
        <f>$AJ282/$AI282*X282</f>
        <v>130447.95563230172</v>
      </c>
      <c r="BE282" s="33">
        <f>$AJ282/$AI282*Y282</f>
        <v>97735.491511641128</v>
      </c>
      <c r="BF282" s="33">
        <f>$AJ282/$AI282*Z282</f>
        <v>137529.2153349263</v>
      </c>
      <c r="BG282" s="33">
        <f>$AJ282/$AI282*AA282</f>
        <v>97984.313655373728</v>
      </c>
      <c r="BH282" s="33">
        <f>$AJ282/$AI282*AB282</f>
        <v>144044.81628655459</v>
      </c>
      <c r="BI282" s="33">
        <f>$AJ282/$AI282*AC282</f>
        <v>94595.500703879981</v>
      </c>
      <c r="BJ282" s="33">
        <f>$AJ282/$AI282*AD282</f>
        <v>122474.07534132586</v>
      </c>
      <c r="BK282" s="33">
        <f>$AJ282/$AI282*AE282</f>
        <v>133505.52891366635</v>
      </c>
      <c r="BL282" s="33">
        <f>$AJ282/$AI282*AF282</f>
        <v>193711.83970407944</v>
      </c>
      <c r="BM282" s="33">
        <f>$AJ282/$AI282*AG282</f>
        <v>121548.89398265064</v>
      </c>
      <c r="BN282" s="33">
        <f>$AJ282/$AI282*AH282</f>
        <v>98473.094519537131</v>
      </c>
    </row>
    <row r="283" spans="1:66" ht="24.75" x14ac:dyDescent="0.25">
      <c r="A283" s="1" t="s">
        <v>86</v>
      </c>
      <c r="B283" s="4">
        <v>65</v>
      </c>
      <c r="C283" s="4" t="s">
        <v>5</v>
      </c>
      <c r="D283" s="4" t="str">
        <f>A283&amp;C283</f>
        <v>KITENGELA TOWNVEGES</v>
      </c>
      <c r="E283" s="2">
        <v>41324.69</v>
      </c>
      <c r="F283" s="2">
        <v>44320.07</v>
      </c>
      <c r="G283" s="2">
        <v>36129.06</v>
      </c>
      <c r="H283" s="2">
        <v>46442.66</v>
      </c>
      <c r="I283" s="2">
        <v>47212.81</v>
      </c>
      <c r="J283" s="2">
        <v>51320.08</v>
      </c>
      <c r="K283" s="2">
        <v>42696.85</v>
      </c>
      <c r="L283" s="2">
        <v>44505.27</v>
      </c>
      <c r="M283" s="2">
        <v>50375.54</v>
      </c>
      <c r="N283" s="2">
        <v>40431.49</v>
      </c>
      <c r="O283" s="2">
        <v>50579.46</v>
      </c>
      <c r="P283" s="2">
        <v>50223.11</v>
      </c>
      <c r="Q283" s="2">
        <v>49601.85</v>
      </c>
      <c r="R283" s="2">
        <v>43572.27</v>
      </c>
      <c r="S283" s="2">
        <v>34847.82</v>
      </c>
      <c r="T283" s="2">
        <v>37715.08</v>
      </c>
      <c r="U283" s="2">
        <v>42432.18</v>
      </c>
      <c r="V283" s="2">
        <v>38265.22</v>
      </c>
      <c r="W283" s="2">
        <v>43355.12</v>
      </c>
      <c r="X283" s="2">
        <v>54867.37</v>
      </c>
      <c r="Y283" s="2">
        <v>37585.82</v>
      </c>
      <c r="Z283" s="2">
        <v>37597.75</v>
      </c>
      <c r="AA283" s="2">
        <v>39640.97</v>
      </c>
      <c r="AB283" s="2">
        <v>40047.199999999997</v>
      </c>
      <c r="AC283" s="2">
        <v>39017.94</v>
      </c>
      <c r="AD283" s="2">
        <v>52748.89</v>
      </c>
      <c r="AE283" s="2">
        <v>51521.07</v>
      </c>
      <c r="AF283" s="2">
        <v>61806.25</v>
      </c>
      <c r="AG283" s="2">
        <v>56129.97</v>
      </c>
      <c r="AH283" s="2">
        <v>33734.120000000003</v>
      </c>
      <c r="AI283" s="24">
        <f>SUM(E283:AH283)</f>
        <v>1340047.9799999997</v>
      </c>
      <c r="AJ283" s="26">
        <v>1318830.0902630433</v>
      </c>
      <c r="AK283" s="33">
        <f>$AJ283/$AI283*E283</f>
        <v>40670.368118305953</v>
      </c>
      <c r="AL283" s="33">
        <f>$AJ283/$AI283*F283</f>
        <v>43618.320232507205</v>
      </c>
      <c r="AM283" s="33">
        <f>$AJ283/$AI283*G283</f>
        <v>35557.004056615129</v>
      </c>
      <c r="AN283" s="33">
        <f>$AJ283/$AI283*H283</f>
        <v>45707.301823518173</v>
      </c>
      <c r="AO283" s="33">
        <f>$AJ283/$AI283*I283</f>
        <v>46465.257515534569</v>
      </c>
      <c r="AP283" s="33">
        <f>$AJ283/$AI283*J283</f>
        <v>50507.49432024562</v>
      </c>
      <c r="AQ283" s="33">
        <f>$AJ283/$AI283*K283</f>
        <v>42020.80177714803</v>
      </c>
      <c r="AR283" s="33">
        <f>$AJ283/$AI283*L283</f>
        <v>43800.587835131933</v>
      </c>
      <c r="AS283" s="33">
        <f>$AJ283/$AI283*M283</f>
        <v>49577.909863533067</v>
      </c>
      <c r="AT283" s="33">
        <f>$AJ283/$AI283*N283</f>
        <v>39791.310760506756</v>
      </c>
      <c r="AU283" s="33">
        <f>$AJ283/$AI283*O283</f>
        <v>49778.601059684443</v>
      </c>
      <c r="AV283" s="33">
        <f>$AJ283/$AI283*P283</f>
        <v>49427.893391243175</v>
      </c>
      <c r="AW283" s="33">
        <f>$AJ283/$AI283*Q283</f>
        <v>48816.470222740791</v>
      </c>
      <c r="AX283" s="33">
        <f>$AJ283/$AI283*R283</f>
        <v>42882.360657762198</v>
      </c>
      <c r="AY283" s="33">
        <f>$AJ283/$AI283*S283</f>
        <v>34296.050799666365</v>
      </c>
      <c r="AZ283" s="33">
        <f>$AJ283/$AI283*T283</f>
        <v>37117.911524838019</v>
      </c>
      <c r="BA283" s="33">
        <f>$AJ283/$AI283*U283</f>
        <v>41760.322477003931</v>
      </c>
      <c r="BB283" s="33">
        <f>$AJ283/$AI283*V283</f>
        <v>37659.340784600281</v>
      </c>
      <c r="BC283" s="33">
        <f>$AJ283/$AI283*W283</f>
        <v>42668.64894118574</v>
      </c>
      <c r="BD283" s="33">
        <f>$AJ283/$AI283*X283</f>
        <v>53998.617668597071</v>
      </c>
      <c r="BE283" s="33">
        <f>$AJ283/$AI283*Y283</f>
        <v>36990.698186202637</v>
      </c>
      <c r="BF283" s="33">
        <f>$AJ283/$AI283*Z283</f>
        <v>37002.439290410592</v>
      </c>
      <c r="BG283" s="33">
        <f>$AJ283/$AI283*AA283</f>
        <v>39013.307600534274</v>
      </c>
      <c r="BH283" s="33">
        <f>$AJ283/$AI283*AB283</f>
        <v>39413.105485060434</v>
      </c>
      <c r="BI283" s="33">
        <f>$AJ283/$AI283*AC283</f>
        <v>38400.14245764396</v>
      </c>
      <c r="BJ283" s="33">
        <f>$AJ283/$AI283*AD283</f>
        <v>51913.681001164863</v>
      </c>
      <c r="BK283" s="33">
        <f>$AJ283/$AI283*AE283</f>
        <v>50705.301909076858</v>
      </c>
      <c r="BL283" s="33">
        <f>$AJ283/$AI283*AF283</f>
        <v>60827.629669140828</v>
      </c>
      <c r="BM283" s="33">
        <f>$AJ283/$AI283*AG283</f>
        <v>55241.22606532486</v>
      </c>
      <c r="BN283" s="33">
        <f>$AJ283/$AI283*AH283</f>
        <v>33199.984768115799</v>
      </c>
    </row>
    <row r="284" spans="1:66" x14ac:dyDescent="0.25">
      <c r="A284" s="1" t="s">
        <v>87</v>
      </c>
      <c r="B284" s="4">
        <v>66</v>
      </c>
      <c r="C284" s="4" t="s">
        <v>5</v>
      </c>
      <c r="D284" s="4" t="str">
        <f>A284&amp;C284</f>
        <v>LIKONI FERRYVEGES</v>
      </c>
      <c r="E284" s="2">
        <v>45403.37</v>
      </c>
      <c r="F284" s="2">
        <v>50154.64</v>
      </c>
      <c r="G284" s="2">
        <v>41081.96</v>
      </c>
      <c r="H284" s="2">
        <v>67132.460000000006</v>
      </c>
      <c r="I284" s="2">
        <v>54067.69</v>
      </c>
      <c r="J284" s="2">
        <v>69168.86</v>
      </c>
      <c r="K284" s="2">
        <v>58166.64</v>
      </c>
      <c r="L284" s="2">
        <v>36971.99</v>
      </c>
      <c r="M284" s="2">
        <v>61107.56</v>
      </c>
      <c r="N284" s="2">
        <v>43249.94</v>
      </c>
      <c r="O284" s="2">
        <v>46806.37</v>
      </c>
      <c r="P284" s="2">
        <v>61170.11</v>
      </c>
      <c r="Q284" s="2">
        <v>67396.240000000005</v>
      </c>
      <c r="R284" s="2">
        <v>46580.42</v>
      </c>
      <c r="S284" s="2">
        <v>43017.93</v>
      </c>
      <c r="T284" s="2">
        <v>51961.86</v>
      </c>
      <c r="U284" s="2">
        <v>48845.93</v>
      </c>
      <c r="V284" s="2">
        <v>51292.54</v>
      </c>
      <c r="W284" s="2">
        <v>54339.02</v>
      </c>
      <c r="X284" s="2">
        <v>61844.639999999999</v>
      </c>
      <c r="Y284" s="2">
        <v>57953.760000000002</v>
      </c>
      <c r="Z284" s="2">
        <v>38559.39</v>
      </c>
      <c r="AA284" s="2">
        <v>52077.45</v>
      </c>
      <c r="AB284" s="2">
        <v>42196.01</v>
      </c>
      <c r="AC284" s="2">
        <v>56766.14</v>
      </c>
      <c r="AD284" s="2">
        <v>60200.800000000003</v>
      </c>
      <c r="AE284" s="2">
        <v>55251.73</v>
      </c>
      <c r="AF284" s="2">
        <v>60613.88</v>
      </c>
      <c r="AG284" s="2">
        <v>65004.45</v>
      </c>
      <c r="AH284" s="2">
        <v>50887.83</v>
      </c>
      <c r="AI284" s="24">
        <f>SUM(E284:AH284)</f>
        <v>1599271.6099999999</v>
      </c>
      <c r="AJ284" s="26">
        <v>2837171.1906900634</v>
      </c>
      <c r="AK284" s="33">
        <f>$AJ284/$AI284*E284</f>
        <v>80547.377017617124</v>
      </c>
      <c r="AL284" s="33">
        <f>$AJ284/$AI284*F284</f>
        <v>88976.318217411172</v>
      </c>
      <c r="AM284" s="33">
        <f>$AJ284/$AI284*G284</f>
        <v>72881.024486567083</v>
      </c>
      <c r="AN284" s="33">
        <f>$AJ284/$AI284*H284</f>
        <v>119095.64346743646</v>
      </c>
      <c r="AO284" s="33">
        <f>$AJ284/$AI284*I284</f>
        <v>95918.223931431668</v>
      </c>
      <c r="AP284" s="33">
        <f>$AJ284/$AI284*J284</f>
        <v>122708.29773866512</v>
      </c>
      <c r="AQ284" s="33">
        <f>$AJ284/$AI284*K284</f>
        <v>103189.92360981152</v>
      </c>
      <c r="AR284" s="33">
        <f>$AJ284/$AI284*L284</f>
        <v>65589.774891634021</v>
      </c>
      <c r="AS284" s="33">
        <f>$AJ284/$AI284*M284</f>
        <v>108407.2321932636</v>
      </c>
      <c r="AT284" s="33">
        <f>$AJ284/$AI284*N284</f>
        <v>76727.106890288531</v>
      </c>
      <c r="AU284" s="33">
        <f>$AJ284/$AI284*O284</f>
        <v>83036.354596940349</v>
      </c>
      <c r="AV284" s="33">
        <f>$AJ284/$AI284*P284</f>
        <v>108518.19837115859</v>
      </c>
      <c r="AW284" s="33">
        <f>$AJ284/$AI284*Q284</f>
        <v>119563.59963698305</v>
      </c>
      <c r="AX284" s="33">
        <f>$AJ284/$AI284*R284</f>
        <v>82635.510346015115</v>
      </c>
      <c r="AY284" s="33">
        <f>$AJ284/$AI284*S284</f>
        <v>76315.511959298659</v>
      </c>
      <c r="AZ284" s="33">
        <f>$AJ284/$AI284*T284</f>
        <v>92182.398089759372</v>
      </c>
      <c r="BA284" s="33">
        <f>$AJ284/$AI284*U284</f>
        <v>86654.614833351225</v>
      </c>
      <c r="BB284" s="33">
        <f>$AJ284/$AI284*V284</f>
        <v>90994.997894896485</v>
      </c>
      <c r="BC284" s="33">
        <f>$AJ284/$AI284*W284</f>
        <v>96399.574100068698</v>
      </c>
      <c r="BD284" s="33">
        <f>$AJ284/$AI284*X284</f>
        <v>109714.84131241369</v>
      </c>
      <c r="BE284" s="33">
        <f>$AJ284/$AI284*Y284</f>
        <v>102812.2660566495</v>
      </c>
      <c r="BF284" s="33">
        <f>$AJ284/$AI284*Z284</f>
        <v>68405.885375894679</v>
      </c>
      <c r="BG284" s="33">
        <f>$AJ284/$AI284*AA284</f>
        <v>92387.459328814235</v>
      </c>
      <c r="BH284" s="33">
        <f>$AJ284/$AI284*AB284</f>
        <v>74857.393319243522</v>
      </c>
      <c r="BI284" s="33">
        <f>$AJ284/$AI284*AC284</f>
        <v>100705.38112952486</v>
      </c>
      <c r="BJ284" s="33">
        <f>$AJ284/$AI284*AD284</f>
        <v>106798.60403230342</v>
      </c>
      <c r="BK284" s="33">
        <f>$AJ284/$AI284*AE284</f>
        <v>98018.757796735925</v>
      </c>
      <c r="BL284" s="33">
        <f>$AJ284/$AI284*AF284</f>
        <v>107531.42431631399</v>
      </c>
      <c r="BM284" s="33">
        <f>$AJ284/$AI284*AG284</f>
        <v>115320.4694271117</v>
      </c>
      <c r="BN284" s="33">
        <f>$AJ284/$AI284*AH284</f>
        <v>90277.026322460355</v>
      </c>
    </row>
    <row r="285" spans="1:66" x14ac:dyDescent="0.25">
      <c r="A285" s="1" t="s">
        <v>92</v>
      </c>
      <c r="B285" s="4">
        <v>67</v>
      </c>
      <c r="C285" s="4" t="s">
        <v>5</v>
      </c>
      <c r="D285" s="4" t="str">
        <f>A285&amp;C285</f>
        <v>ELGON VIEWVEGES</v>
      </c>
      <c r="E285" s="2">
        <v>145433.07</v>
      </c>
      <c r="F285" s="2">
        <v>114145.07</v>
      </c>
      <c r="G285" s="2">
        <v>127153.99</v>
      </c>
      <c r="H285" s="2">
        <v>109007.49</v>
      </c>
      <c r="I285" s="2">
        <v>140469.65</v>
      </c>
      <c r="J285" s="2">
        <v>150030.97</v>
      </c>
      <c r="K285" s="2">
        <v>136947.67000000001</v>
      </c>
      <c r="L285" s="2">
        <v>127336.97</v>
      </c>
      <c r="M285" s="2">
        <v>103155.75</v>
      </c>
      <c r="N285" s="2">
        <v>131834.79</v>
      </c>
      <c r="O285" s="2">
        <v>130620.21</v>
      </c>
      <c r="P285" s="2">
        <v>164063.6</v>
      </c>
      <c r="Q285" s="2">
        <v>167191.44</v>
      </c>
      <c r="R285" s="2">
        <v>91143.14</v>
      </c>
      <c r="S285" s="2">
        <v>144416.32999999999</v>
      </c>
      <c r="T285" s="2">
        <v>111647.46</v>
      </c>
      <c r="U285" s="2">
        <v>146289.91</v>
      </c>
      <c r="V285" s="2">
        <v>134964.57999999999</v>
      </c>
      <c r="W285" s="2">
        <v>153670.53</v>
      </c>
      <c r="X285" s="2">
        <v>153174.79</v>
      </c>
      <c r="Y285" s="2">
        <v>139512.70000000001</v>
      </c>
      <c r="Z285" s="2">
        <v>115067.8</v>
      </c>
      <c r="AA285" s="2">
        <v>129350.08</v>
      </c>
      <c r="AB285" s="2">
        <v>135693.65</v>
      </c>
      <c r="AC285" s="2">
        <v>156039.67000000001</v>
      </c>
      <c r="AD285" s="2">
        <v>154485.97</v>
      </c>
      <c r="AE285" s="2">
        <v>155963.51999999999</v>
      </c>
      <c r="AF285" s="2">
        <v>172907.32</v>
      </c>
      <c r="AG285" s="2">
        <v>156776.07</v>
      </c>
      <c r="AH285" s="2">
        <v>97845.49</v>
      </c>
      <c r="AI285" s="24">
        <f>SUM(E285:AH285)</f>
        <v>4096339.68</v>
      </c>
      <c r="AJ285" s="26">
        <v>4267561.9334498104</v>
      </c>
      <c r="AK285" s="33">
        <f>$AJ285/$AI285*E285</f>
        <v>151512.00385724401</v>
      </c>
      <c r="AL285" s="33">
        <f>$AJ285/$AI285*F285</f>
        <v>118916.20170106694</v>
      </c>
      <c r="AM285" s="33">
        <f>$AJ285/$AI285*G285</f>
        <v>132468.8794876156</v>
      </c>
      <c r="AN285" s="33">
        <f>$AJ285/$AI285*H285</f>
        <v>113563.87680840738</v>
      </c>
      <c r="AO285" s="33">
        <f>$AJ285/$AI285*I285</f>
        <v>146341.11865083859</v>
      </c>
      <c r="AP285" s="33">
        <f>$AJ285/$AI285*J285</f>
        <v>156302.09075106549</v>
      </c>
      <c r="AQ285" s="33">
        <f>$AJ285/$AI285*K285</f>
        <v>142671.92396667815</v>
      </c>
      <c r="AR285" s="33">
        <f>$AJ285/$AI285*L285</f>
        <v>132659.50783965274</v>
      </c>
      <c r="AS285" s="33">
        <f>$AJ285/$AI285*M285</f>
        <v>107467.54085502628</v>
      </c>
      <c r="AT285" s="33">
        <f>$AJ285/$AI285*N285</f>
        <v>137345.33150540627</v>
      </c>
      <c r="AU285" s="33">
        <f>$AJ285/$AI285*O285</f>
        <v>136079.9834683681</v>
      </c>
      <c r="AV285" s="33">
        <f>$AJ285/$AI285*P285</f>
        <v>170921.26842975491</v>
      </c>
      <c r="AW285" s="33">
        <f>$AJ285/$AI285*Q285</f>
        <v>174179.84851848468</v>
      </c>
      <c r="AX285" s="33">
        <f>$AJ285/$AI285*R285</f>
        <v>94952.81767235836</v>
      </c>
      <c r="AY285" s="33">
        <f>$AJ285/$AI285*S285</f>
        <v>150452.76530302921</v>
      </c>
      <c r="AZ285" s="33">
        <f>$AJ285/$AI285*T285</f>
        <v>116314.1944962827</v>
      </c>
      <c r="BA285" s="33">
        <f>$AJ285/$AI285*U285</f>
        <v>152404.65877668592</v>
      </c>
      <c r="BB285" s="33">
        <f>$AJ285/$AI285*V285</f>
        <v>140605.94310187714</v>
      </c>
      <c r="BC285" s="33">
        <f>$AJ285/$AI285*W285</f>
        <v>160093.78014302201</v>
      </c>
      <c r="BD285" s="33">
        <f>$AJ285/$AI285*X285</f>
        <v>159577.31878528412</v>
      </c>
      <c r="BE285" s="33">
        <f>$AJ285/$AI285*Y285</f>
        <v>145344.16924936348</v>
      </c>
      <c r="BF285" s="33">
        <f>$AJ285/$AI285*Z285</f>
        <v>119877.5007461823</v>
      </c>
      <c r="BG285" s="33">
        <f>$AJ285/$AI285*AA285</f>
        <v>134756.76350567874</v>
      </c>
      <c r="BH285" s="33">
        <f>$AJ285/$AI285*AB285</f>
        <v>141365.48738332704</v>
      </c>
      <c r="BI285" s="33">
        <f>$AJ285/$AI285*AC285</f>
        <v>162561.9474506251</v>
      </c>
      <c r="BJ285" s="33">
        <f>$AJ285/$AI285*AD285</f>
        <v>160943.30459042144</v>
      </c>
      <c r="BK285" s="33">
        <f>$AJ285/$AI285*AE285</f>
        <v>162482.61446883678</v>
      </c>
      <c r="BL285" s="33">
        <f>$AJ285/$AI285*AF285</f>
        <v>180134.64568124514</v>
      </c>
      <c r="BM285" s="33">
        <f>$AJ285/$AI285*AG285</f>
        <v>163329.12811758395</v>
      </c>
      <c r="BN285" s="33">
        <f>$AJ285/$AI285*AH285</f>
        <v>101935.31813839816</v>
      </c>
    </row>
    <row r="286" spans="1:66" ht="24.75" x14ac:dyDescent="0.25">
      <c r="A286" s="1" t="s">
        <v>93</v>
      </c>
      <c r="B286" s="4">
        <v>68</v>
      </c>
      <c r="C286" s="4" t="s">
        <v>5</v>
      </c>
      <c r="D286" s="4" t="str">
        <f>A286&amp;C286</f>
        <v>NGONG RD ADAMSVEGES</v>
      </c>
      <c r="E286" s="2">
        <v>107866.03</v>
      </c>
      <c r="F286" s="2">
        <v>125032.32000000001</v>
      </c>
      <c r="G286" s="2">
        <v>110703.19</v>
      </c>
      <c r="H286" s="2">
        <v>114734.78</v>
      </c>
      <c r="I286" s="2">
        <v>117351.43</v>
      </c>
      <c r="J286" s="2">
        <v>137935.34</v>
      </c>
      <c r="K286" s="2">
        <v>107175.05</v>
      </c>
      <c r="L286" s="2">
        <v>108828.08</v>
      </c>
      <c r="M286" s="2">
        <v>120054.13</v>
      </c>
      <c r="N286" s="2">
        <v>108734.51</v>
      </c>
      <c r="O286" s="2">
        <v>133423.56</v>
      </c>
      <c r="P286" s="2">
        <v>129009.7</v>
      </c>
      <c r="Q286" s="2">
        <v>120505.68</v>
      </c>
      <c r="R286" s="2">
        <v>112566.93</v>
      </c>
      <c r="S286" s="2">
        <v>106430.82</v>
      </c>
      <c r="T286" s="2">
        <v>102066.4</v>
      </c>
      <c r="U286" s="2">
        <v>106303.29</v>
      </c>
      <c r="V286" s="2">
        <v>141006.48000000001</v>
      </c>
      <c r="W286" s="2">
        <v>127684.98</v>
      </c>
      <c r="X286" s="2">
        <v>145493.46</v>
      </c>
      <c r="Y286" s="2">
        <v>98586.63</v>
      </c>
      <c r="Z286" s="2">
        <v>137907.5</v>
      </c>
      <c r="AA286" s="2">
        <v>119427.22</v>
      </c>
      <c r="AB286" s="2">
        <v>98672.76</v>
      </c>
      <c r="AC286" s="2">
        <v>125938.6</v>
      </c>
      <c r="AD286" s="2">
        <v>134885.25</v>
      </c>
      <c r="AE286" s="2">
        <v>137769.29999999999</v>
      </c>
      <c r="AF286" s="2">
        <v>124251.29</v>
      </c>
      <c r="AG286" s="2">
        <v>114783.7</v>
      </c>
      <c r="AH286" s="2">
        <v>103009.15</v>
      </c>
      <c r="AI286" s="24">
        <f>SUM(E286:AH286)</f>
        <v>3578137.56</v>
      </c>
      <c r="AJ286" s="26">
        <v>4414410.714278779</v>
      </c>
      <c r="AK286" s="33">
        <f>$AJ286/$AI286*E286</f>
        <v>133076.20250874764</v>
      </c>
      <c r="AL286" s="33">
        <f>$AJ286/$AI286*F286</f>
        <v>154254.55388001708</v>
      </c>
      <c r="AM286" s="33">
        <f>$AJ286/$AI286*G286</f>
        <v>136576.4562838214</v>
      </c>
      <c r="AN286" s="33">
        <f>$AJ286/$AI286*H286</f>
        <v>141550.29918201873</v>
      </c>
      <c r="AO286" s="33">
        <f>$AJ286/$AI286*I286</f>
        <v>144778.50592416467</v>
      </c>
      <c r="AP286" s="33">
        <f>$AJ286/$AI286*J286</f>
        <v>170173.23469634471</v>
      </c>
      <c r="AQ286" s="33">
        <f>$AJ286/$AI286*K286</f>
        <v>132223.728431325</v>
      </c>
      <c r="AR286" s="33">
        <f>$AJ286/$AI286*L286</f>
        <v>134263.10037291804</v>
      </c>
      <c r="AS286" s="33">
        <f>$AJ286/$AI286*M286</f>
        <v>148112.87405211368</v>
      </c>
      <c r="AT286" s="33">
        <f>$AJ286/$AI286*N286</f>
        <v>134147.6614319582</v>
      </c>
      <c r="AU286" s="33">
        <f>$AJ286/$AI286*O286</f>
        <v>164606.97302012544</v>
      </c>
      <c r="AV286" s="33">
        <f>$AJ286/$AI286*P286</f>
        <v>159161.51695573464</v>
      </c>
      <c r="AW286" s="33">
        <f>$AJ286/$AI286*Q286</f>
        <v>148669.95916262368</v>
      </c>
      <c r="AX286" s="33">
        <f>$AJ286/$AI286*R286</f>
        <v>138875.78482741991</v>
      </c>
      <c r="AY286" s="33">
        <f>$AJ286/$AI286*S286</f>
        <v>131305.55890016598</v>
      </c>
      <c r="AZ286" s="33">
        <f>$AJ286/$AI286*T286</f>
        <v>125921.09782606109</v>
      </c>
      <c r="BA286" s="33">
        <f>$AJ286/$AI286*U286</f>
        <v>131148.22291490776</v>
      </c>
      <c r="BB286" s="33">
        <f>$AJ286/$AI286*V286</f>
        <v>173962.15367827736</v>
      </c>
      <c r="BC286" s="33">
        <f>$AJ286/$AI286*W286</f>
        <v>157527.18678721553</v>
      </c>
      <c r="BD286" s="33">
        <f>$AJ286/$AI286*X286</f>
        <v>179497.81916195835</v>
      </c>
      <c r="BE286" s="33">
        <f>$AJ286/$AI286*Y286</f>
        <v>121628.0448861887</v>
      </c>
      <c r="BF286" s="33">
        <f>$AJ286/$AI286*Z286</f>
        <v>170138.88800278565</v>
      </c>
      <c r="BG286" s="33">
        <f>$AJ286/$AI286*AA286</f>
        <v>147339.44425113965</v>
      </c>
      <c r="BH286" s="33">
        <f>$AJ286/$AI286*AB286</f>
        <v>121734.30496938706</v>
      </c>
      <c r="BI286" s="33">
        <f>$AJ286/$AI286*AC286</f>
        <v>155372.64732249966</v>
      </c>
      <c r="BJ286" s="33">
        <f>$AJ286/$AI286*AD286</f>
        <v>166410.28546654637</v>
      </c>
      <c r="BK286" s="33">
        <f>$AJ286/$AI286*AE286</f>
        <v>169968.38825243132</v>
      </c>
      <c r="BL286" s="33">
        <f>$AJ286/$AI286*AF286</f>
        <v>153290.98354702708</v>
      </c>
      <c r="BM286" s="33">
        <f>$AJ286/$AI286*AG286</f>
        <v>141610.65263923531</v>
      </c>
      <c r="BN286" s="33">
        <f>$AJ286/$AI286*AH286</f>
        <v>127084.18494361905</v>
      </c>
    </row>
    <row r="287" spans="1:66" x14ac:dyDescent="0.25">
      <c r="A287" s="1" t="s">
        <v>94</v>
      </c>
      <c r="B287" s="4">
        <v>69</v>
      </c>
      <c r="C287" s="4" t="s">
        <v>5</v>
      </c>
      <c r="D287" s="4" t="str">
        <f>A287&amp;C287</f>
        <v>NAKURU SEC 58VEGES</v>
      </c>
      <c r="E287" s="2">
        <v>108334.17</v>
      </c>
      <c r="F287" s="2">
        <v>109782.6</v>
      </c>
      <c r="G287" s="2">
        <v>121829.61</v>
      </c>
      <c r="H287" s="2">
        <v>121896.99</v>
      </c>
      <c r="I287" s="2">
        <v>169615.78</v>
      </c>
      <c r="J287" s="2">
        <v>145919.13</v>
      </c>
      <c r="K287" s="2">
        <v>80622.3</v>
      </c>
      <c r="L287" s="2">
        <v>102380.87</v>
      </c>
      <c r="M287" s="2">
        <v>114300.38</v>
      </c>
      <c r="N287" s="2">
        <v>91965.53</v>
      </c>
      <c r="O287" s="2">
        <v>118090.49</v>
      </c>
      <c r="P287" s="2">
        <v>127040.85</v>
      </c>
      <c r="Q287" s="2">
        <v>158440.66</v>
      </c>
      <c r="R287" s="2">
        <v>87057.9</v>
      </c>
      <c r="S287" s="2">
        <v>123431.67999999999</v>
      </c>
      <c r="T287" s="2">
        <v>91208.16</v>
      </c>
      <c r="U287" s="2">
        <v>116678.6</v>
      </c>
      <c r="V287" s="2">
        <v>123525.37</v>
      </c>
      <c r="W287" s="2">
        <v>135821.25</v>
      </c>
      <c r="X287" s="2">
        <v>126706.81</v>
      </c>
      <c r="Y287" s="2">
        <v>115978.92</v>
      </c>
      <c r="Z287" s="2">
        <v>119039.51</v>
      </c>
      <c r="AA287" s="2">
        <v>86948.51</v>
      </c>
      <c r="AB287" s="2">
        <v>113082.01</v>
      </c>
      <c r="AC287" s="2">
        <v>105423.76</v>
      </c>
      <c r="AD287" s="2">
        <v>147859.10999999999</v>
      </c>
      <c r="AE287" s="2">
        <v>147459.43</v>
      </c>
      <c r="AF287" s="2">
        <v>133625.44</v>
      </c>
      <c r="AG287" s="2">
        <v>148084.29999999999</v>
      </c>
      <c r="AH287" s="2">
        <v>110699.83</v>
      </c>
      <c r="AI287" s="24">
        <f>SUM(E287:AH287)</f>
        <v>3602849.9499999988</v>
      </c>
      <c r="AJ287" s="26">
        <v>4267561.9334498104</v>
      </c>
      <c r="AK287" s="33">
        <f>$AJ287/$AI287*E287</f>
        <v>128321.40844052653</v>
      </c>
      <c r="AL287" s="33">
        <f>$AJ287/$AI287*F287</f>
        <v>130037.06821460808</v>
      </c>
      <c r="AM287" s="33">
        <f>$AJ287/$AI287*G287</f>
        <v>144306.70530784567</v>
      </c>
      <c r="AN287" s="33">
        <f>$AJ287/$AI287*H287</f>
        <v>144386.51665915546</v>
      </c>
      <c r="AO287" s="33">
        <f>$AJ287/$AI287*I287</f>
        <v>200909.24020868476</v>
      </c>
      <c r="AP287" s="33">
        <f>$AJ287/$AI287*J287</f>
        <v>172840.6492615976</v>
      </c>
      <c r="AQ287" s="33">
        <f>$AJ287/$AI287*K287</f>
        <v>95496.804818965815</v>
      </c>
      <c r="AR287" s="33">
        <f>$AJ287/$AI287*L287</f>
        <v>121269.74744687155</v>
      </c>
      <c r="AS287" s="33">
        <f>$AJ287/$AI287*M287</f>
        <v>135388.36127961648</v>
      </c>
      <c r="AT287" s="33">
        <f>$AJ287/$AI287*N287</f>
        <v>108932.81720420709</v>
      </c>
      <c r="AU287" s="33">
        <f>$AJ287/$AI287*O287</f>
        <v>139877.7320233488</v>
      </c>
      <c r="AV287" s="33">
        <f>$AJ287/$AI287*P287</f>
        <v>150479.39908047172</v>
      </c>
      <c r="AW287" s="33">
        <f>$AJ287/$AI287*Q287</f>
        <v>187672.35347302328</v>
      </c>
      <c r="AX287" s="33">
        <f>$AJ287/$AI287*R287</f>
        <v>103119.74831093932</v>
      </c>
      <c r="AY287" s="33">
        <f>$AJ287/$AI287*S287</f>
        <v>146204.35107206128</v>
      </c>
      <c r="AZ287" s="33">
        <f>$AJ287/$AI287*T287</f>
        <v>108035.71534695743</v>
      </c>
      <c r="BA287" s="33">
        <f>$AJ287/$AI287*U287</f>
        <v>138205.35373898022</v>
      </c>
      <c r="BB287" s="33">
        <f>$AJ287/$AI287*V287</f>
        <v>146315.32651735976</v>
      </c>
      <c r="BC287" s="33">
        <f>$AJ287/$AI287*W287</f>
        <v>160879.74917011746</v>
      </c>
      <c r="BD287" s="33">
        <f>$AJ287/$AI287*X287</f>
        <v>150083.72998294252</v>
      </c>
      <c r="BE287" s="33">
        <f>$AJ287/$AI287*Y287</f>
        <v>137376.58546524288</v>
      </c>
      <c r="BF287" s="33">
        <f>$AJ287/$AI287*Z287</f>
        <v>141001.84256980175</v>
      </c>
      <c r="BG287" s="33">
        <f>$AJ287/$AI287*AA287</f>
        <v>102990.17627591742</v>
      </c>
      <c r="BH287" s="33">
        <f>$AJ287/$AI287*AB287</f>
        <v>133945.20669227175</v>
      </c>
      <c r="BI287" s="33">
        <f>$AJ287/$AI287*AC287</f>
        <v>124874.03896938558</v>
      </c>
      <c r="BJ287" s="33">
        <f>$AJ287/$AI287*AD287</f>
        <v>175138.54812348439</v>
      </c>
      <c r="BK287" s="33">
        <f>$AJ287/$AI287*AE287</f>
        <v>174665.12869796509</v>
      </c>
      <c r="BL287" s="33">
        <f>$AJ287/$AI287*AF287</f>
        <v>158278.82065543192</v>
      </c>
      <c r="BM287" s="33">
        <f>$AJ287/$AI287*AG287</f>
        <v>175405.28481391846</v>
      </c>
      <c r="BN287" s="33">
        <f>$AJ287/$AI287*AH287</f>
        <v>131123.52362811155</v>
      </c>
    </row>
    <row r="288" spans="1:66" ht="26.25" x14ac:dyDescent="0.25">
      <c r="A288" s="1" t="s">
        <v>95</v>
      </c>
      <c r="B288" s="4">
        <v>70</v>
      </c>
      <c r="C288" s="4" t="s">
        <v>5</v>
      </c>
      <c r="D288" s="4" t="str">
        <f>A288&amp;C288</f>
        <v>NAKURU KENYATTA AVENUEVEGES</v>
      </c>
      <c r="E288" s="2">
        <v>33751.160000000003</v>
      </c>
      <c r="F288" s="2">
        <v>33272.400000000001</v>
      </c>
      <c r="G288" s="2">
        <v>28504.59</v>
      </c>
      <c r="H288" s="2">
        <v>30839.38</v>
      </c>
      <c r="I288" s="2">
        <v>43379.73</v>
      </c>
      <c r="J288" s="2">
        <v>22972.07</v>
      </c>
      <c r="K288" s="2">
        <v>22613.13</v>
      </c>
      <c r="L288" s="2">
        <v>34728</v>
      </c>
      <c r="M288" s="2">
        <v>30155.45</v>
      </c>
      <c r="N288" s="2">
        <v>30449.06</v>
      </c>
      <c r="O288" s="2">
        <v>33411.300000000003</v>
      </c>
      <c r="P288" s="2">
        <v>38559.360000000001</v>
      </c>
      <c r="Q288" s="2">
        <v>35344.18</v>
      </c>
      <c r="R288" s="2">
        <v>22752.85</v>
      </c>
      <c r="S288" s="2">
        <v>34478.550000000003</v>
      </c>
      <c r="T288" s="2">
        <v>32885.22</v>
      </c>
      <c r="U288" s="2">
        <v>35155.879999999997</v>
      </c>
      <c r="V288" s="2">
        <v>34688.699999999997</v>
      </c>
      <c r="W288" s="2">
        <v>50885.49</v>
      </c>
      <c r="X288" s="2">
        <v>31288.81</v>
      </c>
      <c r="Y288" s="2">
        <v>37960.910000000003</v>
      </c>
      <c r="Z288" s="2">
        <v>33065.56</v>
      </c>
      <c r="AA288" s="2">
        <v>42374.89</v>
      </c>
      <c r="AB288" s="2">
        <v>28620.400000000001</v>
      </c>
      <c r="AC288" s="2">
        <v>32359.58</v>
      </c>
      <c r="AD288" s="2">
        <v>39076.199999999997</v>
      </c>
      <c r="AE288" s="2">
        <v>32368.52</v>
      </c>
      <c r="AF288" s="2">
        <v>45270.96</v>
      </c>
      <c r="AG288" s="2">
        <v>21255</v>
      </c>
      <c r="AH288" s="2">
        <v>34760.94</v>
      </c>
      <c r="AI288" s="24">
        <f>SUM(E288:AH288)</f>
        <v>1007228.27</v>
      </c>
      <c r="AJ288" s="26">
        <v>3937514.1271671955</v>
      </c>
      <c r="AK288" s="33">
        <f>$AJ288/$AI288*E288</f>
        <v>131941.95721718611</v>
      </c>
      <c r="AL288" s="33">
        <f>$AJ288/$AI288*F288</f>
        <v>130070.36135389429</v>
      </c>
      <c r="AM288" s="33">
        <f>$AJ288/$AI288*G288</f>
        <v>111431.76691626097</v>
      </c>
      <c r="AN288" s="33">
        <f>$AJ288/$AI288*H288</f>
        <v>120559.06097937211</v>
      </c>
      <c r="AO288" s="33">
        <f>$AJ288/$AI288*I288</f>
        <v>169582.51152710262</v>
      </c>
      <c r="AP288" s="33">
        <f>$AJ288/$AI288*J288</f>
        <v>89803.724586953584</v>
      </c>
      <c r="AQ288" s="33">
        <f>$AJ288/$AI288*K288</f>
        <v>88400.535892889835</v>
      </c>
      <c r="AR288" s="33">
        <f>$AJ288/$AI288*L288</f>
        <v>135760.67578828221</v>
      </c>
      <c r="AS288" s="33">
        <f>$AJ288/$AI288*M288</f>
        <v>117885.40286511618</v>
      </c>
      <c r="AT288" s="33">
        <f>$AJ288/$AI288*N288</f>
        <v>119033.19980183001</v>
      </c>
      <c r="AU288" s="33">
        <f>$AJ288/$AI288*O288</f>
        <v>130613.35714596388</v>
      </c>
      <c r="AV288" s="33">
        <f>$AJ288/$AI288*P288</f>
        <v>150738.44654352849</v>
      </c>
      <c r="AW288" s="33">
        <f>$AJ288/$AI288*Q288</f>
        <v>138169.48174333933</v>
      </c>
      <c r="AX288" s="33">
        <f>$AJ288/$AI288*R288</f>
        <v>88946.737275668522</v>
      </c>
      <c r="AY288" s="33">
        <f>$AJ288/$AI288*S288</f>
        <v>134785.5116390255</v>
      </c>
      <c r="AZ288" s="33">
        <f>$AJ288/$AI288*T288</f>
        <v>128556.77524321394</v>
      </c>
      <c r="BA288" s="33">
        <f>$AJ288/$AI288*U288</f>
        <v>137433.36865732993</v>
      </c>
      <c r="BB288" s="33">
        <f>$AJ288/$AI288*V288</f>
        <v>135607.04198966207</v>
      </c>
      <c r="BC288" s="33">
        <f>$AJ288/$AI288*W288</f>
        <v>198924.45606478566</v>
      </c>
      <c r="BD288" s="33">
        <f>$AJ288/$AI288*X288</f>
        <v>122315.99833595837</v>
      </c>
      <c r="BE288" s="33">
        <f>$AJ288/$AI288*Y288</f>
        <v>148398.95171441374</v>
      </c>
      <c r="BF288" s="33">
        <f>$AJ288/$AI288*Z288</f>
        <v>129261.77064380304</v>
      </c>
      <c r="BG288" s="33">
        <f>$AJ288/$AI288*AA288</f>
        <v>165654.33376106087</v>
      </c>
      <c r="BH288" s="33">
        <f>$AJ288/$AI288*AB288</f>
        <v>111884.49796507004</v>
      </c>
      <c r="BI288" s="33">
        <f>$AJ288/$AI288*AC288</f>
        <v>126501.91341352745</v>
      </c>
      <c r="BJ288" s="33">
        <f>$AJ288/$AI288*AD288</f>
        <v>152758.90691194634</v>
      </c>
      <c r="BK288" s="33">
        <f>$AJ288/$AI288*AE288</f>
        <v>126536.86217077079</v>
      </c>
      <c r="BL288" s="33">
        <f>$AJ288/$AI288*AF288</f>
        <v>176975.81557199644</v>
      </c>
      <c r="BM288" s="33">
        <f>$AJ288/$AI288*AG288</f>
        <v>83091.25673462158</v>
      </c>
      <c r="BN288" s="33">
        <f>$AJ288/$AI288*AH288</f>
        <v>135889.44671262184</v>
      </c>
    </row>
    <row r="289" spans="1:66" ht="24.75" x14ac:dyDescent="0.25">
      <c r="A289" s="1" t="s">
        <v>96</v>
      </c>
      <c r="B289" s="4">
        <v>71</v>
      </c>
      <c r="C289" s="4" t="s">
        <v>5</v>
      </c>
      <c r="D289" s="4" t="str">
        <f>A289&amp;C289</f>
        <v>SYOKIMAU DIAMOND BIZVEGES</v>
      </c>
      <c r="E289" s="42">
        <v>179510.04</v>
      </c>
      <c r="F289" s="42">
        <v>151384.82</v>
      </c>
      <c r="G289" s="42">
        <v>197090.73</v>
      </c>
      <c r="H289" s="2">
        <v>247431.2</v>
      </c>
      <c r="I289" s="2">
        <v>302678.32</v>
      </c>
      <c r="J289" s="2">
        <v>290437.28000000003</v>
      </c>
      <c r="K289" s="2">
        <v>247832.02</v>
      </c>
      <c r="L289" s="2">
        <v>179510.04</v>
      </c>
      <c r="M289" s="2">
        <v>151384.82</v>
      </c>
      <c r="N289" s="2">
        <v>197090.73</v>
      </c>
      <c r="O289" s="2">
        <v>179602.71</v>
      </c>
      <c r="P289" s="2">
        <v>163476.98000000001</v>
      </c>
      <c r="Q289" s="2">
        <v>215927.16</v>
      </c>
      <c r="R289" s="2">
        <v>161308.1</v>
      </c>
      <c r="S289" s="2">
        <v>148192.26999999999</v>
      </c>
      <c r="T289" s="2">
        <v>157432.48000000001</v>
      </c>
      <c r="U289" s="2">
        <v>160877.91</v>
      </c>
      <c r="V289" s="2">
        <v>189135.35</v>
      </c>
      <c r="W289" s="2">
        <v>209184.21</v>
      </c>
      <c r="X289" s="2">
        <v>240793.14</v>
      </c>
      <c r="Y289" s="2">
        <v>174001.98</v>
      </c>
      <c r="Z289" s="2">
        <v>167188.25</v>
      </c>
      <c r="AA289" s="2">
        <v>150724.59</v>
      </c>
      <c r="AB289" s="2">
        <v>161205.51999999999</v>
      </c>
      <c r="AC289" s="2">
        <v>187992.65</v>
      </c>
      <c r="AD289" s="2">
        <v>189861.24</v>
      </c>
      <c r="AE289" s="2">
        <v>228149.96</v>
      </c>
      <c r="AF289" s="42">
        <v>302678.32</v>
      </c>
      <c r="AG289" s="42">
        <v>290437.28000000003</v>
      </c>
      <c r="AH289" s="42">
        <v>247832.02</v>
      </c>
      <c r="AI289" s="24">
        <f>SUM(E289:AH289)</f>
        <v>6070352.120000001</v>
      </c>
      <c r="AJ289" s="26">
        <v>1552763.9396789875</v>
      </c>
      <c r="AK289" s="33">
        <f>$AJ289/$AI289*E289</f>
        <v>45917.718019022032</v>
      </c>
      <c r="AL289" s="33">
        <f>$AJ289/$AI289*F289</f>
        <v>38723.435620204902</v>
      </c>
      <c r="AM289" s="33">
        <f>$AJ289/$AI289*G289</f>
        <v>50414.765459933085</v>
      </c>
      <c r="AN289" s="33">
        <f>$AJ289/$AI289*H289</f>
        <v>63291.591215222528</v>
      </c>
      <c r="AO289" s="33">
        <f>$AJ289/$AI289*I289</f>
        <v>77423.512067800315</v>
      </c>
      <c r="AP289" s="33">
        <f>$AJ289/$AI289*J289</f>
        <v>74292.318832148594</v>
      </c>
      <c r="AQ289" s="33">
        <f>$AJ289/$AI289*K289</f>
        <v>63394.118849534141</v>
      </c>
      <c r="AR289" s="33">
        <f>$AJ289/$AI289*L289</f>
        <v>45917.718019022032</v>
      </c>
      <c r="AS289" s="33">
        <f>$AJ289/$AI289*M289</f>
        <v>38723.435620204902</v>
      </c>
      <c r="AT289" s="33">
        <f>$AJ289/$AI289*N289</f>
        <v>50414.765459933085</v>
      </c>
      <c r="AU289" s="33">
        <f>$AJ289/$AI289*O289</f>
        <v>45941.422514485472</v>
      </c>
      <c r="AV289" s="33">
        <f>$AJ289/$AI289*P289</f>
        <v>41816.546139933482</v>
      </c>
      <c r="AW289" s="33">
        <f>$AJ289/$AI289*Q289</f>
        <v>55233.024545748267</v>
      </c>
      <c r="AX289" s="33">
        <f>$AJ289/$AI289*R289</f>
        <v>41261.758116616809</v>
      </c>
      <c r="AY289" s="33">
        <f>$AJ289/$AI289*S289</f>
        <v>37906.798229551823</v>
      </c>
      <c r="AZ289" s="33">
        <f>$AJ289/$AI289*T289</f>
        <v>40270.395035705667</v>
      </c>
      <c r="BA289" s="33">
        <f>$AJ289/$AI289*U289</f>
        <v>41151.717791771451</v>
      </c>
      <c r="BB289" s="33">
        <f>$AJ289/$AI289*V289</f>
        <v>48379.82136669926</v>
      </c>
      <c r="BC289" s="33">
        <f>$AJ289/$AI289*W289</f>
        <v>53508.213628674406</v>
      </c>
      <c r="BD289" s="33">
        <f>$AJ289/$AI289*X289</f>
        <v>61593.61060492714</v>
      </c>
      <c r="BE289" s="33">
        <f>$AJ289/$AI289*Y289</f>
        <v>44508.785427219067</v>
      </c>
      <c r="BF289" s="33">
        <f>$AJ289/$AI289*Z289</f>
        <v>42765.869360809906</v>
      </c>
      <c r="BG289" s="33">
        <f>$AJ289/$AI289*AA289</f>
        <v>38554.552281046272</v>
      </c>
      <c r="BH289" s="33">
        <f>$AJ289/$AI289*AB289</f>
        <v>41235.518695610648</v>
      </c>
      <c r="BI289" s="33">
        <f>$AJ289/$AI289*AC289</f>
        <v>48087.524755432627</v>
      </c>
      <c r="BJ289" s="33">
        <f>$AJ289/$AI289*AD289</f>
        <v>48565.500186295241</v>
      </c>
      <c r="BK289" s="33">
        <f>$AJ289/$AI289*AE289</f>
        <v>58359.552085951043</v>
      </c>
      <c r="BL289" s="33">
        <f>$AJ289/$AI289*AF289</f>
        <v>77423.512067800315</v>
      </c>
      <c r="BM289" s="33">
        <f>$AJ289/$AI289*AG289</f>
        <v>74292.318832148594</v>
      </c>
      <c r="BN289" s="33">
        <f>$AJ289/$AI289*AH289</f>
        <v>63394.118849534141</v>
      </c>
    </row>
    <row r="290" spans="1:66" ht="24.75" x14ac:dyDescent="0.25">
      <c r="A290" s="1" t="s">
        <v>97</v>
      </c>
      <c r="B290" s="4">
        <v>72</v>
      </c>
      <c r="C290" s="4" t="s">
        <v>5</v>
      </c>
      <c r="D290" s="4" t="str">
        <f>A290&amp;C290</f>
        <v>MAKONGENI THIKAVEGES</v>
      </c>
      <c r="E290" s="42">
        <v>66660.210000000006</v>
      </c>
      <c r="F290" s="42">
        <v>53760.14</v>
      </c>
      <c r="G290" s="42">
        <v>69263.710000000006</v>
      </c>
      <c r="H290" s="42">
        <v>60100.26</v>
      </c>
      <c r="I290" s="42">
        <v>60850.400000000001</v>
      </c>
      <c r="J290" s="42">
        <v>98101.59</v>
      </c>
      <c r="K290" s="42">
        <v>54077.1</v>
      </c>
      <c r="L290" s="42">
        <v>57626.82</v>
      </c>
      <c r="M290" s="42">
        <v>55379.02</v>
      </c>
      <c r="N290" s="42">
        <v>49156.45</v>
      </c>
      <c r="O290" s="2">
        <v>73689.990000000005</v>
      </c>
      <c r="P290" s="2">
        <v>103535.7</v>
      </c>
      <c r="Q290" s="2">
        <v>81160.37</v>
      </c>
      <c r="R290" s="2">
        <v>61022.7</v>
      </c>
      <c r="S290" s="2">
        <v>66660.210000000006</v>
      </c>
      <c r="T290" s="2">
        <v>53760.14</v>
      </c>
      <c r="U290" s="2">
        <v>69263.710000000006</v>
      </c>
      <c r="V290" s="2">
        <v>60100.26</v>
      </c>
      <c r="W290" s="2">
        <v>60850.400000000001</v>
      </c>
      <c r="X290" s="2">
        <v>98101.59</v>
      </c>
      <c r="Y290" s="2">
        <v>54077.1</v>
      </c>
      <c r="Z290" s="2">
        <v>57626.82</v>
      </c>
      <c r="AA290" s="2">
        <v>55379.02</v>
      </c>
      <c r="AB290" s="2">
        <v>49156.45</v>
      </c>
      <c r="AC290" s="2">
        <v>54259.24</v>
      </c>
      <c r="AD290" s="2">
        <v>54138.95</v>
      </c>
      <c r="AE290" s="2">
        <v>69291.62</v>
      </c>
      <c r="AF290" s="42">
        <v>103535.7</v>
      </c>
      <c r="AG290" s="42">
        <v>81160.37</v>
      </c>
      <c r="AH290" s="42">
        <v>61022.7</v>
      </c>
      <c r="AI290" s="24">
        <f>SUM(E290:AH290)</f>
        <v>1992768.7399999995</v>
      </c>
      <c r="AJ290" s="26">
        <v>2141799.9190851664</v>
      </c>
      <c r="AK290" s="33">
        <f>$AJ290/$AI290*E290</f>
        <v>71645.459665430244</v>
      </c>
      <c r="AL290" s="33">
        <f>$AJ290/$AI290*F290</f>
        <v>57780.645185154419</v>
      </c>
      <c r="AM290" s="33">
        <f>$AJ290/$AI290*G290</f>
        <v>74443.664985199677</v>
      </c>
      <c r="AN290" s="33">
        <f>$AJ290/$AI290*H290</f>
        <v>64594.917323420828</v>
      </c>
      <c r="AO290" s="33">
        <f>$AJ290/$AI290*I290</f>
        <v>65401.157284462439</v>
      </c>
      <c r="AP290" s="33">
        <f>$AJ290/$AI290*J290</f>
        <v>105438.21433295176</v>
      </c>
      <c r="AQ290" s="33">
        <f>$AJ290/$AI290*K290</f>
        <v>58121.309351912292</v>
      </c>
      <c r="AR290" s="33">
        <f>$AJ290/$AI290*L290</f>
        <v>61936.498669251239</v>
      </c>
      <c r="AS290" s="33">
        <f>$AJ290/$AI290*M290</f>
        <v>59520.594725414965</v>
      </c>
      <c r="AT290" s="33">
        <f>$AJ290/$AI290*N290</f>
        <v>52832.66368003848</v>
      </c>
      <c r="AU290" s="33">
        <f>$AJ290/$AI290*O290</f>
        <v>79200.968708183747</v>
      </c>
      <c r="AV290" s="33">
        <f>$AJ290/$AI290*P290</f>
        <v>111278.7196182263</v>
      </c>
      <c r="AW290" s="33">
        <f>$AJ290/$AI290*Q290</f>
        <v>87230.028457251989</v>
      </c>
      <c r="AX290" s="33">
        <f>$AJ290/$AI290*R290</f>
        <v>65586.342910195599</v>
      </c>
      <c r="AY290" s="33">
        <f>$AJ290/$AI290*S290</f>
        <v>71645.459665430244</v>
      </c>
      <c r="AZ290" s="33">
        <f>$AJ290/$AI290*T290</f>
        <v>57780.645185154419</v>
      </c>
      <c r="BA290" s="33">
        <f>$AJ290/$AI290*U290</f>
        <v>74443.664985199677</v>
      </c>
      <c r="BB290" s="33">
        <f>$AJ290/$AI290*V290</f>
        <v>64594.917323420828</v>
      </c>
      <c r="BC290" s="33">
        <f>$AJ290/$AI290*W290</f>
        <v>65401.157284462439</v>
      </c>
      <c r="BD290" s="33">
        <f>$AJ290/$AI290*X290</f>
        <v>105438.21433295176</v>
      </c>
      <c r="BE290" s="33">
        <f>$AJ290/$AI290*Y290</f>
        <v>58121.309351912292</v>
      </c>
      <c r="BF290" s="33">
        <f>$AJ290/$AI290*Z290</f>
        <v>61936.498669251239</v>
      </c>
      <c r="BG290" s="33">
        <f>$AJ290/$AI290*AA290</f>
        <v>59520.594725414965</v>
      </c>
      <c r="BH290" s="33">
        <f>$AJ290/$AI290*AB290</f>
        <v>52832.66368003848</v>
      </c>
      <c r="BI290" s="33">
        <f>$AJ290/$AI290*AC290</f>
        <v>58317.070871767413</v>
      </c>
      <c r="BJ290" s="33">
        <f>$AJ290/$AI290*AD290</f>
        <v>58187.784865270361</v>
      </c>
      <c r="BK290" s="33">
        <f>$AJ290/$AI290*AE290</f>
        <v>74473.662262124868</v>
      </c>
      <c r="BL290" s="33">
        <f>$AJ290/$AI290*AF290</f>
        <v>111278.7196182263</v>
      </c>
      <c r="BM290" s="33">
        <f>$AJ290/$AI290*AG290</f>
        <v>87230.028457251989</v>
      </c>
      <c r="BN290" s="33">
        <f>$AJ290/$AI290*AH290</f>
        <v>65586.342910195599</v>
      </c>
    </row>
    <row r="292" spans="1:66" x14ac:dyDescent="0.25">
      <c r="AI292" s="25">
        <f>SUM(AI3:AI291)</f>
        <v>662035137.56973732</v>
      </c>
      <c r="AJ292" s="25">
        <v>567150948.66367102</v>
      </c>
      <c r="AK292" s="25">
        <f t="shared" ref="AK292:BN292" si="0">SUM(AK3:AK291)</f>
        <v>17787033.842094343</v>
      </c>
      <c r="AL292" s="25">
        <f t="shared" si="0"/>
        <v>17704549.777034774</v>
      </c>
      <c r="AM292" s="25">
        <f t="shared" si="0"/>
        <v>18072960.210485343</v>
      </c>
      <c r="AN292" s="25">
        <f t="shared" si="0"/>
        <v>19762974.253991246</v>
      </c>
      <c r="AO292" s="25">
        <f t="shared" si="0"/>
        <v>21458928.686736152</v>
      </c>
      <c r="AP292" s="25">
        <f t="shared" si="0"/>
        <v>20569932.420056477</v>
      </c>
      <c r="AQ292" s="25">
        <f t="shared" si="0"/>
        <v>17535819.282657463</v>
      </c>
      <c r="AR292" s="25">
        <f t="shared" si="0"/>
        <v>17513708.316871274</v>
      </c>
      <c r="AS292" s="25">
        <f t="shared" si="0"/>
        <v>17816637.855923876</v>
      </c>
      <c r="AT292" s="25">
        <f t="shared" si="0"/>
        <v>17488832.962282952</v>
      </c>
      <c r="AU292" s="25">
        <f t="shared" si="0"/>
        <v>19611383.881104991</v>
      </c>
      <c r="AV292" s="25">
        <f t="shared" si="0"/>
        <v>20471701.822707579</v>
      </c>
      <c r="AW292" s="25">
        <f t="shared" si="0"/>
        <v>20004100.464828089</v>
      </c>
      <c r="AX292" s="25">
        <f t="shared" si="0"/>
        <v>17150715.863055162</v>
      </c>
      <c r="AY292" s="25">
        <f t="shared" si="0"/>
        <v>16662098.718426971</v>
      </c>
      <c r="AZ292" s="25">
        <f t="shared" si="0"/>
        <v>16917906.294388726</v>
      </c>
      <c r="BA292" s="25">
        <f t="shared" si="0"/>
        <v>17571588.766651742</v>
      </c>
      <c r="BB292" s="25">
        <f t="shared" si="0"/>
        <v>19415809.044579394</v>
      </c>
      <c r="BC292" s="25">
        <f t="shared" si="0"/>
        <v>20690881.085406523</v>
      </c>
      <c r="BD292" s="25">
        <f t="shared" si="0"/>
        <v>20411480.208037201</v>
      </c>
      <c r="BE292" s="25">
        <f t="shared" si="0"/>
        <v>18214255.521099862</v>
      </c>
      <c r="BF292" s="25">
        <f t="shared" si="0"/>
        <v>18172641.64510683</v>
      </c>
      <c r="BG292" s="25">
        <f t="shared" si="0"/>
        <v>17332054.648412034</v>
      </c>
      <c r="BH292" s="25">
        <f t="shared" si="0"/>
        <v>16963508.934141725</v>
      </c>
      <c r="BI292" s="25">
        <f t="shared" si="0"/>
        <v>18673511.228672221</v>
      </c>
      <c r="BJ292" s="25">
        <f t="shared" si="0"/>
        <v>20810609.316463072</v>
      </c>
      <c r="BK292" s="25">
        <f t="shared" si="0"/>
        <v>20610655.682137012</v>
      </c>
      <c r="BL292" s="25">
        <f t="shared" si="0"/>
        <v>22549373.229432356</v>
      </c>
      <c r="BM292" s="25">
        <f t="shared" si="0"/>
        <v>21077585.775919311</v>
      </c>
      <c r="BN292" s="25">
        <f t="shared" si="0"/>
        <v>18127708.924966108</v>
      </c>
    </row>
  </sheetData>
  <conditionalFormatting sqref="E3:AI290">
    <cfRule type="cellIs" dxfId="0" priority="8" operator="equal">
      <formula>$AI$291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F342-DF1B-41CB-84A7-C2A91C3141DB}">
  <dimension ref="A1:AG299"/>
  <sheetViews>
    <sheetView tabSelected="1" workbookViewId="0">
      <selection activeCell="E298" sqref="E298"/>
    </sheetView>
  </sheetViews>
  <sheetFormatPr defaultColWidth="60.85546875" defaultRowHeight="15" x14ac:dyDescent="0.25"/>
  <cols>
    <col min="1" max="1" width="24.5703125" bestFit="1" customWidth="1"/>
    <col min="2" max="2" width="10.28515625" bestFit="1" customWidth="1"/>
    <col min="3" max="3" width="21.140625" bestFit="1" customWidth="1"/>
    <col min="4" max="33" width="13.28515625" bestFit="1" customWidth="1"/>
  </cols>
  <sheetData>
    <row r="1" spans="1:33" x14ac:dyDescent="0.25">
      <c r="A1" s="5">
        <v>1</v>
      </c>
      <c r="B1" s="5">
        <v>2</v>
      </c>
      <c r="C1" s="5"/>
      <c r="D1" s="5" t="s">
        <v>62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  <c r="L1" s="5" t="s">
        <v>56</v>
      </c>
      <c r="M1" s="5" t="s">
        <v>57</v>
      </c>
      <c r="N1" s="5" t="s">
        <v>58</v>
      </c>
      <c r="O1" s="5" t="s">
        <v>59</v>
      </c>
      <c r="P1" s="5" t="s">
        <v>60</v>
      </c>
      <c r="Q1" s="5" t="s">
        <v>61</v>
      </c>
      <c r="R1" s="5" t="s">
        <v>62</v>
      </c>
      <c r="S1" s="5" t="s">
        <v>56</v>
      </c>
      <c r="T1" s="5" t="s">
        <v>57</v>
      </c>
      <c r="U1" s="5" t="s">
        <v>58</v>
      </c>
      <c r="V1" s="5" t="s">
        <v>59</v>
      </c>
      <c r="W1" s="5" t="s">
        <v>60</v>
      </c>
      <c r="X1" s="5" t="s">
        <v>61</v>
      </c>
      <c r="Y1" s="5" t="s">
        <v>62</v>
      </c>
      <c r="Z1" s="5" t="s">
        <v>56</v>
      </c>
      <c r="AA1" s="5" t="s">
        <v>57</v>
      </c>
      <c r="AB1" s="5" t="s">
        <v>58</v>
      </c>
      <c r="AC1" s="5" t="s">
        <v>59</v>
      </c>
      <c r="AD1" s="5" t="s">
        <v>60</v>
      </c>
      <c r="AE1" s="5" t="s">
        <v>61</v>
      </c>
      <c r="AF1" s="5" t="s">
        <v>62</v>
      </c>
      <c r="AG1" s="5" t="s">
        <v>56</v>
      </c>
    </row>
    <row r="2" spans="1:33" ht="15.75" thickBot="1" x14ac:dyDescent="0.3">
      <c r="A2" s="46" t="s">
        <v>64</v>
      </c>
      <c r="B2" s="47" t="s">
        <v>0</v>
      </c>
      <c r="C2" s="48" t="s">
        <v>99</v>
      </c>
      <c r="D2" s="49">
        <v>1</v>
      </c>
      <c r="E2" s="49">
        <v>2</v>
      </c>
      <c r="F2" s="49">
        <v>3</v>
      </c>
      <c r="G2" s="49">
        <v>4</v>
      </c>
      <c r="H2" s="49">
        <v>5</v>
      </c>
      <c r="I2" s="49">
        <v>6</v>
      </c>
      <c r="J2" s="49">
        <v>7</v>
      </c>
      <c r="K2" s="49">
        <v>8</v>
      </c>
      <c r="L2" s="49">
        <v>9</v>
      </c>
      <c r="M2" s="49">
        <v>10</v>
      </c>
      <c r="N2" s="49">
        <v>11</v>
      </c>
      <c r="O2" s="49">
        <v>12</v>
      </c>
      <c r="P2" s="49">
        <v>13</v>
      </c>
      <c r="Q2" s="49">
        <v>14</v>
      </c>
      <c r="R2" s="49">
        <v>15</v>
      </c>
      <c r="S2" s="49">
        <v>16</v>
      </c>
      <c r="T2" s="49">
        <v>17</v>
      </c>
      <c r="U2" s="49">
        <v>18</v>
      </c>
      <c r="V2" s="49">
        <v>19</v>
      </c>
      <c r="W2" s="49">
        <v>20</v>
      </c>
      <c r="X2" s="49">
        <v>21</v>
      </c>
      <c r="Y2" s="49">
        <v>22</v>
      </c>
      <c r="Z2" s="49">
        <v>23</v>
      </c>
      <c r="AA2" s="49">
        <v>24</v>
      </c>
      <c r="AB2" s="49">
        <v>25</v>
      </c>
      <c r="AC2" s="49">
        <v>26</v>
      </c>
      <c r="AD2" s="49">
        <v>27</v>
      </c>
      <c r="AE2" s="49">
        <v>28</v>
      </c>
      <c r="AF2" s="49">
        <v>29</v>
      </c>
      <c r="AG2" s="49">
        <v>30</v>
      </c>
    </row>
    <row r="3" spans="1:33" x14ac:dyDescent="0.25">
      <c r="A3" s="8" t="s">
        <v>7</v>
      </c>
      <c r="B3" s="8" t="s">
        <v>2</v>
      </c>
      <c r="C3" s="9">
        <v>4608683.2467690641</v>
      </c>
      <c r="D3" s="34">
        <v>131745.5008958863</v>
      </c>
      <c r="E3" s="34">
        <v>150887.93717065032</v>
      </c>
      <c r="F3" s="34">
        <v>144087.18493619445</v>
      </c>
      <c r="G3" s="34">
        <v>167317.14641190952</v>
      </c>
      <c r="H3" s="34">
        <v>171481.60321831217</v>
      </c>
      <c r="I3" s="34">
        <v>194417.67549890873</v>
      </c>
      <c r="J3" s="34">
        <v>138512.71473029061</v>
      </c>
      <c r="K3" s="34">
        <v>131945.3306988602</v>
      </c>
      <c r="L3" s="34">
        <v>135683.55873660758</v>
      </c>
      <c r="M3" s="34">
        <v>133932.7023819157</v>
      </c>
      <c r="N3" s="34">
        <v>140703.18146432503</v>
      </c>
      <c r="O3" s="34">
        <v>160158.1028169028</v>
      </c>
      <c r="P3" s="34">
        <v>198457.92632112044</v>
      </c>
      <c r="Q3" s="34">
        <v>148153.83617444677</v>
      </c>
      <c r="R3" s="34">
        <v>131153.92570564346</v>
      </c>
      <c r="S3" s="34">
        <v>138447.21571152323</v>
      </c>
      <c r="T3" s="34">
        <v>145843.39899756122</v>
      </c>
      <c r="U3" s="34">
        <v>147159.04082358396</v>
      </c>
      <c r="V3" s="34">
        <v>156582.48750473876</v>
      </c>
      <c r="W3" s="34">
        <v>169463.73901254314</v>
      </c>
      <c r="X3" s="34">
        <v>145860.8895895881</v>
      </c>
      <c r="Y3" s="34">
        <v>128269.39549320862</v>
      </c>
      <c r="Z3" s="34">
        <v>144089.75832286509</v>
      </c>
      <c r="AA3" s="34">
        <v>142086.70163711879</v>
      </c>
      <c r="AB3" s="34">
        <v>152461.16234640242</v>
      </c>
      <c r="AC3" s="34">
        <v>165549.22133185805</v>
      </c>
      <c r="AD3" s="34">
        <v>187618.41667245515</v>
      </c>
      <c r="AE3" s="34">
        <v>163352.61660656088</v>
      </c>
      <c r="AF3" s="34">
        <v>198315.64756890171</v>
      </c>
      <c r="AG3" s="34">
        <v>144945.22798818033</v>
      </c>
    </row>
    <row r="4" spans="1:33" x14ac:dyDescent="0.25">
      <c r="A4" s="10" t="s">
        <v>7</v>
      </c>
      <c r="B4" s="11" t="s">
        <v>3</v>
      </c>
      <c r="C4" s="12">
        <v>7312577.2850437453</v>
      </c>
      <c r="D4" s="35">
        <v>256138.73445570096</v>
      </c>
      <c r="E4" s="35">
        <v>179630.93222925841</v>
      </c>
      <c r="F4" s="35">
        <v>249083.83656208482</v>
      </c>
      <c r="G4" s="35">
        <v>285100.17817681655</v>
      </c>
      <c r="H4" s="35">
        <v>333843.89082417492</v>
      </c>
      <c r="I4" s="35">
        <v>245128.14203213816</v>
      </c>
      <c r="J4" s="35">
        <v>226026.5412185562</v>
      </c>
      <c r="K4" s="35">
        <v>244375.73708988677</v>
      </c>
      <c r="L4" s="35">
        <v>176825.91896767335</v>
      </c>
      <c r="M4" s="35">
        <v>213259.12586697386</v>
      </c>
      <c r="N4" s="35">
        <v>268070.12441032316</v>
      </c>
      <c r="O4" s="35">
        <v>258851.22094195738</v>
      </c>
      <c r="P4" s="35">
        <v>296376.67204424972</v>
      </c>
      <c r="Q4" s="35">
        <v>221511.12197386799</v>
      </c>
      <c r="R4" s="35">
        <v>223916.50248694955</v>
      </c>
      <c r="S4" s="35">
        <v>215075.83612329935</v>
      </c>
      <c r="T4" s="35">
        <v>205405.66201494343</v>
      </c>
      <c r="U4" s="35">
        <v>288407.72460770671</v>
      </c>
      <c r="V4" s="35">
        <v>297844.13339266647</v>
      </c>
      <c r="W4" s="35">
        <v>252671.75294237339</v>
      </c>
      <c r="X4" s="35">
        <v>220106.3631700452</v>
      </c>
      <c r="Y4" s="35">
        <v>215007.34105791917</v>
      </c>
      <c r="Z4" s="35">
        <v>204507.12175447529</v>
      </c>
      <c r="AA4" s="35">
        <v>173161.1045279332</v>
      </c>
      <c r="AB4" s="35">
        <v>222295.34739113098</v>
      </c>
      <c r="AC4" s="35">
        <v>322847.17827000725</v>
      </c>
      <c r="AD4" s="35">
        <v>286226.70830181142</v>
      </c>
      <c r="AE4" s="35">
        <v>280126.74030400568</v>
      </c>
      <c r="AF4" s="35">
        <v>246881.81703649025</v>
      </c>
      <c r="AG4" s="35">
        <v>203873.77486832626</v>
      </c>
    </row>
    <row r="5" spans="1:33" x14ac:dyDescent="0.25">
      <c r="A5" s="10" t="s">
        <v>7</v>
      </c>
      <c r="B5" s="11" t="s">
        <v>4</v>
      </c>
      <c r="C5" s="12">
        <v>3477931.5292685255</v>
      </c>
      <c r="D5" s="35">
        <v>102253.48613505077</v>
      </c>
      <c r="E5" s="35">
        <v>110120.38235197832</v>
      </c>
      <c r="F5" s="35">
        <v>105730.35597622018</v>
      </c>
      <c r="G5" s="35">
        <v>105632.78475217073</v>
      </c>
      <c r="H5" s="35">
        <v>125024.79548329806</v>
      </c>
      <c r="I5" s="35">
        <v>135393.57580359749</v>
      </c>
      <c r="J5" s="35">
        <v>112836.95756154464</v>
      </c>
      <c r="K5" s="35">
        <v>102724.36503437984</v>
      </c>
      <c r="L5" s="35">
        <v>107957.98531149385</v>
      </c>
      <c r="M5" s="35">
        <v>103769.21930128259</v>
      </c>
      <c r="N5" s="35">
        <v>124733.90762713811</v>
      </c>
      <c r="O5" s="35">
        <v>125700.04150312803</v>
      </c>
      <c r="P5" s="35">
        <v>135840.28892900696</v>
      </c>
      <c r="Q5" s="35">
        <v>91451.738885107829</v>
      </c>
      <c r="R5" s="35">
        <v>101267.29696092664</v>
      </c>
      <c r="S5" s="35">
        <v>106087.72838839695</v>
      </c>
      <c r="T5" s="35">
        <v>116958.73237570038</v>
      </c>
      <c r="U5" s="35">
        <v>126905.75876192891</v>
      </c>
      <c r="V5" s="35">
        <v>137861.21868775267</v>
      </c>
      <c r="W5" s="35">
        <v>134699.54586535296</v>
      </c>
      <c r="X5" s="35">
        <v>107509.12135573155</v>
      </c>
      <c r="Y5" s="35">
        <v>101092.07598151777</v>
      </c>
      <c r="Z5" s="35">
        <v>99967.440247394799</v>
      </c>
      <c r="AA5" s="35">
        <v>108319.36304774987</v>
      </c>
      <c r="AB5" s="35">
        <v>115147.22657859624</v>
      </c>
      <c r="AC5" s="35">
        <v>129251.0050601402</v>
      </c>
      <c r="AD5" s="35">
        <v>139098.04173307813</v>
      </c>
      <c r="AE5" s="35">
        <v>130324.07822127185</v>
      </c>
      <c r="AF5" s="35">
        <v>134803.67473216695</v>
      </c>
      <c r="AG5" s="35">
        <v>99469.336615422202</v>
      </c>
    </row>
    <row r="6" spans="1:33" ht="15.75" thickBot="1" x14ac:dyDescent="0.3">
      <c r="A6" s="13" t="s">
        <v>7</v>
      </c>
      <c r="B6" s="14" t="s">
        <v>5</v>
      </c>
      <c r="C6" s="15">
        <v>9094053.3516398743</v>
      </c>
      <c r="D6" s="36">
        <v>304042.85350543895</v>
      </c>
      <c r="E6" s="36">
        <v>252297.48583937431</v>
      </c>
      <c r="F6" s="36">
        <v>271282.41199430998</v>
      </c>
      <c r="G6" s="36">
        <v>276686.22621274594</v>
      </c>
      <c r="H6" s="36">
        <v>313591.36608214315</v>
      </c>
      <c r="I6" s="36">
        <v>316433.35232194874</v>
      </c>
      <c r="J6" s="36">
        <v>292913.15609922423</v>
      </c>
      <c r="K6" s="36">
        <v>272047.88971216697</v>
      </c>
      <c r="L6" s="36">
        <v>259078.78119692425</v>
      </c>
      <c r="M6" s="36">
        <v>298389.54812314583</v>
      </c>
      <c r="N6" s="36">
        <v>325912.13269838243</v>
      </c>
      <c r="O6" s="36">
        <v>284077.8394414254</v>
      </c>
      <c r="P6" s="36">
        <v>340425.49266534421</v>
      </c>
      <c r="Q6" s="36">
        <v>291459.5079243533</v>
      </c>
      <c r="R6" s="36">
        <v>266731.99180537608</v>
      </c>
      <c r="S6" s="36">
        <v>279202.94093796646</v>
      </c>
      <c r="T6" s="36">
        <v>297510.39492169686</v>
      </c>
      <c r="U6" s="36">
        <v>275563.25322786835</v>
      </c>
      <c r="V6" s="36">
        <v>325360.80908171181</v>
      </c>
      <c r="W6" s="36">
        <v>324683.80291554169</v>
      </c>
      <c r="X6" s="36">
        <v>352357.22439717897</v>
      </c>
      <c r="Y6" s="36">
        <v>306488.30912027363</v>
      </c>
      <c r="Z6" s="36">
        <v>298412.24355986115</v>
      </c>
      <c r="AA6" s="36">
        <v>326608.22524099512</v>
      </c>
      <c r="AB6" s="36">
        <v>303844.41468044044</v>
      </c>
      <c r="AC6" s="36">
        <v>316916.19302844326</v>
      </c>
      <c r="AD6" s="36">
        <v>383603.78410388448</v>
      </c>
      <c r="AE6" s="36">
        <v>295238.78893000231</v>
      </c>
      <c r="AF6" s="36">
        <v>333683.76807578513</v>
      </c>
      <c r="AG6" s="36">
        <v>309209.1637959237</v>
      </c>
    </row>
    <row r="7" spans="1:33" x14ac:dyDescent="0.25">
      <c r="A7" s="8" t="s">
        <v>1</v>
      </c>
      <c r="B7" s="8" t="s">
        <v>2</v>
      </c>
      <c r="C7" s="9">
        <v>4644854.2451024298</v>
      </c>
      <c r="D7" s="34">
        <v>143716.4928795413</v>
      </c>
      <c r="E7" s="34">
        <v>158369.00172348262</v>
      </c>
      <c r="F7" s="34">
        <v>164741.63364598688</v>
      </c>
      <c r="G7" s="34">
        <v>160660.22172680541</v>
      </c>
      <c r="H7" s="34">
        <v>185236.9454115546</v>
      </c>
      <c r="I7" s="34">
        <v>192283.5131317726</v>
      </c>
      <c r="J7" s="34">
        <v>129478.34916159789</v>
      </c>
      <c r="K7" s="34">
        <v>134021.88609513917</v>
      </c>
      <c r="L7" s="34">
        <v>128822.78684107649</v>
      </c>
      <c r="M7" s="34">
        <v>141539.5007002808</v>
      </c>
      <c r="N7" s="34">
        <v>151188.33642996757</v>
      </c>
      <c r="O7" s="34">
        <v>197751.28150680315</v>
      </c>
      <c r="P7" s="34">
        <v>186828.15173299483</v>
      </c>
      <c r="Q7" s="34">
        <v>130004.32131217998</v>
      </c>
      <c r="R7" s="34">
        <v>105593.13550085014</v>
      </c>
      <c r="S7" s="34">
        <v>145491.62913882357</v>
      </c>
      <c r="T7" s="34">
        <v>134125.9374105896</v>
      </c>
      <c r="U7" s="34">
        <v>140604.70241834249</v>
      </c>
      <c r="V7" s="34">
        <v>167157.76913081817</v>
      </c>
      <c r="W7" s="34">
        <v>158195.55498355307</v>
      </c>
      <c r="X7" s="34">
        <v>139890.94347962257</v>
      </c>
      <c r="Y7" s="34">
        <v>145560.44835916214</v>
      </c>
      <c r="Z7" s="34">
        <v>131125.13130175852</v>
      </c>
      <c r="AA7" s="34">
        <v>107480.87320153983</v>
      </c>
      <c r="AB7" s="34">
        <v>161209.87400884228</v>
      </c>
      <c r="AC7" s="34">
        <v>194490.5701561101</v>
      </c>
      <c r="AD7" s="34">
        <v>184515.64005731611</v>
      </c>
      <c r="AE7" s="34">
        <v>205289.9658527704</v>
      </c>
      <c r="AF7" s="34">
        <v>192589.55187934157</v>
      </c>
      <c r="AG7" s="34">
        <v>126890.09592380647</v>
      </c>
    </row>
    <row r="8" spans="1:33" x14ac:dyDescent="0.25">
      <c r="A8" s="10" t="s">
        <v>1</v>
      </c>
      <c r="B8" s="11" t="s">
        <v>3</v>
      </c>
      <c r="C8" s="12">
        <v>4514287.3753054244</v>
      </c>
      <c r="D8" s="35">
        <v>133110.23736497827</v>
      </c>
      <c r="E8" s="35">
        <v>136865.49617943494</v>
      </c>
      <c r="F8" s="35">
        <v>110427.54938649292</v>
      </c>
      <c r="G8" s="35">
        <v>156134.33443069912</v>
      </c>
      <c r="H8" s="35">
        <v>195380.18080050749</v>
      </c>
      <c r="I8" s="35">
        <v>196295.75645238018</v>
      </c>
      <c r="J8" s="35">
        <v>131819.52376078887</v>
      </c>
      <c r="K8" s="35">
        <v>123001.68496713643</v>
      </c>
      <c r="L8" s="35">
        <v>134737.84120627883</v>
      </c>
      <c r="M8" s="35">
        <v>118128.61360974399</v>
      </c>
      <c r="N8" s="35">
        <v>171196.62647562384</v>
      </c>
      <c r="O8" s="35">
        <v>155201.8995885714</v>
      </c>
      <c r="P8" s="35">
        <v>208578.31611200841</v>
      </c>
      <c r="Q8" s="35">
        <v>138750.99949952491</v>
      </c>
      <c r="R8" s="35">
        <v>137112.53364261228</v>
      </c>
      <c r="S8" s="35">
        <v>118239.25728807818</v>
      </c>
      <c r="T8" s="35">
        <v>125215.0093703758</v>
      </c>
      <c r="U8" s="35">
        <v>159136.69619775895</v>
      </c>
      <c r="V8" s="35">
        <v>143382.3385866934</v>
      </c>
      <c r="W8" s="35">
        <v>190454.78094898388</v>
      </c>
      <c r="X8" s="35">
        <v>132780.51857446806</v>
      </c>
      <c r="Y8" s="35">
        <v>153617.63896400857</v>
      </c>
      <c r="Z8" s="35">
        <v>100749.33620756773</v>
      </c>
      <c r="AA8" s="35">
        <v>101496.40383345851</v>
      </c>
      <c r="AB8" s="35">
        <v>160540.10845620913</v>
      </c>
      <c r="AC8" s="35">
        <v>197336.50739806809</v>
      </c>
      <c r="AD8" s="35">
        <v>171698.72209883496</v>
      </c>
      <c r="AE8" s="35">
        <v>195108.73525591614</v>
      </c>
      <c r="AF8" s="35">
        <v>196123.3062276819</v>
      </c>
      <c r="AG8" s="35">
        <v>121666.42242053807</v>
      </c>
    </row>
    <row r="9" spans="1:33" x14ac:dyDescent="0.25">
      <c r="A9" s="10" t="s">
        <v>1</v>
      </c>
      <c r="B9" s="11" t="s">
        <v>4</v>
      </c>
      <c r="C9" s="12">
        <v>4052004.7705934695</v>
      </c>
      <c r="D9" s="35">
        <v>120543.66275807067</v>
      </c>
      <c r="E9" s="35">
        <v>126750.47476303022</v>
      </c>
      <c r="F9" s="35">
        <v>128992.11257228258</v>
      </c>
      <c r="G9" s="35">
        <v>130495.95558575516</v>
      </c>
      <c r="H9" s="35">
        <v>170530.98787944135</v>
      </c>
      <c r="I9" s="35">
        <v>169371.89873311922</v>
      </c>
      <c r="J9" s="35">
        <v>114029.57953717542</v>
      </c>
      <c r="K9" s="35">
        <v>116720.38796287797</v>
      </c>
      <c r="L9" s="35">
        <v>109238.21183378263</v>
      </c>
      <c r="M9" s="35">
        <v>128640.8583104557</v>
      </c>
      <c r="N9" s="35">
        <v>132886.88061609285</v>
      </c>
      <c r="O9" s="35">
        <v>164996.96672349688</v>
      </c>
      <c r="P9" s="35">
        <v>164437.6221822571</v>
      </c>
      <c r="Q9" s="35">
        <v>103372.9367771063</v>
      </c>
      <c r="R9" s="35">
        <v>114561.26966898103</v>
      </c>
      <c r="S9" s="35">
        <v>111163.08297002921</v>
      </c>
      <c r="T9" s="35">
        <v>111268.76430122847</v>
      </c>
      <c r="U9" s="35">
        <v>131296.29172144277</v>
      </c>
      <c r="V9" s="35">
        <v>150187.66995470511</v>
      </c>
      <c r="W9" s="35">
        <v>170862.96281371242</v>
      </c>
      <c r="X9" s="35">
        <v>122540.79254776872</v>
      </c>
      <c r="Y9" s="35">
        <v>121950.73197775902</v>
      </c>
      <c r="Z9" s="35">
        <v>108898.38318034612</v>
      </c>
      <c r="AA9" s="35">
        <v>106084.71063956401</v>
      </c>
      <c r="AB9" s="35">
        <v>138564.90880905092</v>
      </c>
      <c r="AC9" s="35">
        <v>161448.7606770969</v>
      </c>
      <c r="AD9" s="35">
        <v>163625.23924005299</v>
      </c>
      <c r="AE9" s="35">
        <v>180125.13780179369</v>
      </c>
      <c r="AF9" s="35">
        <v>178152.14599642332</v>
      </c>
      <c r="AG9" s="35">
        <v>100265.38205857022</v>
      </c>
    </row>
    <row r="10" spans="1:33" ht="15.75" thickBot="1" x14ac:dyDescent="0.3">
      <c r="A10" s="13" t="s">
        <v>1</v>
      </c>
      <c r="B10" s="14" t="s">
        <v>5</v>
      </c>
      <c r="C10" s="15">
        <v>2508886.6525179511</v>
      </c>
      <c r="D10" s="36">
        <v>76385.459044831703</v>
      </c>
      <c r="E10" s="36">
        <v>69621.174057007229</v>
      </c>
      <c r="F10" s="36">
        <v>72719.555163325698</v>
      </c>
      <c r="G10" s="36">
        <v>82755.808653382817</v>
      </c>
      <c r="H10" s="36">
        <v>93400.145567751097</v>
      </c>
      <c r="I10" s="36">
        <v>106260.36219235409</v>
      </c>
      <c r="J10" s="36">
        <v>74609.731447076658</v>
      </c>
      <c r="K10" s="36">
        <v>64389.056984670096</v>
      </c>
      <c r="L10" s="36">
        <v>74015.059468292282</v>
      </c>
      <c r="M10" s="36">
        <v>80937.780072940237</v>
      </c>
      <c r="N10" s="36">
        <v>91440.540851885322</v>
      </c>
      <c r="O10" s="36">
        <v>102699.1502518014</v>
      </c>
      <c r="P10" s="36">
        <v>94897.245761925878</v>
      </c>
      <c r="Q10" s="36">
        <v>68866.184725733416</v>
      </c>
      <c r="R10" s="36">
        <v>79057.186500875498</v>
      </c>
      <c r="S10" s="36">
        <v>65049.067611694103</v>
      </c>
      <c r="T10" s="36">
        <v>79513.436698821228</v>
      </c>
      <c r="U10" s="36">
        <v>67928.482124419723</v>
      </c>
      <c r="V10" s="36">
        <v>88365.752142442463</v>
      </c>
      <c r="W10" s="36">
        <v>93994.719652772503</v>
      </c>
      <c r="X10" s="36">
        <v>77650.322601988897</v>
      </c>
      <c r="Y10" s="36">
        <v>80917.418170242614</v>
      </c>
      <c r="Z10" s="36">
        <v>49979.704192331737</v>
      </c>
      <c r="AA10" s="36">
        <v>70183.932669063593</v>
      </c>
      <c r="AB10" s="36">
        <v>93996.133673793171</v>
      </c>
      <c r="AC10" s="36">
        <v>125643.1641040103</v>
      </c>
      <c r="AD10" s="36">
        <v>94355.012208838743</v>
      </c>
      <c r="AE10" s="36">
        <v>108910.90108725741</v>
      </c>
      <c r="AF10" s="36">
        <v>113200.17069718259</v>
      </c>
      <c r="AG10" s="36">
        <v>67143.99413923781</v>
      </c>
    </row>
    <row r="11" spans="1:33" x14ac:dyDescent="0.25">
      <c r="A11" s="8" t="s">
        <v>6</v>
      </c>
      <c r="B11" s="8" t="s">
        <v>2</v>
      </c>
      <c r="C11" s="9">
        <v>2271349.2351356298</v>
      </c>
      <c r="D11" s="34">
        <v>65665.935429848207</v>
      </c>
      <c r="E11" s="34">
        <v>64013.469990825804</v>
      </c>
      <c r="F11" s="34">
        <v>67814.396410499874</v>
      </c>
      <c r="G11" s="34">
        <v>72245.29045561557</v>
      </c>
      <c r="H11" s="34">
        <v>82381.088842469559</v>
      </c>
      <c r="I11" s="34">
        <v>93963.361377537076</v>
      </c>
      <c r="J11" s="34">
        <v>58454.393812855218</v>
      </c>
      <c r="K11" s="34">
        <v>56667.154546908707</v>
      </c>
      <c r="L11" s="34">
        <v>57362.597859808666</v>
      </c>
      <c r="M11" s="34">
        <v>54351.291224209926</v>
      </c>
      <c r="N11" s="34">
        <v>62157.094553718896</v>
      </c>
      <c r="O11" s="34">
        <v>71430.533190542017</v>
      </c>
      <c r="P11" s="34">
        <v>84620.997128350587</v>
      </c>
      <c r="Q11" s="34">
        <v>54237.508489665772</v>
      </c>
      <c r="R11" s="34">
        <v>65893.079781342458</v>
      </c>
      <c r="S11" s="34">
        <v>54625.584549406391</v>
      </c>
      <c r="T11" s="34">
        <v>62039.189725802295</v>
      </c>
      <c r="U11" s="34">
        <v>69584.280772522674</v>
      </c>
      <c r="V11" s="34">
        <v>72694.290893432742</v>
      </c>
      <c r="W11" s="34">
        <v>89492.461160987339</v>
      </c>
      <c r="X11" s="34">
        <v>73673.721334607413</v>
      </c>
      <c r="Y11" s="34">
        <v>90121.254516214816</v>
      </c>
      <c r="Z11" s="34">
        <v>90581.617030655863</v>
      </c>
      <c r="AA11" s="34">
        <v>176978.66951346505</v>
      </c>
      <c r="AB11" s="34">
        <v>61960.28686582623</v>
      </c>
      <c r="AC11" s="34">
        <v>72880.319590600979</v>
      </c>
      <c r="AD11" s="34">
        <v>93488.429814025207</v>
      </c>
      <c r="AE11" s="34">
        <v>85505.070673340131</v>
      </c>
      <c r="AF11" s="34">
        <v>98333.241962008251</v>
      </c>
      <c r="AG11" s="34">
        <v>68132.62363853633</v>
      </c>
    </row>
    <row r="12" spans="1:33" x14ac:dyDescent="0.25">
      <c r="A12" s="10" t="s">
        <v>6</v>
      </c>
      <c r="B12" s="11" t="s">
        <v>3</v>
      </c>
      <c r="C12" s="12">
        <v>1369456.0393886841</v>
      </c>
      <c r="D12" s="35">
        <v>40518.669121026869</v>
      </c>
      <c r="E12" s="35">
        <v>63126.031037153181</v>
      </c>
      <c r="F12" s="35">
        <v>46462.201732995447</v>
      </c>
      <c r="G12" s="35">
        <v>56707.159824071889</v>
      </c>
      <c r="H12" s="35">
        <v>42085.26495811154</v>
      </c>
      <c r="I12" s="35">
        <v>58385.036861288732</v>
      </c>
      <c r="J12" s="35">
        <v>28574.995288490529</v>
      </c>
      <c r="K12" s="35">
        <v>34090.058150855846</v>
      </c>
      <c r="L12" s="35">
        <v>56614.695118575983</v>
      </c>
      <c r="M12" s="35">
        <v>45383.183837791119</v>
      </c>
      <c r="N12" s="35">
        <v>39480.944082973576</v>
      </c>
      <c r="O12" s="35">
        <v>60037.77219742709</v>
      </c>
      <c r="P12" s="35">
        <v>46769.279234432623</v>
      </c>
      <c r="Q12" s="35">
        <v>35216.236626168626</v>
      </c>
      <c r="R12" s="35">
        <v>34438.700347456775</v>
      </c>
      <c r="S12" s="35">
        <v>41146.588409618213</v>
      </c>
      <c r="T12" s="35">
        <v>34633.986123713497</v>
      </c>
      <c r="U12" s="35">
        <v>46286.229716032394</v>
      </c>
      <c r="V12" s="35">
        <v>41712.396027401759</v>
      </c>
      <c r="W12" s="35">
        <v>46256.765127532199</v>
      </c>
      <c r="X12" s="35">
        <v>32133.620082755249</v>
      </c>
      <c r="Y12" s="35">
        <v>37464.814365397891</v>
      </c>
      <c r="Z12" s="35">
        <v>32273.676331062681</v>
      </c>
      <c r="AA12" s="35">
        <v>39113.087580010455</v>
      </c>
      <c r="AB12" s="35">
        <v>36339.902257412643</v>
      </c>
      <c r="AC12" s="35">
        <v>38374.066106563609</v>
      </c>
      <c r="AD12" s="35">
        <v>53393.063267538018</v>
      </c>
      <c r="AE12" s="35">
        <v>85723.427769545058</v>
      </c>
      <c r="AF12" s="35">
        <v>45728.166166513525</v>
      </c>
      <c r="AG12" s="35">
        <v>70986.021638766862</v>
      </c>
    </row>
    <row r="13" spans="1:33" x14ac:dyDescent="0.25">
      <c r="A13" s="10" t="s">
        <v>6</v>
      </c>
      <c r="B13" s="11" t="s">
        <v>4</v>
      </c>
      <c r="C13" s="12">
        <v>3878267.2223237376</v>
      </c>
      <c r="D13" s="35">
        <v>122920.11729403639</v>
      </c>
      <c r="E13" s="35">
        <v>118398.1158505855</v>
      </c>
      <c r="F13" s="35">
        <v>120276.29561898456</v>
      </c>
      <c r="G13" s="35">
        <v>132636.92306907318</v>
      </c>
      <c r="H13" s="35">
        <v>166815.31833583131</v>
      </c>
      <c r="I13" s="35">
        <v>152548.73379243672</v>
      </c>
      <c r="J13" s="35">
        <v>113810.77912952959</v>
      </c>
      <c r="K13" s="35">
        <v>113066.85295241314</v>
      </c>
      <c r="L13" s="35">
        <v>115037.5981553358</v>
      </c>
      <c r="M13" s="35">
        <v>117092.88081245353</v>
      </c>
      <c r="N13" s="35">
        <v>136681.51189321728</v>
      </c>
      <c r="O13" s="35">
        <v>137838.67814401066</v>
      </c>
      <c r="P13" s="35">
        <v>135497.88494048885</v>
      </c>
      <c r="Q13" s="35">
        <v>106294.94803799987</v>
      </c>
      <c r="R13" s="35">
        <v>106784.41545204926</v>
      </c>
      <c r="S13" s="35">
        <v>119704.02629920305</v>
      </c>
      <c r="T13" s="35">
        <v>119849.03436560699</v>
      </c>
      <c r="U13" s="35">
        <v>121693.50345622578</v>
      </c>
      <c r="V13" s="35">
        <v>169187.47110468356</v>
      </c>
      <c r="W13" s="35">
        <v>153517.86234424487</v>
      </c>
      <c r="X13" s="35">
        <v>135166.11305057252</v>
      </c>
      <c r="Y13" s="35">
        <v>113632.32541983973</v>
      </c>
      <c r="Z13" s="35">
        <v>105104.02836192715</v>
      </c>
      <c r="AA13" s="35">
        <v>106293.58866752888</v>
      </c>
      <c r="AB13" s="35">
        <v>124263.33775985733</v>
      </c>
      <c r="AC13" s="35">
        <v>135769.54529718863</v>
      </c>
      <c r="AD13" s="35">
        <v>156017.14617538275</v>
      </c>
      <c r="AE13" s="35">
        <v>155747.28976314445</v>
      </c>
      <c r="AF13" s="35">
        <v>149218.68651453644</v>
      </c>
      <c r="AG13" s="35">
        <v>117402.21026534904</v>
      </c>
    </row>
    <row r="14" spans="1:33" ht="15.75" thickBot="1" x14ac:dyDescent="0.3">
      <c r="A14" s="13" t="s">
        <v>6</v>
      </c>
      <c r="B14" s="14" t="s">
        <v>5</v>
      </c>
      <c r="C14" s="15">
        <v>1364275.8093426598</v>
      </c>
      <c r="D14" s="36">
        <v>44677.087559411855</v>
      </c>
      <c r="E14" s="36">
        <v>47888.252291492674</v>
      </c>
      <c r="F14" s="36">
        <v>49344.29309851124</v>
      </c>
      <c r="G14" s="36">
        <v>55405.385936262384</v>
      </c>
      <c r="H14" s="36">
        <v>36794.722613431564</v>
      </c>
      <c r="I14" s="36">
        <v>51394.968485941667</v>
      </c>
      <c r="J14" s="36">
        <v>45737.392275837366</v>
      </c>
      <c r="K14" s="36">
        <v>34940.585226165356</v>
      </c>
      <c r="L14" s="36">
        <v>49019.017624107888</v>
      </c>
      <c r="M14" s="36">
        <v>39086.431231015355</v>
      </c>
      <c r="N14" s="36">
        <v>46912.94336024535</v>
      </c>
      <c r="O14" s="36">
        <v>56145.798910458296</v>
      </c>
      <c r="P14" s="36">
        <v>39535.841224831376</v>
      </c>
      <c r="Q14" s="36">
        <v>53205.001031892374</v>
      </c>
      <c r="R14" s="36">
        <v>35768.399869225876</v>
      </c>
      <c r="S14" s="36">
        <v>40658.426552912773</v>
      </c>
      <c r="T14" s="36">
        <v>43134.198890716885</v>
      </c>
      <c r="U14" s="36">
        <v>38391.593864765884</v>
      </c>
      <c r="V14" s="36">
        <v>48145.9632889364</v>
      </c>
      <c r="W14" s="36">
        <v>48312.078208975414</v>
      </c>
      <c r="X14" s="36">
        <v>30990.832359967761</v>
      </c>
      <c r="Y14" s="36">
        <v>50891.648539937218</v>
      </c>
      <c r="Z14" s="36">
        <v>40678.082168690467</v>
      </c>
      <c r="AA14" s="36">
        <v>44292.527479452685</v>
      </c>
      <c r="AB14" s="36">
        <v>42530.894050227551</v>
      </c>
      <c r="AC14" s="36">
        <v>48885.495618915018</v>
      </c>
      <c r="AD14" s="36">
        <v>47686.503056475616</v>
      </c>
      <c r="AE14" s="36">
        <v>51083.865028272252</v>
      </c>
      <c r="AF14" s="36">
        <v>54451.73903699917</v>
      </c>
      <c r="AG14" s="36">
        <v>48285.840458583945</v>
      </c>
    </row>
    <row r="15" spans="1:33" x14ac:dyDescent="0.25">
      <c r="A15" s="8" t="s">
        <v>9</v>
      </c>
      <c r="B15" s="8" t="s">
        <v>2</v>
      </c>
      <c r="C15" s="9">
        <v>1911756.1857579895</v>
      </c>
      <c r="D15" s="34">
        <v>59107.250467492631</v>
      </c>
      <c r="E15" s="34">
        <v>58277.338777060671</v>
      </c>
      <c r="F15" s="34">
        <v>54382.491507253028</v>
      </c>
      <c r="G15" s="34">
        <v>62340.565974943536</v>
      </c>
      <c r="H15" s="34">
        <v>69099.231311436306</v>
      </c>
      <c r="I15" s="34">
        <v>75034.617634720329</v>
      </c>
      <c r="J15" s="34">
        <v>62119.984420574496</v>
      </c>
      <c r="K15" s="34">
        <v>56835.804173254044</v>
      </c>
      <c r="L15" s="34">
        <v>59189.446534118084</v>
      </c>
      <c r="M15" s="34">
        <v>68532.448571486733</v>
      </c>
      <c r="N15" s="34">
        <v>60876.210048394823</v>
      </c>
      <c r="O15" s="34">
        <v>65542.568695108552</v>
      </c>
      <c r="P15" s="34">
        <v>72929.692481236387</v>
      </c>
      <c r="Q15" s="34">
        <v>57310.081537165788</v>
      </c>
      <c r="R15" s="34">
        <v>56116.731888863324</v>
      </c>
      <c r="S15" s="34">
        <v>54819.937041349942</v>
      </c>
      <c r="T15" s="34">
        <v>44687.924823092471</v>
      </c>
      <c r="U15" s="34">
        <v>58636.125672384507</v>
      </c>
      <c r="V15" s="34">
        <v>66404.612021866313</v>
      </c>
      <c r="W15" s="34">
        <v>82424.459999660627</v>
      </c>
      <c r="X15" s="34">
        <v>66242.913901956679</v>
      </c>
      <c r="Y15" s="34">
        <v>75555.323739194559</v>
      </c>
      <c r="Z15" s="34">
        <v>66562.011184316434</v>
      </c>
      <c r="AA15" s="34">
        <v>46924.471771250399</v>
      </c>
      <c r="AB15" s="34">
        <v>69097.765571654876</v>
      </c>
      <c r="AC15" s="34">
        <v>60635.992494048915</v>
      </c>
      <c r="AD15" s="34">
        <v>72914.543773998186</v>
      </c>
      <c r="AE15" s="34">
        <v>68362.359148647884</v>
      </c>
      <c r="AF15" s="34">
        <v>89355.927049044112</v>
      </c>
      <c r="AG15" s="34">
        <v>51437.353542415141</v>
      </c>
    </row>
    <row r="16" spans="1:33" x14ac:dyDescent="0.25">
      <c r="A16" s="10" t="s">
        <v>9</v>
      </c>
      <c r="B16" s="11" t="s">
        <v>3</v>
      </c>
      <c r="C16" s="12">
        <v>1817527.9823509541</v>
      </c>
      <c r="D16" s="35">
        <v>45786.904575593471</v>
      </c>
      <c r="E16" s="35">
        <v>50642.170905892919</v>
      </c>
      <c r="F16" s="35">
        <v>51160.04515026509</v>
      </c>
      <c r="G16" s="35">
        <v>53121.993076315208</v>
      </c>
      <c r="H16" s="35">
        <v>80821.487785991558</v>
      </c>
      <c r="I16" s="35">
        <v>101628.23803562993</v>
      </c>
      <c r="J16" s="35">
        <v>49321.333030699214</v>
      </c>
      <c r="K16" s="35">
        <v>51238.743991777614</v>
      </c>
      <c r="L16" s="35">
        <v>47564.664425904593</v>
      </c>
      <c r="M16" s="35">
        <v>65871.106381410849</v>
      </c>
      <c r="N16" s="35">
        <v>58366.572772603795</v>
      </c>
      <c r="O16" s="35">
        <v>76152.389930071149</v>
      </c>
      <c r="P16" s="35">
        <v>75997.258703267507</v>
      </c>
      <c r="Q16" s="35">
        <v>59469.434770816384</v>
      </c>
      <c r="R16" s="35">
        <v>46838.309215808848</v>
      </c>
      <c r="S16" s="35">
        <v>40207.362453770336</v>
      </c>
      <c r="T16" s="35">
        <v>45079.572194656852</v>
      </c>
      <c r="U16" s="35">
        <v>61557.501083593466</v>
      </c>
      <c r="V16" s="35">
        <v>44557.220048915238</v>
      </c>
      <c r="W16" s="35">
        <v>89525.328806781472</v>
      </c>
      <c r="X16" s="35">
        <v>46260.659939151272</v>
      </c>
      <c r="Y16" s="35">
        <v>43698.893273889727</v>
      </c>
      <c r="Z16" s="35">
        <v>51701.574156171155</v>
      </c>
      <c r="AA16" s="35">
        <v>45536.208112192915</v>
      </c>
      <c r="AB16" s="35">
        <v>76211.54883833522</v>
      </c>
      <c r="AC16" s="35">
        <v>70624.646234899905</v>
      </c>
      <c r="AD16" s="35">
        <v>89052.497629255697</v>
      </c>
      <c r="AE16" s="35">
        <v>62546.600182150047</v>
      </c>
      <c r="AF16" s="35">
        <v>76746.058431283789</v>
      </c>
      <c r="AG16" s="35">
        <v>60241.658213858544</v>
      </c>
    </row>
    <row r="17" spans="1:33" x14ac:dyDescent="0.25">
      <c r="A17" s="10" t="s">
        <v>9</v>
      </c>
      <c r="B17" s="11" t="s">
        <v>4</v>
      </c>
      <c r="C17" s="12">
        <v>1382223.1846320101</v>
      </c>
      <c r="D17" s="35">
        <v>42813.207365584924</v>
      </c>
      <c r="E17" s="35">
        <v>41061.639124384907</v>
      </c>
      <c r="F17" s="35">
        <v>39016.731231987345</v>
      </c>
      <c r="G17" s="35">
        <v>52373.355142734283</v>
      </c>
      <c r="H17" s="35">
        <v>55549.312658037379</v>
      </c>
      <c r="I17" s="35">
        <v>57908.975373351372</v>
      </c>
      <c r="J17" s="35">
        <v>34700.113334582871</v>
      </c>
      <c r="K17" s="35">
        <v>36179.973510533811</v>
      </c>
      <c r="L17" s="35">
        <v>45956.702746449657</v>
      </c>
      <c r="M17" s="35">
        <v>47746.33038102604</v>
      </c>
      <c r="N17" s="35">
        <v>46047.075361323965</v>
      </c>
      <c r="O17" s="35">
        <v>39724.828754192349</v>
      </c>
      <c r="P17" s="35">
        <v>58286.175538514683</v>
      </c>
      <c r="Q17" s="35">
        <v>38652.151951213251</v>
      </c>
      <c r="R17" s="35">
        <v>42035.53266856703</v>
      </c>
      <c r="S17" s="35">
        <v>42008.126757492711</v>
      </c>
      <c r="T17" s="35">
        <v>40692.751233039897</v>
      </c>
      <c r="U17" s="35">
        <v>43347.898067826463</v>
      </c>
      <c r="V17" s="35">
        <v>52629.078066025075</v>
      </c>
      <c r="W17" s="35">
        <v>54216.102633664348</v>
      </c>
      <c r="X17" s="35">
        <v>41030.908303783261</v>
      </c>
      <c r="Y17" s="35">
        <v>43624.278713032574</v>
      </c>
      <c r="Z17" s="35">
        <v>38688.066876314595</v>
      </c>
      <c r="AA17" s="35">
        <v>36904.793950479783</v>
      </c>
      <c r="AB17" s="35">
        <v>41270.557552021848</v>
      </c>
      <c r="AC17" s="35">
        <v>50869.541846372013</v>
      </c>
      <c r="AD17" s="35">
        <v>49079.107576939896</v>
      </c>
      <c r="AE17" s="35">
        <v>60357.40727083863</v>
      </c>
      <c r="AF17" s="35">
        <v>64652.993639931206</v>
      </c>
      <c r="AG17" s="35">
        <v>44799.467001763842</v>
      </c>
    </row>
    <row r="18" spans="1:33" ht="15.75" thickBot="1" x14ac:dyDescent="0.3">
      <c r="A18" s="13" t="s">
        <v>9</v>
      </c>
      <c r="B18" s="14" t="s">
        <v>5</v>
      </c>
      <c r="C18" s="15">
        <v>1967822.8240148281</v>
      </c>
      <c r="D18" s="36">
        <v>66676.646422592603</v>
      </c>
      <c r="E18" s="36">
        <v>73733.162693418737</v>
      </c>
      <c r="F18" s="36">
        <v>42039.071314287859</v>
      </c>
      <c r="G18" s="36">
        <v>74435.980114817459</v>
      </c>
      <c r="H18" s="36">
        <v>69093.055208312478</v>
      </c>
      <c r="I18" s="36">
        <v>73871.007248262598</v>
      </c>
      <c r="J18" s="36">
        <v>59954.153017991761</v>
      </c>
      <c r="K18" s="36">
        <v>58544.632570627691</v>
      </c>
      <c r="L18" s="36">
        <v>60901.236833887029</v>
      </c>
      <c r="M18" s="36">
        <v>54375.299369755994</v>
      </c>
      <c r="N18" s="36">
        <v>63618.675628642297</v>
      </c>
      <c r="O18" s="36">
        <v>77379.121853096163</v>
      </c>
      <c r="P18" s="36">
        <v>70784.445957283562</v>
      </c>
      <c r="Q18" s="36">
        <v>56928.906765826549</v>
      </c>
      <c r="R18" s="36">
        <v>42442.607745586552</v>
      </c>
      <c r="S18" s="36">
        <v>44176.789832828668</v>
      </c>
      <c r="T18" s="36">
        <v>70405.932421889767</v>
      </c>
      <c r="U18" s="36">
        <v>58241.376537492746</v>
      </c>
      <c r="V18" s="36">
        <v>52162.710915652235</v>
      </c>
      <c r="W18" s="36">
        <v>101913.6240955051</v>
      </c>
      <c r="X18" s="36">
        <v>63387.487125730666</v>
      </c>
      <c r="Y18" s="36">
        <v>61266.255098177237</v>
      </c>
      <c r="Z18" s="36">
        <v>60385.385561636343</v>
      </c>
      <c r="AA18" s="36">
        <v>68678.965037756047</v>
      </c>
      <c r="AB18" s="36">
        <v>70241.822770192593</v>
      </c>
      <c r="AC18" s="36">
        <v>56958.063706487766</v>
      </c>
      <c r="AD18" s="36">
        <v>83855.629657087818</v>
      </c>
      <c r="AE18" s="36">
        <v>86836.504491375599</v>
      </c>
      <c r="AF18" s="36">
        <v>83111.51153855618</v>
      </c>
      <c r="AG18" s="36">
        <v>61422.762480070087</v>
      </c>
    </row>
    <row r="19" spans="1:33" x14ac:dyDescent="0.25">
      <c r="A19" s="8" t="s">
        <v>65</v>
      </c>
      <c r="B19" s="8" t="s">
        <v>2</v>
      </c>
      <c r="C19" s="9">
        <v>2106034.4493071912</v>
      </c>
      <c r="D19" s="34">
        <v>64067.789486826456</v>
      </c>
      <c r="E19" s="34">
        <v>70440.661996218711</v>
      </c>
      <c r="F19" s="34">
        <v>71939.986525306289</v>
      </c>
      <c r="G19" s="34">
        <v>78770.510039018191</v>
      </c>
      <c r="H19" s="34">
        <v>77988.333338013472</v>
      </c>
      <c r="I19" s="34">
        <v>73976.787406155898</v>
      </c>
      <c r="J19" s="34">
        <v>58159.545181121233</v>
      </c>
      <c r="K19" s="34">
        <v>56742.640967713691</v>
      </c>
      <c r="L19" s="34">
        <v>64707.346046082101</v>
      </c>
      <c r="M19" s="34">
        <v>63466.409894060205</v>
      </c>
      <c r="N19" s="34">
        <v>70286.785535293151</v>
      </c>
      <c r="O19" s="34">
        <v>75532.926272949524</v>
      </c>
      <c r="P19" s="34">
        <v>90112.738130866113</v>
      </c>
      <c r="Q19" s="34">
        <v>66118.003431977209</v>
      </c>
      <c r="R19" s="34">
        <v>55918.575292674344</v>
      </c>
      <c r="S19" s="34">
        <v>64756.031774672905</v>
      </c>
      <c r="T19" s="34">
        <v>55344.984200836923</v>
      </c>
      <c r="U19" s="34">
        <v>66363.142004332869</v>
      </c>
      <c r="V19" s="34">
        <v>76093.147263536099</v>
      </c>
      <c r="W19" s="34">
        <v>71322.693418711919</v>
      </c>
      <c r="X19" s="34">
        <v>63336.996593970871</v>
      </c>
      <c r="Y19" s="34">
        <v>76323.197212629238</v>
      </c>
      <c r="Z19" s="34">
        <v>62941.521716033712</v>
      </c>
      <c r="AA19" s="34">
        <v>65750.102239717395</v>
      </c>
      <c r="AB19" s="34">
        <v>69837.555288830743</v>
      </c>
      <c r="AC19" s="34">
        <v>72987.202283561885</v>
      </c>
      <c r="AD19" s="34">
        <v>80697.884030774265</v>
      </c>
      <c r="AE19" s="34">
        <v>84244.31689514441</v>
      </c>
      <c r="AF19" s="34">
        <v>90924.877263144415</v>
      </c>
      <c r="AG19" s="34">
        <v>66881.757577016746</v>
      </c>
    </row>
    <row r="20" spans="1:33" x14ac:dyDescent="0.25">
      <c r="A20" s="10" t="s">
        <v>65</v>
      </c>
      <c r="B20" s="11" t="s">
        <v>3</v>
      </c>
      <c r="C20" s="12">
        <v>843072.41509825946</v>
      </c>
      <c r="D20" s="35">
        <v>30918.762327345397</v>
      </c>
      <c r="E20" s="35">
        <v>24415.994738245452</v>
      </c>
      <c r="F20" s="35">
        <v>28494.653986694717</v>
      </c>
      <c r="G20" s="35">
        <v>32704.953041263219</v>
      </c>
      <c r="H20" s="35">
        <v>33161.774915835726</v>
      </c>
      <c r="I20" s="35">
        <v>42851.985023351619</v>
      </c>
      <c r="J20" s="35">
        <v>27152.3629125279</v>
      </c>
      <c r="K20" s="35">
        <v>19240.091152590037</v>
      </c>
      <c r="L20" s="35">
        <v>23795.309994163352</v>
      </c>
      <c r="M20" s="35">
        <v>25399.832144610184</v>
      </c>
      <c r="N20" s="35">
        <v>33975.866000923903</v>
      </c>
      <c r="O20" s="35">
        <v>38280.999307736136</v>
      </c>
      <c r="P20" s="35">
        <v>26495.144457226193</v>
      </c>
      <c r="Q20" s="35">
        <v>16473.470774172507</v>
      </c>
      <c r="R20" s="35">
        <v>20413.577646109661</v>
      </c>
      <c r="S20" s="35">
        <v>23629.117044746054</v>
      </c>
      <c r="T20" s="35">
        <v>24880.42820718314</v>
      </c>
      <c r="U20" s="35">
        <v>29460.608029767787</v>
      </c>
      <c r="V20" s="35">
        <v>31879.57077728894</v>
      </c>
      <c r="W20" s="35">
        <v>31977.424424746408</v>
      </c>
      <c r="X20" s="35">
        <v>18998.024976177985</v>
      </c>
      <c r="Y20" s="35">
        <v>30620.29850850052</v>
      </c>
      <c r="Z20" s="35">
        <v>22541.600791154586</v>
      </c>
      <c r="AA20" s="35">
        <v>25865.022889517873</v>
      </c>
      <c r="AB20" s="35">
        <v>30983.412336118025</v>
      </c>
      <c r="AC20" s="35">
        <v>30288.708720301052</v>
      </c>
      <c r="AD20" s="35">
        <v>29205.98854785295</v>
      </c>
      <c r="AE20" s="35">
        <v>28199.714413710248</v>
      </c>
      <c r="AF20" s="35">
        <v>36062.588479604696</v>
      </c>
      <c r="AG20" s="35">
        <v>24705.128528793215</v>
      </c>
    </row>
    <row r="21" spans="1:33" x14ac:dyDescent="0.25">
      <c r="A21" s="10" t="s">
        <v>65</v>
      </c>
      <c r="B21" s="11" t="s">
        <v>4</v>
      </c>
      <c r="C21" s="12">
        <v>2180551.7910802923</v>
      </c>
      <c r="D21" s="35">
        <v>64619.878102582479</v>
      </c>
      <c r="E21" s="35">
        <v>66745.541034053909</v>
      </c>
      <c r="F21" s="35">
        <v>94630.56493452462</v>
      </c>
      <c r="G21" s="35">
        <v>75001.814012940551</v>
      </c>
      <c r="H21" s="35">
        <v>82837.199266777519</v>
      </c>
      <c r="I21" s="35">
        <v>81330.559253916043</v>
      </c>
      <c r="J21" s="35">
        <v>68486.827047436847</v>
      </c>
      <c r="K21" s="35">
        <v>70690.511850081311</v>
      </c>
      <c r="L21" s="35">
        <v>70076.783846738675</v>
      </c>
      <c r="M21" s="35">
        <v>67324.901197828571</v>
      </c>
      <c r="N21" s="35">
        <v>75098.149326294399</v>
      </c>
      <c r="O21" s="35">
        <v>76962.879190554799</v>
      </c>
      <c r="P21" s="35">
        <v>74150.51128697244</v>
      </c>
      <c r="Q21" s="35">
        <v>63071.744883570726</v>
      </c>
      <c r="R21" s="35">
        <v>66456.954758440188</v>
      </c>
      <c r="S21" s="35">
        <v>62219.638544830188</v>
      </c>
      <c r="T21" s="35">
        <v>60263.653985743913</v>
      </c>
      <c r="U21" s="35">
        <v>84788.835387861836</v>
      </c>
      <c r="V21" s="35">
        <v>81582.241845213211</v>
      </c>
      <c r="W21" s="35">
        <v>74086.749077994798</v>
      </c>
      <c r="X21" s="35">
        <v>61116.742517872975</v>
      </c>
      <c r="Y21" s="35">
        <v>64355.677010096879</v>
      </c>
      <c r="Z21" s="35">
        <v>61459.099416993697</v>
      </c>
      <c r="AA21" s="35">
        <v>70862.038531843064</v>
      </c>
      <c r="AB21" s="35">
        <v>74208.674993635432</v>
      </c>
      <c r="AC21" s="35">
        <v>74219.113030646346</v>
      </c>
      <c r="AD21" s="35">
        <v>84945.495233333451</v>
      </c>
      <c r="AE21" s="35">
        <v>84240.530393226538</v>
      </c>
      <c r="AF21" s="35">
        <v>77521.532931892943</v>
      </c>
      <c r="AG21" s="35">
        <v>67196.948186394642</v>
      </c>
    </row>
    <row r="22" spans="1:33" ht="15.75" thickBot="1" x14ac:dyDescent="0.3">
      <c r="A22" s="13" t="s">
        <v>65</v>
      </c>
      <c r="B22" s="14" t="s">
        <v>5</v>
      </c>
      <c r="C22" s="15">
        <v>984188.19761056185</v>
      </c>
      <c r="D22" s="36">
        <v>26976.20751933565</v>
      </c>
      <c r="E22" s="36">
        <v>28086.10583185119</v>
      </c>
      <c r="F22" s="36">
        <v>35228.405431169864</v>
      </c>
      <c r="G22" s="36">
        <v>28230.73321951001</v>
      </c>
      <c r="H22" s="36">
        <v>34478.495317446781</v>
      </c>
      <c r="I22" s="36">
        <v>34851.134385799662</v>
      </c>
      <c r="J22" s="36">
        <v>33630.878350174411</v>
      </c>
      <c r="K22" s="36">
        <v>27304.154974850495</v>
      </c>
      <c r="L22" s="36">
        <v>35580.05258864168</v>
      </c>
      <c r="M22" s="36">
        <v>26220.159165392266</v>
      </c>
      <c r="N22" s="36">
        <v>40498.480816229836</v>
      </c>
      <c r="O22" s="36">
        <v>42955.00455239544</v>
      </c>
      <c r="P22" s="36">
        <v>27572.269824983883</v>
      </c>
      <c r="Q22" s="36">
        <v>21306.641529980352</v>
      </c>
      <c r="R22" s="36">
        <v>29099.690366612114</v>
      </c>
      <c r="S22" s="36">
        <v>28209.680361562925</v>
      </c>
      <c r="T22" s="36">
        <v>32035.850098885661</v>
      </c>
      <c r="U22" s="36">
        <v>34914.449680667822</v>
      </c>
      <c r="V22" s="36">
        <v>30770.998224383249</v>
      </c>
      <c r="W22" s="36">
        <v>36165.483984631763</v>
      </c>
      <c r="X22" s="36">
        <v>26788.952012359656</v>
      </c>
      <c r="Y22" s="36">
        <v>26503.667503056855</v>
      </c>
      <c r="Z22" s="36">
        <v>35422.565370053235</v>
      </c>
      <c r="AA22" s="36">
        <v>30514.384956279679</v>
      </c>
      <c r="AB22" s="36">
        <v>35691.803387546075</v>
      </c>
      <c r="AC22" s="36">
        <v>32977.560629364874</v>
      </c>
      <c r="AD22" s="36">
        <v>44965.439298933714</v>
      </c>
      <c r="AE22" s="36">
        <v>46938.861762952118</v>
      </c>
      <c r="AF22" s="36">
        <v>45000.466448446175</v>
      </c>
      <c r="AG22" s="36">
        <v>25269.620017064277</v>
      </c>
    </row>
    <row r="23" spans="1:33" x14ac:dyDescent="0.25">
      <c r="A23" s="8" t="s">
        <v>8</v>
      </c>
      <c r="B23" s="8" t="s">
        <v>2</v>
      </c>
      <c r="C23" s="9">
        <v>733762.56450909341</v>
      </c>
      <c r="D23" s="34">
        <v>25744.386593717754</v>
      </c>
      <c r="E23" s="34">
        <v>23985.058386921071</v>
      </c>
      <c r="F23" s="34">
        <v>17931.587355282823</v>
      </c>
      <c r="G23" s="34">
        <v>22517.114464753045</v>
      </c>
      <c r="H23" s="34">
        <v>26684.448296255399</v>
      </c>
      <c r="I23" s="34">
        <v>39781.329707732359</v>
      </c>
      <c r="J23" s="34">
        <v>23062.887305900767</v>
      </c>
      <c r="K23" s="34">
        <v>22040.810169890363</v>
      </c>
      <c r="L23" s="34">
        <v>19247.5196248674</v>
      </c>
      <c r="M23" s="34">
        <v>16401.336160892184</v>
      </c>
      <c r="N23" s="34">
        <v>21245.640724669433</v>
      </c>
      <c r="O23" s="34">
        <v>24305.548434551958</v>
      </c>
      <c r="P23" s="34">
        <v>23219.178971403391</v>
      </c>
      <c r="Q23" s="34">
        <v>21022.46862245521</v>
      </c>
      <c r="R23" s="34">
        <v>21230.145570265369</v>
      </c>
      <c r="S23" s="34">
        <v>21581.374653930267</v>
      </c>
      <c r="T23" s="34">
        <v>19015.913133201881</v>
      </c>
      <c r="U23" s="34">
        <v>21169.764722644337</v>
      </c>
      <c r="V23" s="34">
        <v>19965.782849689345</v>
      </c>
      <c r="W23" s="34">
        <v>26571.610069157257</v>
      </c>
      <c r="X23" s="34">
        <v>21317.069198592602</v>
      </c>
      <c r="Y23" s="34">
        <v>21887.768298933024</v>
      </c>
      <c r="Z23" s="34">
        <v>29152.809641304688</v>
      </c>
      <c r="AA23" s="34">
        <v>22874.834761749378</v>
      </c>
      <c r="AB23" s="34">
        <v>20335.338094346727</v>
      </c>
      <c r="AC23" s="34">
        <v>26484.636186275198</v>
      </c>
      <c r="AD23" s="34">
        <v>37508.709853722532</v>
      </c>
      <c r="AE23" s="34">
        <v>27924.962634082105</v>
      </c>
      <c r="AF23" s="34">
        <v>49309.400659901599</v>
      </c>
      <c r="AG23" s="34">
        <v>20243.129362003834</v>
      </c>
    </row>
    <row r="24" spans="1:33" x14ac:dyDescent="0.25">
      <c r="A24" s="10" t="s">
        <v>8</v>
      </c>
      <c r="B24" s="11" t="s">
        <v>3</v>
      </c>
      <c r="C24" s="12">
        <v>404486.8153551814</v>
      </c>
      <c r="D24" s="35">
        <v>10335.302921760551</v>
      </c>
      <c r="E24" s="35">
        <v>8285.3112358425751</v>
      </c>
      <c r="F24" s="35">
        <v>6903.8598972507652</v>
      </c>
      <c r="G24" s="35">
        <v>8574.3955345961949</v>
      </c>
      <c r="H24" s="35">
        <v>18365.344960125487</v>
      </c>
      <c r="I24" s="35">
        <v>21312.218092869836</v>
      </c>
      <c r="J24" s="35">
        <v>4767.5896003423422</v>
      </c>
      <c r="K24" s="35">
        <v>8747.1480723303121</v>
      </c>
      <c r="L24" s="35">
        <v>8530.3390942597325</v>
      </c>
      <c r="M24" s="35">
        <v>8734.4185804135122</v>
      </c>
      <c r="N24" s="35">
        <v>8798.2698477400063</v>
      </c>
      <c r="O24" s="35">
        <v>17664.101962117806</v>
      </c>
      <c r="P24" s="35">
        <v>24225.743183748098</v>
      </c>
      <c r="Q24" s="35">
        <v>12221.738894324593</v>
      </c>
      <c r="R24" s="35">
        <v>11091.905197824015</v>
      </c>
      <c r="S24" s="35">
        <v>9970.5634905941497</v>
      </c>
      <c r="T24" s="35">
        <v>9413.1917748108899</v>
      </c>
      <c r="U24" s="35">
        <v>14105.313066504403</v>
      </c>
      <c r="V24" s="35">
        <v>16884.23163545259</v>
      </c>
      <c r="W24" s="35">
        <v>17609.676802881804</v>
      </c>
      <c r="X24" s="35">
        <v>12236.047896245746</v>
      </c>
      <c r="Y24" s="35">
        <v>9962.6829245509289</v>
      </c>
      <c r="Z24" s="35">
        <v>8781.600072801597</v>
      </c>
      <c r="AA24" s="35">
        <v>9224.4912812263719</v>
      </c>
      <c r="AB24" s="35">
        <v>13460.117197683428</v>
      </c>
      <c r="AC24" s="35">
        <v>24830.236947994545</v>
      </c>
      <c r="AD24" s="35">
        <v>26363.720370499937</v>
      </c>
      <c r="AE24" s="35">
        <v>16399.152224330908</v>
      </c>
      <c r="AF24" s="35">
        <v>26016.34705739214</v>
      </c>
      <c r="AG24" s="35">
        <v>10671.755536666209</v>
      </c>
    </row>
    <row r="25" spans="1:33" x14ac:dyDescent="0.25">
      <c r="A25" s="10" t="s">
        <v>8</v>
      </c>
      <c r="B25" s="11" t="s">
        <v>4</v>
      </c>
      <c r="C25" s="12">
        <v>1892238.1059495383</v>
      </c>
      <c r="D25" s="35">
        <v>53739.256000083042</v>
      </c>
      <c r="E25" s="35">
        <v>55206.572694738781</v>
      </c>
      <c r="F25" s="35">
        <v>42053.266931715982</v>
      </c>
      <c r="G25" s="35">
        <v>53380.537923274947</v>
      </c>
      <c r="H25" s="35">
        <v>84496.098722556984</v>
      </c>
      <c r="I25" s="35">
        <v>86883.18082683903</v>
      </c>
      <c r="J25" s="35">
        <v>55659.939585702094</v>
      </c>
      <c r="K25" s="35">
        <v>53832.270055524685</v>
      </c>
      <c r="L25" s="35">
        <v>44121.533933243991</v>
      </c>
      <c r="M25" s="35">
        <v>46566.04622574211</v>
      </c>
      <c r="N25" s="35">
        <v>54872.831130321603</v>
      </c>
      <c r="O25" s="35">
        <v>78241.706940860633</v>
      </c>
      <c r="P25" s="35">
        <v>91879.672220449182</v>
      </c>
      <c r="Q25" s="35">
        <v>53196.618279596092</v>
      </c>
      <c r="R25" s="35">
        <v>53592.53640553978</v>
      </c>
      <c r="S25" s="35">
        <v>53596.437534288081</v>
      </c>
      <c r="T25" s="35">
        <v>53510.566259816536</v>
      </c>
      <c r="U25" s="35">
        <v>57972.556572900488</v>
      </c>
      <c r="V25" s="35">
        <v>75060.113524978107</v>
      </c>
      <c r="W25" s="35">
        <v>66889.682358553517</v>
      </c>
      <c r="X25" s="35">
        <v>70239.367981478921</v>
      </c>
      <c r="Y25" s="35">
        <v>57983.767673850969</v>
      </c>
      <c r="Z25" s="35">
        <v>51903.672751587641</v>
      </c>
      <c r="AA25" s="35">
        <v>56444.809536253197</v>
      </c>
      <c r="AB25" s="35">
        <v>53055.276669684426</v>
      </c>
      <c r="AC25" s="35">
        <v>67886.996634654977</v>
      </c>
      <c r="AD25" s="35">
        <v>96871.547278373837</v>
      </c>
      <c r="AE25" s="35">
        <v>78303.27046786953</v>
      </c>
      <c r="AF25" s="35">
        <v>96238.375505720964</v>
      </c>
      <c r="AG25" s="35">
        <v>48559.597323338363</v>
      </c>
    </row>
    <row r="26" spans="1:33" ht="15.75" thickBot="1" x14ac:dyDescent="0.3">
      <c r="A26" s="13" t="s">
        <v>8</v>
      </c>
      <c r="B26" s="14" t="s">
        <v>5</v>
      </c>
      <c r="C26" s="15">
        <v>266445.97098171682</v>
      </c>
      <c r="D26" s="36">
        <v>8866.7476672899375</v>
      </c>
      <c r="E26" s="36">
        <v>10622.616391416173</v>
      </c>
      <c r="F26" s="36">
        <v>7432.2180317017182</v>
      </c>
      <c r="G26" s="36">
        <v>8201.6255093473155</v>
      </c>
      <c r="H26" s="36">
        <v>13373.769434707954</v>
      </c>
      <c r="I26" s="36">
        <v>8383.9200802757277</v>
      </c>
      <c r="J26" s="36">
        <v>7955.6765637683739</v>
      </c>
      <c r="K26" s="36">
        <v>6492.6380505905881</v>
      </c>
      <c r="L26" s="36">
        <v>4180.4058324318485</v>
      </c>
      <c r="M26" s="36">
        <v>6664.3634766565274</v>
      </c>
      <c r="N26" s="36">
        <v>7354.7264213430826</v>
      </c>
      <c r="O26" s="36">
        <v>10156.492379835203</v>
      </c>
      <c r="P26" s="36">
        <v>15956.271993202265</v>
      </c>
      <c r="Q26" s="36">
        <v>12084.372391401585</v>
      </c>
      <c r="R26" s="36">
        <v>7269.6556215764913</v>
      </c>
      <c r="S26" s="36">
        <v>4653.4755028076761</v>
      </c>
      <c r="T26" s="36">
        <v>7454.6156566697819</v>
      </c>
      <c r="U26" s="36">
        <v>9735.4881094799966</v>
      </c>
      <c r="V26" s="36">
        <v>7834.1700277653599</v>
      </c>
      <c r="W26" s="36">
        <v>6986.5215194017264</v>
      </c>
      <c r="X26" s="36">
        <v>8459.6115365751848</v>
      </c>
      <c r="Y26" s="36">
        <v>8657.1803760658131</v>
      </c>
      <c r="Z26" s="36">
        <v>9499.5365860151214</v>
      </c>
      <c r="AA26" s="36">
        <v>7992.9312542119778</v>
      </c>
      <c r="AB26" s="36">
        <v>7820.0314787168745</v>
      </c>
      <c r="AC26" s="36">
        <v>10486.646815075037</v>
      </c>
      <c r="AD26" s="36">
        <v>12023.653890323967</v>
      </c>
      <c r="AE26" s="36">
        <v>9913.6724574063373</v>
      </c>
      <c r="AF26" s="36">
        <v>10784.413929215827</v>
      </c>
      <c r="AG26" s="36">
        <v>9148.5219964414591</v>
      </c>
    </row>
    <row r="27" spans="1:33" x14ac:dyDescent="0.25">
      <c r="A27" s="8" t="s">
        <v>10</v>
      </c>
      <c r="B27" s="8" t="s">
        <v>2</v>
      </c>
      <c r="C27" s="9">
        <v>1767783.9258355002</v>
      </c>
      <c r="D27" s="34">
        <v>59627.535795809854</v>
      </c>
      <c r="E27" s="34">
        <v>55508.483908738075</v>
      </c>
      <c r="F27" s="34">
        <v>47245.493143792257</v>
      </c>
      <c r="G27" s="34">
        <v>56406.870550238804</v>
      </c>
      <c r="H27" s="34">
        <v>73827.332726856665</v>
      </c>
      <c r="I27" s="34">
        <v>66941.660034980334</v>
      </c>
      <c r="J27" s="34">
        <v>54035.021892001983</v>
      </c>
      <c r="K27" s="34">
        <v>50819.282278395585</v>
      </c>
      <c r="L27" s="34">
        <v>51766.995829809777</v>
      </c>
      <c r="M27" s="34">
        <v>51328.191043354273</v>
      </c>
      <c r="N27" s="34">
        <v>52740.098347258296</v>
      </c>
      <c r="O27" s="34">
        <v>58301.395666322074</v>
      </c>
      <c r="P27" s="34">
        <v>65911.86568976038</v>
      </c>
      <c r="Q27" s="34">
        <v>57403.620807135419</v>
      </c>
      <c r="R27" s="34">
        <v>50293.784800689718</v>
      </c>
      <c r="S27" s="34">
        <v>51371.941322174003</v>
      </c>
      <c r="T27" s="34">
        <v>52660.307815448847</v>
      </c>
      <c r="U27" s="34">
        <v>56290.467199940547</v>
      </c>
      <c r="V27" s="34">
        <v>58738.694527081374</v>
      </c>
      <c r="W27" s="34">
        <v>70205.84810184408</v>
      </c>
      <c r="X27" s="34">
        <v>58691.70493934222</v>
      </c>
      <c r="Y27" s="34">
        <v>70803.967277576463</v>
      </c>
      <c r="Z27" s="34">
        <v>63521.836116087179</v>
      </c>
      <c r="AA27" s="34">
        <v>45656.718004215058</v>
      </c>
      <c r="AB27" s="34">
        <v>57705.551065859996</v>
      </c>
      <c r="AC27" s="34">
        <v>57078.827145262861</v>
      </c>
      <c r="AD27" s="34">
        <v>75715.065490581037</v>
      </c>
      <c r="AE27" s="34">
        <v>68122.692795859606</v>
      </c>
      <c r="AF27" s="34">
        <v>71219.006674138844</v>
      </c>
      <c r="AG27" s="34">
        <v>57843.664844945088</v>
      </c>
    </row>
    <row r="28" spans="1:33" x14ac:dyDescent="0.25">
      <c r="A28" s="10" t="s">
        <v>10</v>
      </c>
      <c r="B28" s="11" t="s">
        <v>3</v>
      </c>
      <c r="C28" s="12">
        <v>2038449.5123502263</v>
      </c>
      <c r="D28" s="35">
        <v>100473.90626945804</v>
      </c>
      <c r="E28" s="35">
        <v>64612.223904541206</v>
      </c>
      <c r="F28" s="35">
        <v>48669.050465853878</v>
      </c>
      <c r="G28" s="35">
        <v>47374.600913394577</v>
      </c>
      <c r="H28" s="35">
        <v>146516.30553731642</v>
      </c>
      <c r="I28" s="35">
        <v>65949.92762485439</v>
      </c>
      <c r="J28" s="35">
        <v>54334.804107340846</v>
      </c>
      <c r="K28" s="35">
        <v>54719.658517776857</v>
      </c>
      <c r="L28" s="35">
        <v>112892.96937306323</v>
      </c>
      <c r="M28" s="35">
        <v>45781.750265459246</v>
      </c>
      <c r="N28" s="35">
        <v>64955.018883360637</v>
      </c>
      <c r="O28" s="35">
        <v>93092.267727915678</v>
      </c>
      <c r="P28" s="35">
        <v>66564.918102997763</v>
      </c>
      <c r="Q28" s="35">
        <v>39065.894212358602</v>
      </c>
      <c r="R28" s="35">
        <v>43550.438860403316</v>
      </c>
      <c r="S28" s="35">
        <v>34944.085634146439</v>
      </c>
      <c r="T28" s="35">
        <v>43991.791718692075</v>
      </c>
      <c r="U28" s="35">
        <v>51562.717352776148</v>
      </c>
      <c r="V28" s="35">
        <v>72002.917289145116</v>
      </c>
      <c r="W28" s="35">
        <v>83852.798617178691</v>
      </c>
      <c r="X28" s="35">
        <v>49978.874387261421</v>
      </c>
      <c r="Y28" s="35">
        <v>50987.624776872697</v>
      </c>
      <c r="Z28" s="35">
        <v>72722.714431683111</v>
      </c>
      <c r="AA28" s="35">
        <v>53798.902024063122</v>
      </c>
      <c r="AB28" s="35">
        <v>64665.59402987791</v>
      </c>
      <c r="AC28" s="35">
        <v>91017.883355605998</v>
      </c>
      <c r="AD28" s="35">
        <v>68465.256129897971</v>
      </c>
      <c r="AE28" s="35">
        <v>94788.494500803601</v>
      </c>
      <c r="AF28" s="35">
        <v>67498.588752223746</v>
      </c>
      <c r="AG28" s="35">
        <v>89617.5345839035</v>
      </c>
    </row>
    <row r="29" spans="1:33" x14ac:dyDescent="0.25">
      <c r="A29" s="10" t="s">
        <v>10</v>
      </c>
      <c r="B29" s="11" t="s">
        <v>4</v>
      </c>
      <c r="C29" s="12">
        <v>2117280.0361045692</v>
      </c>
      <c r="D29" s="35">
        <v>51136.133684163746</v>
      </c>
      <c r="E29" s="35">
        <v>69185.620133491975</v>
      </c>
      <c r="F29" s="35">
        <v>62444.735860308574</v>
      </c>
      <c r="G29" s="35">
        <v>74091.696416183462</v>
      </c>
      <c r="H29" s="35">
        <v>93568.524752608442</v>
      </c>
      <c r="I29" s="35">
        <v>78148.340523497798</v>
      </c>
      <c r="J29" s="35">
        <v>61328.822312574252</v>
      </c>
      <c r="K29" s="35">
        <v>55132.351026022603</v>
      </c>
      <c r="L29" s="35">
        <v>57697.01451634297</v>
      </c>
      <c r="M29" s="35">
        <v>66747.431654183951</v>
      </c>
      <c r="N29" s="35">
        <v>73071.886962630597</v>
      </c>
      <c r="O29" s="35">
        <v>83634.697820724497</v>
      </c>
      <c r="P29" s="35">
        <v>77967.109974742867</v>
      </c>
      <c r="Q29" s="35">
        <v>57553.807725323903</v>
      </c>
      <c r="R29" s="35">
        <v>57021.441951947731</v>
      </c>
      <c r="S29" s="35">
        <v>59836.302763122192</v>
      </c>
      <c r="T29" s="35">
        <v>57449.702556956843</v>
      </c>
      <c r="U29" s="35">
        <v>74706.037962070375</v>
      </c>
      <c r="V29" s="35">
        <v>88240.530685376216</v>
      </c>
      <c r="W29" s="35">
        <v>93093.609179265346</v>
      </c>
      <c r="X29" s="35">
        <v>68323.676433818415</v>
      </c>
      <c r="Y29" s="35">
        <v>51415.093415743009</v>
      </c>
      <c r="Z29" s="35">
        <v>54314.035981649089</v>
      </c>
      <c r="AA29" s="35">
        <v>55912.849594374929</v>
      </c>
      <c r="AB29" s="35">
        <v>76942.848109959275</v>
      </c>
      <c r="AC29" s="35">
        <v>93058.843890083837</v>
      </c>
      <c r="AD29" s="35">
        <v>85648.76303804788</v>
      </c>
      <c r="AE29" s="35">
        <v>96782.883758066848</v>
      </c>
      <c r="AF29" s="35">
        <v>84940.03369057682</v>
      </c>
      <c r="AG29" s="35">
        <v>57885.20973071023</v>
      </c>
    </row>
    <row r="30" spans="1:33" ht="15.75" thickBot="1" x14ac:dyDescent="0.3">
      <c r="A30" s="13" t="s">
        <v>10</v>
      </c>
      <c r="B30" s="14" t="s">
        <v>5</v>
      </c>
      <c r="C30" s="15">
        <v>1869611.8469328482</v>
      </c>
      <c r="D30" s="36">
        <v>64341.914778268903</v>
      </c>
      <c r="E30" s="36">
        <v>69101.179382325194</v>
      </c>
      <c r="F30" s="36">
        <v>40478.150863553965</v>
      </c>
      <c r="G30" s="36">
        <v>42041.254894623795</v>
      </c>
      <c r="H30" s="36">
        <v>59311.448851393987</v>
      </c>
      <c r="I30" s="36">
        <v>62316.202953759668</v>
      </c>
      <c r="J30" s="36">
        <v>69150.657338170276</v>
      </c>
      <c r="K30" s="36">
        <v>68257.59576636352</v>
      </c>
      <c r="L30" s="36">
        <v>73004.053789202866</v>
      </c>
      <c r="M30" s="36">
        <v>66752.968910372292</v>
      </c>
      <c r="N30" s="36">
        <v>60346.891561428994</v>
      </c>
      <c r="O30" s="36">
        <v>73087.283254658498</v>
      </c>
      <c r="P30" s="36">
        <v>57175.811652696924</v>
      </c>
      <c r="Q30" s="36">
        <v>51935.834317098284</v>
      </c>
      <c r="R30" s="36">
        <v>57342.794206818027</v>
      </c>
      <c r="S30" s="36">
        <v>59373.138765488889</v>
      </c>
      <c r="T30" s="36">
        <v>48826.985695610281</v>
      </c>
      <c r="U30" s="36">
        <v>52102.142373525348</v>
      </c>
      <c r="V30" s="36">
        <v>69773.05896030755</v>
      </c>
      <c r="W30" s="36">
        <v>68478.999634429376</v>
      </c>
      <c r="X30" s="36">
        <v>70648.885341037851</v>
      </c>
      <c r="Y30" s="36">
        <v>59443.579399666909</v>
      </c>
      <c r="Z30" s="36">
        <v>51837.659402738063</v>
      </c>
      <c r="AA30" s="36">
        <v>56394.654573311804</v>
      </c>
      <c r="AB30" s="36">
        <v>58209.505993709252</v>
      </c>
      <c r="AC30" s="36">
        <v>69961.101817427814</v>
      </c>
      <c r="AD30" s="36">
        <v>73009.671644996575</v>
      </c>
      <c r="AE30" s="36">
        <v>70406.261420518989</v>
      </c>
      <c r="AF30" s="36">
        <v>69543.756369245792</v>
      </c>
      <c r="AG30" s="36">
        <v>76958.403020098747</v>
      </c>
    </row>
    <row r="31" spans="1:33" x14ac:dyDescent="0.25">
      <c r="A31" s="8" t="s">
        <v>11</v>
      </c>
      <c r="B31" s="8" t="s">
        <v>2</v>
      </c>
      <c r="C31" s="9">
        <v>3817445.5538704013</v>
      </c>
      <c r="D31" s="34">
        <v>117034.83446355618</v>
      </c>
      <c r="E31" s="34">
        <v>123234.36247617959</v>
      </c>
      <c r="F31" s="34">
        <v>125769.30657762761</v>
      </c>
      <c r="G31" s="34">
        <v>120987.37268983031</v>
      </c>
      <c r="H31" s="34">
        <v>141720.23095331935</v>
      </c>
      <c r="I31" s="34">
        <v>125478.58110603143</v>
      </c>
      <c r="J31" s="34">
        <v>135697.95857227824</v>
      </c>
      <c r="K31" s="34">
        <v>116863.17033709593</v>
      </c>
      <c r="L31" s="34">
        <v>119747.4687270432</v>
      </c>
      <c r="M31" s="34">
        <v>131916.67453807124</v>
      </c>
      <c r="N31" s="34">
        <v>127333.50963880688</v>
      </c>
      <c r="O31" s="34">
        <v>127897.44818472539</v>
      </c>
      <c r="P31" s="34">
        <v>134342.46950800883</v>
      </c>
      <c r="Q31" s="34">
        <v>133063.24463823426</v>
      </c>
      <c r="R31" s="34">
        <v>132155.13337454543</v>
      </c>
      <c r="S31" s="34">
        <v>115601.97438193049</v>
      </c>
      <c r="T31" s="34">
        <v>132980.24112231663</v>
      </c>
      <c r="U31" s="34">
        <v>118853.83634611915</v>
      </c>
      <c r="V31" s="34">
        <v>112445.43036282861</v>
      </c>
      <c r="W31" s="34">
        <v>115134.65737246886</v>
      </c>
      <c r="X31" s="34">
        <v>128241.95704869807</v>
      </c>
      <c r="Y31" s="34">
        <v>127566.81150061569</v>
      </c>
      <c r="Z31" s="34">
        <v>110044.57580136808</v>
      </c>
      <c r="AA31" s="34">
        <v>117583.66282774453</v>
      </c>
      <c r="AB31" s="34">
        <v>116777.68261875602</v>
      </c>
      <c r="AC31" s="34">
        <v>160247.10926714615</v>
      </c>
      <c r="AD31" s="34">
        <v>139738.97703796203</v>
      </c>
      <c r="AE31" s="34">
        <v>142078.85959752844</v>
      </c>
      <c r="AF31" s="34">
        <v>120746.51983650036</v>
      </c>
      <c r="AG31" s="34">
        <v>146161.4929630635</v>
      </c>
    </row>
    <row r="32" spans="1:33" x14ac:dyDescent="0.25">
      <c r="A32" s="10" t="s">
        <v>11</v>
      </c>
      <c r="B32" s="11" t="s">
        <v>3</v>
      </c>
      <c r="C32" s="12">
        <v>7809296.2736768732</v>
      </c>
      <c r="D32" s="35">
        <v>233081.31643011436</v>
      </c>
      <c r="E32" s="35">
        <v>243660.75799883425</v>
      </c>
      <c r="F32" s="35">
        <v>253470.78847514209</v>
      </c>
      <c r="G32" s="35">
        <v>251141.14864323282</v>
      </c>
      <c r="H32" s="35">
        <v>300412.14038143173</v>
      </c>
      <c r="I32" s="35">
        <v>336389.66166755551</v>
      </c>
      <c r="J32" s="35">
        <v>205236.50204026152</v>
      </c>
      <c r="K32" s="35">
        <v>262339.6210798496</v>
      </c>
      <c r="L32" s="35">
        <v>254761.71716681277</v>
      </c>
      <c r="M32" s="35">
        <v>244135.15487175385</v>
      </c>
      <c r="N32" s="35">
        <v>250306.440982553</v>
      </c>
      <c r="O32" s="35">
        <v>290230.93142716476</v>
      </c>
      <c r="P32" s="35">
        <v>242122.83186410984</v>
      </c>
      <c r="Q32" s="35">
        <v>214784.48307597084</v>
      </c>
      <c r="R32" s="35">
        <v>262452.95908648544</v>
      </c>
      <c r="S32" s="35">
        <v>211014.96471977793</v>
      </c>
      <c r="T32" s="35">
        <v>254799.7376412228</v>
      </c>
      <c r="U32" s="35">
        <v>303287.52404786157</v>
      </c>
      <c r="V32" s="35">
        <v>314229.89878949558</v>
      </c>
      <c r="W32" s="35">
        <v>226575.59811608313</v>
      </c>
      <c r="X32" s="35">
        <v>238899.77253838858</v>
      </c>
      <c r="Y32" s="35">
        <v>229785.61128117982</v>
      </c>
      <c r="Z32" s="35">
        <v>219896.67907224773</v>
      </c>
      <c r="AA32" s="35">
        <v>217685.86041593246</v>
      </c>
      <c r="AB32" s="35">
        <v>286497.64144518261</v>
      </c>
      <c r="AC32" s="35">
        <v>343806.087487871</v>
      </c>
      <c r="AD32" s="35">
        <v>271409.64570417022</v>
      </c>
      <c r="AE32" s="35">
        <v>329142.89347986138</v>
      </c>
      <c r="AF32" s="35">
        <v>239501.97574982766</v>
      </c>
      <c r="AG32" s="35">
        <v>278235.92799649737</v>
      </c>
    </row>
    <row r="33" spans="1:33" x14ac:dyDescent="0.25">
      <c r="A33" s="10" t="s">
        <v>11</v>
      </c>
      <c r="B33" s="11" t="s">
        <v>4</v>
      </c>
      <c r="C33" s="12">
        <v>2506717.5948303356</v>
      </c>
      <c r="D33" s="35">
        <v>86446.689258457816</v>
      </c>
      <c r="E33" s="35">
        <v>82870.015646244967</v>
      </c>
      <c r="F33" s="35">
        <v>81869.635252698776</v>
      </c>
      <c r="G33" s="35">
        <v>79289.258809445222</v>
      </c>
      <c r="H33" s="35">
        <v>82877.488717658765</v>
      </c>
      <c r="I33" s="35">
        <v>100750.82206169573</v>
      </c>
      <c r="J33" s="35">
        <v>77708.867919624492</v>
      </c>
      <c r="K33" s="35">
        <v>74021.446470738389</v>
      </c>
      <c r="L33" s="35">
        <v>76071.09038991369</v>
      </c>
      <c r="M33" s="35">
        <v>83679.2549039398</v>
      </c>
      <c r="N33" s="35">
        <v>88046.408053339692</v>
      </c>
      <c r="O33" s="35">
        <v>83520.394354917022</v>
      </c>
      <c r="P33" s="35">
        <v>81795.674958294374</v>
      </c>
      <c r="Q33" s="35">
        <v>82822.326664748791</v>
      </c>
      <c r="R33" s="35">
        <v>81219.526190933422</v>
      </c>
      <c r="S33" s="35">
        <v>77576.230532276604</v>
      </c>
      <c r="T33" s="35">
        <v>85657.471283584178</v>
      </c>
      <c r="U33" s="35">
        <v>78988.236559120633</v>
      </c>
      <c r="V33" s="35">
        <v>92517.866404392451</v>
      </c>
      <c r="W33" s="35">
        <v>89828.706694785753</v>
      </c>
      <c r="X33" s="35">
        <v>81804.775541394905</v>
      </c>
      <c r="Y33" s="35">
        <v>73220.710720850737</v>
      </c>
      <c r="Z33" s="35">
        <v>73877.560955283159</v>
      </c>
      <c r="AA33" s="35">
        <v>90499.491896145671</v>
      </c>
      <c r="AB33" s="35">
        <v>83178.38577477666</v>
      </c>
      <c r="AC33" s="35">
        <v>86099.971487697185</v>
      </c>
      <c r="AD33" s="35">
        <v>97090.230480024562</v>
      </c>
      <c r="AE33" s="35">
        <v>87402.943861774736</v>
      </c>
      <c r="AF33" s="35">
        <v>81982.280247965478</v>
      </c>
      <c r="AG33" s="35">
        <v>84003.832737612451</v>
      </c>
    </row>
    <row r="34" spans="1:33" ht="15.75" thickBot="1" x14ac:dyDescent="0.3">
      <c r="A34" s="13" t="s">
        <v>11</v>
      </c>
      <c r="B34" s="14" t="s">
        <v>5</v>
      </c>
      <c r="C34" s="15">
        <v>10441043.628178572</v>
      </c>
      <c r="D34" s="36">
        <v>316620.96956815029</v>
      </c>
      <c r="E34" s="36">
        <v>319579.00557802868</v>
      </c>
      <c r="F34" s="36">
        <v>310040.75157554867</v>
      </c>
      <c r="G34" s="36">
        <v>318831.20918319817</v>
      </c>
      <c r="H34" s="36">
        <v>391782.11774579296</v>
      </c>
      <c r="I34" s="36">
        <v>376680.80983896728</v>
      </c>
      <c r="J34" s="36">
        <v>319477.58919841878</v>
      </c>
      <c r="K34" s="36">
        <v>351112.84045166947</v>
      </c>
      <c r="L34" s="36">
        <v>329412.93877913879</v>
      </c>
      <c r="M34" s="36">
        <v>336701.35581479507</v>
      </c>
      <c r="N34" s="36">
        <v>329778.0800262742</v>
      </c>
      <c r="O34" s="36">
        <v>373149.37653040624</v>
      </c>
      <c r="P34" s="36">
        <v>354302.06157510896</v>
      </c>
      <c r="Q34" s="36">
        <v>379395.70835189428</v>
      </c>
      <c r="R34" s="36">
        <v>367353.70647884184</v>
      </c>
      <c r="S34" s="36">
        <v>300004.92066562007</v>
      </c>
      <c r="T34" s="36">
        <v>357010.91884935641</v>
      </c>
      <c r="U34" s="36">
        <v>316380.86488684831</v>
      </c>
      <c r="V34" s="36">
        <v>402896.63906038151</v>
      </c>
      <c r="W34" s="36">
        <v>327996.34555207618</v>
      </c>
      <c r="X34" s="36">
        <v>372309.07519283373</v>
      </c>
      <c r="Y34" s="36">
        <v>351602.84751630423</v>
      </c>
      <c r="Z34" s="36">
        <v>354809.8671208602</v>
      </c>
      <c r="AA34" s="36">
        <v>331509.94785602851</v>
      </c>
      <c r="AB34" s="36">
        <v>346008.10759966483</v>
      </c>
      <c r="AC34" s="36">
        <v>384069.26913668716</v>
      </c>
      <c r="AD34" s="36">
        <v>376650.97766573</v>
      </c>
      <c r="AE34" s="36">
        <v>374002.63034875476</v>
      </c>
      <c r="AF34" s="36">
        <v>312073.89264459454</v>
      </c>
      <c r="AG34" s="36">
        <v>359498.80338659929</v>
      </c>
    </row>
    <row r="35" spans="1:33" x14ac:dyDescent="0.25">
      <c r="A35" s="8" t="s">
        <v>16</v>
      </c>
      <c r="B35" s="8" t="s">
        <v>2</v>
      </c>
      <c r="C35" s="9">
        <v>34202.124018306742</v>
      </c>
      <c r="D35" s="34">
        <v>506.8171503359078</v>
      </c>
      <c r="E35" s="34">
        <v>1064.3179918703815</v>
      </c>
      <c r="F35" s="34">
        <v>1658.8719266877529</v>
      </c>
      <c r="G35" s="34">
        <v>1996.1835262854993</v>
      </c>
      <c r="H35" s="34">
        <v>1299.8373336013528</v>
      </c>
      <c r="I35" s="34">
        <v>2101.8046037915078</v>
      </c>
      <c r="J35" s="34">
        <v>1566.8765066849751</v>
      </c>
      <c r="K35" s="34">
        <v>101.36244198469402</v>
      </c>
      <c r="L35" s="34">
        <v>819.42668774505626</v>
      </c>
      <c r="M35" s="34">
        <v>1038.3363628604138</v>
      </c>
      <c r="N35" s="34">
        <v>1485.5326158979212</v>
      </c>
      <c r="O35" s="34">
        <v>882.03159415583968</v>
      </c>
      <c r="P35" s="34">
        <v>2274.7190391116956</v>
      </c>
      <c r="Q35" s="34">
        <v>886.72004555923559</v>
      </c>
      <c r="R35" s="34">
        <v>1165.6804338550755</v>
      </c>
      <c r="S35" s="34">
        <v>456.13839954977971</v>
      </c>
      <c r="T35" s="34">
        <v>894.81244113222044</v>
      </c>
      <c r="U35" s="34">
        <v>1392.682504543418</v>
      </c>
      <c r="V35" s="34">
        <v>1114.1469917172219</v>
      </c>
      <c r="W35" s="34">
        <v>1557.5094847030587</v>
      </c>
      <c r="X35" s="34">
        <v>506.8171503359078</v>
      </c>
      <c r="Y35" s="34">
        <v>456.13839954977971</v>
      </c>
      <c r="Z35" s="34">
        <v>616.70180377566828</v>
      </c>
      <c r="AA35" s="34">
        <v>616.2719878935867</v>
      </c>
      <c r="AB35" s="34">
        <v>1346.2623892786041</v>
      </c>
      <c r="AC35" s="34">
        <v>1206.9921626592873</v>
      </c>
      <c r="AD35" s="34">
        <v>1392.682504543418</v>
      </c>
      <c r="AE35" s="34">
        <v>1307.0794594917438</v>
      </c>
      <c r="AF35" s="34">
        <v>1096.2577582802392</v>
      </c>
      <c r="AG35" s="34">
        <v>1393.1123204254995</v>
      </c>
    </row>
    <row r="36" spans="1:33" x14ac:dyDescent="0.25">
      <c r="A36" s="10" t="s">
        <v>16</v>
      </c>
      <c r="B36" s="11" t="s">
        <v>3</v>
      </c>
      <c r="C36" s="12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</row>
    <row r="37" spans="1:33" x14ac:dyDescent="0.25">
      <c r="A37" s="10" t="s">
        <v>16</v>
      </c>
      <c r="B37" s="11" t="s">
        <v>4</v>
      </c>
      <c r="C37" s="12">
        <v>668143.824617662</v>
      </c>
      <c r="D37" s="35">
        <v>19580.061109042952</v>
      </c>
      <c r="E37" s="35">
        <v>18907.419199646101</v>
      </c>
      <c r="F37" s="35">
        <v>20578.934104343996</v>
      </c>
      <c r="G37" s="35">
        <v>22154.147541155355</v>
      </c>
      <c r="H37" s="35">
        <v>23386.552453771554</v>
      </c>
      <c r="I37" s="35">
        <v>28645.243860443694</v>
      </c>
      <c r="J37" s="35">
        <v>18914.424814089431</v>
      </c>
      <c r="K37" s="35">
        <v>18642.139017855632</v>
      </c>
      <c r="L37" s="35">
        <v>23854.906254626487</v>
      </c>
      <c r="M37" s="35">
        <v>21401.369910814657</v>
      </c>
      <c r="N37" s="35">
        <v>20527.973576948676</v>
      </c>
      <c r="O37" s="35">
        <v>25890.747417989955</v>
      </c>
      <c r="P37" s="35">
        <v>26716.874723550249</v>
      </c>
      <c r="Q37" s="35">
        <v>21140.041965967735</v>
      </c>
      <c r="R37" s="35">
        <v>20428.522670247756</v>
      </c>
      <c r="S37" s="35">
        <v>21112.431199542698</v>
      </c>
      <c r="T37" s="35">
        <v>20649.511724485135</v>
      </c>
      <c r="U37" s="35">
        <v>22122.371830590157</v>
      </c>
      <c r="V37" s="35">
        <v>25298.309844761658</v>
      </c>
      <c r="W37" s="35">
        <v>30969.570874596004</v>
      </c>
      <c r="X37" s="35">
        <v>23044.279128329159</v>
      </c>
      <c r="Y37" s="35">
        <v>23326.287701904974</v>
      </c>
      <c r="Z37" s="35">
        <v>20170.954839715178</v>
      </c>
      <c r="AA37" s="35">
        <v>19375.491678079707</v>
      </c>
      <c r="AB37" s="35">
        <v>19797.619402044616</v>
      </c>
      <c r="AC37" s="35">
        <v>25568.777337540527</v>
      </c>
      <c r="AD37" s="35">
        <v>32809.666524894492</v>
      </c>
      <c r="AE37" s="35">
        <v>14083.274872612154</v>
      </c>
      <c r="AF37" s="35">
        <v>20626.896146419294</v>
      </c>
      <c r="AG37" s="35">
        <v>18419.022891652112</v>
      </c>
    </row>
    <row r="38" spans="1:33" ht="15.75" thickBot="1" x14ac:dyDescent="0.3">
      <c r="A38" s="13" t="s">
        <v>16</v>
      </c>
      <c r="B38" s="14" t="s">
        <v>5</v>
      </c>
      <c r="C38" s="15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</row>
    <row r="39" spans="1:33" x14ac:dyDescent="0.25">
      <c r="A39" s="8" t="s">
        <v>17</v>
      </c>
      <c r="B39" s="8" t="s">
        <v>2</v>
      </c>
      <c r="C39" s="9">
        <v>1862836.0044198215</v>
      </c>
      <c r="D39" s="34">
        <v>61290.688578301924</v>
      </c>
      <c r="E39" s="34">
        <v>55436.415739012926</v>
      </c>
      <c r="F39" s="34">
        <v>49435.129617581581</v>
      </c>
      <c r="G39" s="34">
        <v>69112.239038634274</v>
      </c>
      <c r="H39" s="34">
        <v>70278.382961078925</v>
      </c>
      <c r="I39" s="34">
        <v>84394.168879066914</v>
      </c>
      <c r="J39" s="34">
        <v>55109.715956714746</v>
      </c>
      <c r="K39" s="34">
        <v>60448.474423142899</v>
      </c>
      <c r="L39" s="34">
        <v>54793.075702620008</v>
      </c>
      <c r="M39" s="34">
        <v>53411.461869711296</v>
      </c>
      <c r="N39" s="34">
        <v>56232.819353496649</v>
      </c>
      <c r="O39" s="34">
        <v>70368.124967918062</v>
      </c>
      <c r="P39" s="34">
        <v>70545.430227098201</v>
      </c>
      <c r="Q39" s="34">
        <v>55394.533436001628</v>
      </c>
      <c r="R39" s="34">
        <v>58984.78067170459</v>
      </c>
      <c r="S39" s="34">
        <v>51830.504149408625</v>
      </c>
      <c r="T39" s="34">
        <v>53445.568691985631</v>
      </c>
      <c r="U39" s="34">
        <v>56095.841301180437</v>
      </c>
      <c r="V39" s="34">
        <v>59690.186863188508</v>
      </c>
      <c r="W39" s="34">
        <v>72242.242610381669</v>
      </c>
      <c r="X39" s="34">
        <v>54920.148116455697</v>
      </c>
      <c r="Y39" s="34">
        <v>55253.894428171763</v>
      </c>
      <c r="Z39" s="34">
        <v>59908.62117568354</v>
      </c>
      <c r="AA39" s="34">
        <v>48962.825859024611</v>
      </c>
      <c r="AB39" s="34">
        <v>59045.000150120562</v>
      </c>
      <c r="AC39" s="34">
        <v>69695.594480925138</v>
      </c>
      <c r="AD39" s="34">
        <v>76248.850640630946</v>
      </c>
      <c r="AE39" s="34">
        <v>77694.573036834336</v>
      </c>
      <c r="AF39" s="34">
        <v>78575.161084703708</v>
      </c>
      <c r="AG39" s="34">
        <v>63991.550409041607</v>
      </c>
    </row>
    <row r="40" spans="1:33" x14ac:dyDescent="0.25">
      <c r="A40" s="10" t="s">
        <v>17</v>
      </c>
      <c r="B40" s="11" t="s">
        <v>3</v>
      </c>
      <c r="C40" s="12">
        <v>699075.64633712277</v>
      </c>
      <c r="D40" s="35">
        <v>17917.400058954659</v>
      </c>
      <c r="E40" s="35">
        <v>19718.45998075348</v>
      </c>
      <c r="F40" s="35">
        <v>21581.513013371441</v>
      </c>
      <c r="G40" s="35">
        <v>34091.618868241843</v>
      </c>
      <c r="H40" s="35">
        <v>31300.864657931961</v>
      </c>
      <c r="I40" s="35">
        <v>23703.851100729291</v>
      </c>
      <c r="J40" s="35">
        <v>18549.58230637521</v>
      </c>
      <c r="K40" s="35">
        <v>18263.038047864753</v>
      </c>
      <c r="L40" s="35">
        <v>17597.688899576111</v>
      </c>
      <c r="M40" s="35">
        <v>23053.040753099096</v>
      </c>
      <c r="N40" s="35">
        <v>13480.359211088908</v>
      </c>
      <c r="O40" s="35">
        <v>28793.311200966691</v>
      </c>
      <c r="P40" s="35">
        <v>24564.263189494803</v>
      </c>
      <c r="Q40" s="35">
        <v>18753.175793866656</v>
      </c>
      <c r="R40" s="35">
        <v>27661.773524129661</v>
      </c>
      <c r="S40" s="35">
        <v>21295.924042051221</v>
      </c>
      <c r="T40" s="35">
        <v>19425.790152628429</v>
      </c>
      <c r="U40" s="35">
        <v>31867.810845913886</v>
      </c>
      <c r="V40" s="35">
        <v>26235.688963635876</v>
      </c>
      <c r="W40" s="35">
        <v>21264.131413983123</v>
      </c>
      <c r="X40" s="35">
        <v>18127.462684260699</v>
      </c>
      <c r="Y40" s="35">
        <v>19056.110769430674</v>
      </c>
      <c r="Z40" s="35">
        <v>13932.73797393982</v>
      </c>
      <c r="AA40" s="35">
        <v>19401.371671291992</v>
      </c>
      <c r="AB40" s="35">
        <v>21838.711519774759</v>
      </c>
      <c r="AC40" s="35">
        <v>30822.626103247057</v>
      </c>
      <c r="AD40" s="35">
        <v>27868.945148728399</v>
      </c>
      <c r="AE40" s="35">
        <v>32296.332568145426</v>
      </c>
      <c r="AF40" s="35">
        <v>38213.222209948537</v>
      </c>
      <c r="AG40" s="35">
        <v>18398.839663698076</v>
      </c>
    </row>
    <row r="41" spans="1:33" x14ac:dyDescent="0.25">
      <c r="A41" s="10" t="s">
        <v>17</v>
      </c>
      <c r="B41" s="11" t="s">
        <v>4</v>
      </c>
      <c r="C41" s="12">
        <v>2021169.7334814754</v>
      </c>
      <c r="D41" s="35">
        <v>72945.980588149163</v>
      </c>
      <c r="E41" s="35">
        <v>60475.140095289149</v>
      </c>
      <c r="F41" s="35">
        <v>65269.443259821186</v>
      </c>
      <c r="G41" s="35">
        <v>72347.265023892789</v>
      </c>
      <c r="H41" s="35">
        <v>80864.984650672966</v>
      </c>
      <c r="I41" s="35">
        <v>71073.663395804891</v>
      </c>
      <c r="J41" s="35">
        <v>63568.86054596406</v>
      </c>
      <c r="K41" s="35">
        <v>63638.4174392887</v>
      </c>
      <c r="L41" s="35">
        <v>60997.667617248189</v>
      </c>
      <c r="M41" s="35">
        <v>61472.891188929825</v>
      </c>
      <c r="N41" s="35">
        <v>74460.742017632714</v>
      </c>
      <c r="O41" s="35">
        <v>73944.196563926816</v>
      </c>
      <c r="P41" s="35">
        <v>77417.199438845186</v>
      </c>
      <c r="Q41" s="35">
        <v>59955.603607456687</v>
      </c>
      <c r="R41" s="35">
        <v>59367.764530933302</v>
      </c>
      <c r="S41" s="35">
        <v>62208.299644178762</v>
      </c>
      <c r="T41" s="35">
        <v>62369.210263099369</v>
      </c>
      <c r="U41" s="35">
        <v>59451.250345645021</v>
      </c>
      <c r="V41" s="35">
        <v>76177.595606283925</v>
      </c>
      <c r="W41" s="35">
        <v>74028.884055105795</v>
      </c>
      <c r="X41" s="35">
        <v>54567.049501455447</v>
      </c>
      <c r="Y41" s="35">
        <v>61916.993971517411</v>
      </c>
      <c r="Z41" s="35">
        <v>56927.299967679006</v>
      </c>
      <c r="AA41" s="35">
        <v>58266.537690691024</v>
      </c>
      <c r="AB41" s="35">
        <v>64993.478697679988</v>
      </c>
      <c r="AC41" s="35">
        <v>74359.476654022001</v>
      </c>
      <c r="AD41" s="35">
        <v>68191.332747037144</v>
      </c>
      <c r="AE41" s="35">
        <v>77383.149015152085</v>
      </c>
      <c r="AF41" s="35">
        <v>93356.551869753166</v>
      </c>
      <c r="AG41" s="35">
        <v>59172.803488319594</v>
      </c>
    </row>
    <row r="42" spans="1:33" ht="15.75" thickBot="1" x14ac:dyDescent="0.3">
      <c r="A42" s="13" t="s">
        <v>17</v>
      </c>
      <c r="B42" s="14" t="s">
        <v>5</v>
      </c>
      <c r="C42" s="15">
        <v>808446.26874451817</v>
      </c>
      <c r="D42" s="36">
        <v>22125.945842220553</v>
      </c>
      <c r="E42" s="36">
        <v>21269.345058455681</v>
      </c>
      <c r="F42" s="36">
        <v>21916.683382613988</v>
      </c>
      <c r="G42" s="36">
        <v>29523.979363534512</v>
      </c>
      <c r="H42" s="36">
        <v>19628.012681810073</v>
      </c>
      <c r="I42" s="36">
        <v>35992.427517193049</v>
      </c>
      <c r="J42" s="36">
        <v>24258.114277135785</v>
      </c>
      <c r="K42" s="36">
        <v>21422.101287454952</v>
      </c>
      <c r="L42" s="36">
        <v>27046.565225411588</v>
      </c>
      <c r="M42" s="36">
        <v>19327.908827635019</v>
      </c>
      <c r="N42" s="36">
        <v>23932.998260920966</v>
      </c>
      <c r="O42" s="36">
        <v>26681.358196419533</v>
      </c>
      <c r="P42" s="36">
        <v>29771.88072049489</v>
      </c>
      <c r="Q42" s="36">
        <v>21064.891415867278</v>
      </c>
      <c r="R42" s="36">
        <v>30545.26897695204</v>
      </c>
      <c r="S42" s="36">
        <v>24109.882755615305</v>
      </c>
      <c r="T42" s="36">
        <v>25214.290193160774</v>
      </c>
      <c r="U42" s="36">
        <v>32109.818119940028</v>
      </c>
      <c r="V42" s="36">
        <v>30767.895107484354</v>
      </c>
      <c r="W42" s="36">
        <v>27594.244236705526</v>
      </c>
      <c r="X42" s="36">
        <v>21043.846264803109</v>
      </c>
      <c r="Y42" s="36">
        <v>27081.447563300451</v>
      </c>
      <c r="Z42" s="36">
        <v>26436.634657269842</v>
      </c>
      <c r="AA42" s="36">
        <v>25123.55402434761</v>
      </c>
      <c r="AB42" s="36">
        <v>32710.467776462483</v>
      </c>
      <c r="AC42" s="36">
        <v>31602.935133983985</v>
      </c>
      <c r="AD42" s="36">
        <v>40845.028972144697</v>
      </c>
      <c r="AE42" s="36">
        <v>28733.239380024952</v>
      </c>
      <c r="AF42" s="36">
        <v>41618.480364055038</v>
      </c>
      <c r="AG42" s="36">
        <v>18947.023161100155</v>
      </c>
    </row>
    <row r="43" spans="1:33" x14ac:dyDescent="0.25">
      <c r="A43" s="8" t="s">
        <v>19</v>
      </c>
      <c r="B43" s="8" t="s">
        <v>2</v>
      </c>
      <c r="C43" s="9">
        <v>166636.1499277796</v>
      </c>
      <c r="D43" s="34">
        <v>4543.9504462165423</v>
      </c>
      <c r="E43" s="34">
        <v>4993.7134389198127</v>
      </c>
      <c r="F43" s="34">
        <v>5127.6129918600409</v>
      </c>
      <c r="G43" s="34">
        <v>7654.5981697282796</v>
      </c>
      <c r="H43" s="34">
        <v>6418.4947675299827</v>
      </c>
      <c r="I43" s="34">
        <v>6539.6086993389899</v>
      </c>
      <c r="J43" s="34">
        <v>4058.1462630798733</v>
      </c>
      <c r="K43" s="34">
        <v>4347.6689229198937</v>
      </c>
      <c r="L43" s="34">
        <v>3179.1789351742277</v>
      </c>
      <c r="M43" s="34">
        <v>5572.5751991578818</v>
      </c>
      <c r="N43" s="34">
        <v>4988.8491137075471</v>
      </c>
      <c r="O43" s="34">
        <v>4886.5994445504593</v>
      </c>
      <c r="P43" s="34">
        <v>5118.4844396111894</v>
      </c>
      <c r="Q43" s="34">
        <v>5340.0195061360992</v>
      </c>
      <c r="R43" s="34">
        <v>4216.5086416521744</v>
      </c>
      <c r="S43" s="34">
        <v>5177.5199801408844</v>
      </c>
      <c r="T43" s="34">
        <v>4235.9871224368462</v>
      </c>
      <c r="U43" s="34">
        <v>6184.7812380280675</v>
      </c>
      <c r="V43" s="34">
        <v>4805.0425724864754</v>
      </c>
      <c r="W43" s="34">
        <v>7315.5991802981953</v>
      </c>
      <c r="X43" s="34">
        <v>5812.3108903521961</v>
      </c>
      <c r="Y43" s="34">
        <v>5371.6693899192396</v>
      </c>
      <c r="Z43" s="34">
        <v>4533.6005176807221</v>
      </c>
      <c r="AA43" s="34">
        <v>4758.178434955249</v>
      </c>
      <c r="AB43" s="34">
        <v>5306.5481478903112</v>
      </c>
      <c r="AC43" s="34">
        <v>5652.2399969738444</v>
      </c>
      <c r="AD43" s="34">
        <v>7346.6348459485835</v>
      </c>
      <c r="AE43" s="34">
        <v>8293.0380369066224</v>
      </c>
      <c r="AF43" s="34">
        <v>9234.5719465474613</v>
      </c>
      <c r="AG43" s="34">
        <v>5622.4186476318891</v>
      </c>
    </row>
    <row r="44" spans="1:33" x14ac:dyDescent="0.25">
      <c r="A44" s="10" t="s">
        <v>19</v>
      </c>
      <c r="B44" s="11" t="s">
        <v>3</v>
      </c>
      <c r="C44" s="12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</row>
    <row r="45" spans="1:33" x14ac:dyDescent="0.25">
      <c r="A45" s="10" t="s">
        <v>19</v>
      </c>
      <c r="B45" s="11" t="s">
        <v>4</v>
      </c>
      <c r="C45" s="12">
        <v>645842.06655085238</v>
      </c>
      <c r="D45" s="35">
        <v>17365.232697979198</v>
      </c>
      <c r="E45" s="35">
        <v>20908.237579504592</v>
      </c>
      <c r="F45" s="35">
        <v>22002.845703753417</v>
      </c>
      <c r="G45" s="35">
        <v>25217.873416632756</v>
      </c>
      <c r="H45" s="35">
        <v>28378.40768003853</v>
      </c>
      <c r="I45" s="35">
        <v>25571.955429351969</v>
      </c>
      <c r="J45" s="35">
        <v>18067.040474405621</v>
      </c>
      <c r="K45" s="35">
        <v>17385.832753188384</v>
      </c>
      <c r="L45" s="35">
        <v>23107.572342784581</v>
      </c>
      <c r="M45" s="35">
        <v>18863.109509544745</v>
      </c>
      <c r="N45" s="35">
        <v>23869.675378530417</v>
      </c>
      <c r="O45" s="35">
        <v>21311.539269152632</v>
      </c>
      <c r="P45" s="35">
        <v>24665.368187092503</v>
      </c>
      <c r="Q45" s="35">
        <v>17220.134648103045</v>
      </c>
      <c r="R45" s="35">
        <v>18429.06944850639</v>
      </c>
      <c r="S45" s="35">
        <v>14402.144782387439</v>
      </c>
      <c r="T45" s="35">
        <v>18007.233649589722</v>
      </c>
      <c r="U45" s="35">
        <v>18330.973318894445</v>
      </c>
      <c r="V45" s="35">
        <v>27285.561880282123</v>
      </c>
      <c r="W45" s="35">
        <v>21857.780656208583</v>
      </c>
      <c r="X45" s="35">
        <v>18682.731967488809</v>
      </c>
      <c r="Y45" s="35">
        <v>19934.272777624708</v>
      </c>
      <c r="Z45" s="35">
        <v>16815.143239091482</v>
      </c>
      <c r="AA45" s="35">
        <v>17077.221352560191</v>
      </c>
      <c r="AB45" s="35">
        <v>23137.545060088301</v>
      </c>
      <c r="AC45" s="35">
        <v>27071.647369140046</v>
      </c>
      <c r="AD45" s="35">
        <v>26775.312835762441</v>
      </c>
      <c r="AE45" s="35">
        <v>29390.800396506005</v>
      </c>
      <c r="AF45" s="35">
        <v>26051.947936518591</v>
      </c>
      <c r="AG45" s="35">
        <v>18657.854810140714</v>
      </c>
    </row>
    <row r="46" spans="1:33" ht="15.75" thickBot="1" x14ac:dyDescent="0.3">
      <c r="A46" s="13" t="s">
        <v>19</v>
      </c>
      <c r="B46" s="14" t="s">
        <v>5</v>
      </c>
      <c r="C46" s="15">
        <v>140075.6461208323</v>
      </c>
      <c r="D46" s="36">
        <v>8135.1665970467966</v>
      </c>
      <c r="E46" s="36">
        <v>2974.9268725426259</v>
      </c>
      <c r="F46" s="36">
        <v>3781.3328598974404</v>
      </c>
      <c r="G46" s="36">
        <v>4021.4265046229398</v>
      </c>
      <c r="H46" s="36">
        <v>3822.2954308795488</v>
      </c>
      <c r="I46" s="36">
        <v>7193.18870419412</v>
      </c>
      <c r="J46" s="36">
        <v>2829.381137671613</v>
      </c>
      <c r="K46" s="36">
        <v>2832.3832679910142</v>
      </c>
      <c r="L46" s="36">
        <v>4406.797151326411</v>
      </c>
      <c r="M46" s="36">
        <v>6824.8019763308412</v>
      </c>
      <c r="N46" s="36">
        <v>3307.6872968713251</v>
      </c>
      <c r="O46" s="36">
        <v>3981.9227693459111</v>
      </c>
      <c r="P46" s="36">
        <v>3759.7113791316265</v>
      </c>
      <c r="Q46" s="36">
        <v>5774.8932755502356</v>
      </c>
      <c r="R46" s="36">
        <v>3760.7402422078408</v>
      </c>
      <c r="S46" s="36">
        <v>3070.288659158894</v>
      </c>
      <c r="T46" s="36">
        <v>5839.5196972852691</v>
      </c>
      <c r="U46" s="36">
        <v>4168.5616026042235</v>
      </c>
      <c r="V46" s="36">
        <v>5550.6471934314968</v>
      </c>
      <c r="W46" s="36">
        <v>3753.2694677813001</v>
      </c>
      <c r="X46" s="36">
        <v>6124.2997830821605</v>
      </c>
      <c r="Y46" s="36">
        <v>3093.7835920933367</v>
      </c>
      <c r="Z46" s="36">
        <v>7983.4937522144492</v>
      </c>
      <c r="AA46" s="36">
        <v>3203.3575097101452</v>
      </c>
      <c r="AB46" s="36">
        <v>5217.5489334658323</v>
      </c>
      <c r="AC46" s="36">
        <v>3789.3411001100626</v>
      </c>
      <c r="AD46" s="36">
        <v>4484.9753889533713</v>
      </c>
      <c r="AE46" s="36">
        <v>7397.0341206897156</v>
      </c>
      <c r="AF46" s="36">
        <v>6453.8507688596837</v>
      </c>
      <c r="AG46" s="36">
        <v>2539.0190857821271</v>
      </c>
    </row>
    <row r="47" spans="1:33" x14ac:dyDescent="0.25">
      <c r="A47" s="8" t="s">
        <v>20</v>
      </c>
      <c r="B47" s="8" t="s">
        <v>2</v>
      </c>
      <c r="C47" s="9">
        <v>1720913.7417863728</v>
      </c>
      <c r="D47" s="34">
        <v>56211.544118623191</v>
      </c>
      <c r="E47" s="34">
        <v>53762.536881834385</v>
      </c>
      <c r="F47" s="34">
        <v>53014.105890232713</v>
      </c>
      <c r="G47" s="34">
        <v>56901.613870935231</v>
      </c>
      <c r="H47" s="34">
        <v>69945.652506491722</v>
      </c>
      <c r="I47" s="34">
        <v>72628.13131699698</v>
      </c>
      <c r="J47" s="34">
        <v>53959.508282483403</v>
      </c>
      <c r="K47" s="34">
        <v>49689.032394523791</v>
      </c>
      <c r="L47" s="34">
        <v>53437.832619821296</v>
      </c>
      <c r="M47" s="34">
        <v>51018.93758220382</v>
      </c>
      <c r="N47" s="34">
        <v>58339.848449269943</v>
      </c>
      <c r="O47" s="34">
        <v>60196.761483378126</v>
      </c>
      <c r="P47" s="34">
        <v>68310.384422206233</v>
      </c>
      <c r="Q47" s="34">
        <v>48532.152577568362</v>
      </c>
      <c r="R47" s="34">
        <v>54323.809110466325</v>
      </c>
      <c r="S47" s="34">
        <v>51388.446383349263</v>
      </c>
      <c r="T47" s="34">
        <v>48446.039140574561</v>
      </c>
      <c r="U47" s="34">
        <v>53770.832375713348</v>
      </c>
      <c r="V47" s="34">
        <v>61117.490326455125</v>
      </c>
      <c r="W47" s="34">
        <v>60016.682724809907</v>
      </c>
      <c r="X47" s="34">
        <v>53410.728091692712</v>
      </c>
      <c r="Y47" s="34">
        <v>53207.696988028365</v>
      </c>
      <c r="Z47" s="34">
        <v>50341.838965775249</v>
      </c>
      <c r="AA47" s="34">
        <v>55599.744790910299</v>
      </c>
      <c r="AB47" s="34">
        <v>51915.835733773987</v>
      </c>
      <c r="AC47" s="34">
        <v>67323.176289679977</v>
      </c>
      <c r="AD47" s="34">
        <v>64421.341553331455</v>
      </c>
      <c r="AE47" s="34">
        <v>66826.367004281346</v>
      </c>
      <c r="AF47" s="34">
        <v>73199.526709817044</v>
      </c>
      <c r="AG47" s="34">
        <v>49656.143201144849</v>
      </c>
    </row>
    <row r="48" spans="1:33" x14ac:dyDescent="0.25">
      <c r="A48" s="10" t="s">
        <v>20</v>
      </c>
      <c r="B48" s="11" t="s">
        <v>3</v>
      </c>
      <c r="C48" s="12">
        <v>1732165.7052954922</v>
      </c>
      <c r="D48" s="35">
        <v>45579.046638022832</v>
      </c>
      <c r="E48" s="35">
        <v>59572.329654572277</v>
      </c>
      <c r="F48" s="35">
        <v>55762.844523478467</v>
      </c>
      <c r="G48" s="35">
        <v>67269.603476959659</v>
      </c>
      <c r="H48" s="35">
        <v>71970.252979513971</v>
      </c>
      <c r="I48" s="35">
        <v>68990.50649127936</v>
      </c>
      <c r="J48" s="35">
        <v>49956.85393909127</v>
      </c>
      <c r="K48" s="35">
        <v>50894.663550620142</v>
      </c>
      <c r="L48" s="35">
        <v>46774.788160335229</v>
      </c>
      <c r="M48" s="35">
        <v>43540.272290427776</v>
      </c>
      <c r="N48" s="35">
        <v>45328.430656200289</v>
      </c>
      <c r="O48" s="35">
        <v>65892.260119840401</v>
      </c>
      <c r="P48" s="35">
        <v>74511.142817163607</v>
      </c>
      <c r="Q48" s="35">
        <v>53971.152052067919</v>
      </c>
      <c r="R48" s="35">
        <v>47419.242232138589</v>
      </c>
      <c r="S48" s="35">
        <v>41812.078118915582</v>
      </c>
      <c r="T48" s="35">
        <v>54326.032407468694</v>
      </c>
      <c r="U48" s="35">
        <v>48687.276032163623</v>
      </c>
      <c r="V48" s="35">
        <v>67320.889294992012</v>
      </c>
      <c r="W48" s="35">
        <v>64370.134033147937</v>
      </c>
      <c r="X48" s="35">
        <v>52873.514990235686</v>
      </c>
      <c r="Y48" s="35">
        <v>43463.430264568975</v>
      </c>
      <c r="Z48" s="35">
        <v>36683.496315680808</v>
      </c>
      <c r="AA48" s="35">
        <v>46259.964753044813</v>
      </c>
      <c r="AB48" s="35">
        <v>56943.689955671674</v>
      </c>
      <c r="AC48" s="35">
        <v>77694.331582757906</v>
      </c>
      <c r="AD48" s="35">
        <v>68206.835080557095</v>
      </c>
      <c r="AE48" s="35">
        <v>81492.107924611671</v>
      </c>
      <c r="AF48" s="35">
        <v>90917.675005585203</v>
      </c>
      <c r="AG48" s="35">
        <v>53680.859954379106</v>
      </c>
    </row>
    <row r="49" spans="1:33" x14ac:dyDescent="0.25">
      <c r="A49" s="10" t="s">
        <v>20</v>
      </c>
      <c r="B49" s="11" t="s">
        <v>4</v>
      </c>
      <c r="C49" s="12">
        <v>3040413.6820357512</v>
      </c>
      <c r="D49" s="35">
        <v>92616.510277193898</v>
      </c>
      <c r="E49" s="35">
        <v>97244.974916055959</v>
      </c>
      <c r="F49" s="35">
        <v>98628.351861053045</v>
      </c>
      <c r="G49" s="35">
        <v>102073.06693297977</v>
      </c>
      <c r="H49" s="35">
        <v>130060.90927946215</v>
      </c>
      <c r="I49" s="35">
        <v>112357.94171402647</v>
      </c>
      <c r="J49" s="35">
        <v>91257.075113815445</v>
      </c>
      <c r="K49" s="35">
        <v>84320.892801892682</v>
      </c>
      <c r="L49" s="35">
        <v>91299.484184304543</v>
      </c>
      <c r="M49" s="35">
        <v>91657.123671387468</v>
      </c>
      <c r="N49" s="35">
        <v>111092.0747558687</v>
      </c>
      <c r="O49" s="35">
        <v>111584.08566745528</v>
      </c>
      <c r="P49" s="35">
        <v>106440.86359963803</v>
      </c>
      <c r="Q49" s="35">
        <v>88839.675978545289</v>
      </c>
      <c r="R49" s="35">
        <v>90511.978402481254</v>
      </c>
      <c r="S49" s="35">
        <v>83867.61392649934</v>
      </c>
      <c r="T49" s="35">
        <v>88649.136258445462</v>
      </c>
      <c r="U49" s="35">
        <v>102320.17641147727</v>
      </c>
      <c r="V49" s="35">
        <v>107702.54257084345</v>
      </c>
      <c r="W49" s="35">
        <v>112030.12908826646</v>
      </c>
      <c r="X49" s="35">
        <v>95725.137115156307</v>
      </c>
      <c r="Y49" s="35">
        <v>95564.615863625586</v>
      </c>
      <c r="Z49" s="35">
        <v>93763.726729189817</v>
      </c>
      <c r="AA49" s="35">
        <v>87485.05836878519</v>
      </c>
      <c r="AB49" s="35">
        <v>103022.48083782996</v>
      </c>
      <c r="AC49" s="35">
        <v>109954.8857497565</v>
      </c>
      <c r="AD49" s="35">
        <v>120766.09651192078</v>
      </c>
      <c r="AE49" s="35">
        <v>132535.62635380559</v>
      </c>
      <c r="AF49" s="35">
        <v>118806.61132257072</v>
      </c>
      <c r="AG49" s="35">
        <v>88234.83577141905</v>
      </c>
    </row>
    <row r="50" spans="1:33" ht="15.75" thickBot="1" x14ac:dyDescent="0.3">
      <c r="A50" s="13" t="s">
        <v>20</v>
      </c>
      <c r="B50" s="14" t="s">
        <v>5</v>
      </c>
      <c r="C50" s="15">
        <v>1561453.0415790973</v>
      </c>
      <c r="D50" s="36">
        <v>41915.067918466884</v>
      </c>
      <c r="E50" s="36">
        <v>43290.08714204291</v>
      </c>
      <c r="F50" s="36">
        <v>41523.858995277849</v>
      </c>
      <c r="G50" s="36">
        <v>51531.871732023974</v>
      </c>
      <c r="H50" s="36">
        <v>64252.018986110888</v>
      </c>
      <c r="I50" s="36">
        <v>54023.924021559586</v>
      </c>
      <c r="J50" s="36">
        <v>52758.283013609624</v>
      </c>
      <c r="K50" s="36">
        <v>39664.79540778738</v>
      </c>
      <c r="L50" s="36">
        <v>45724.130885380815</v>
      </c>
      <c r="M50" s="36">
        <v>55242.588297913651</v>
      </c>
      <c r="N50" s="36">
        <v>63704.207765596715</v>
      </c>
      <c r="O50" s="36">
        <v>56895.47073339764</v>
      </c>
      <c r="P50" s="36">
        <v>54770.327692914681</v>
      </c>
      <c r="Q50" s="36">
        <v>48274.201615118262</v>
      </c>
      <c r="R50" s="36">
        <v>42308.789918704228</v>
      </c>
      <c r="S50" s="36">
        <v>45841.810170469595</v>
      </c>
      <c r="T50" s="36">
        <v>44977.806366058736</v>
      </c>
      <c r="U50" s="36">
        <v>46675.122774077929</v>
      </c>
      <c r="V50" s="36">
        <v>51145.67906892742</v>
      </c>
      <c r="W50" s="36">
        <v>44241.04934872764</v>
      </c>
      <c r="X50" s="36">
        <v>46585.839280834174</v>
      </c>
      <c r="Y50" s="36">
        <v>59189.959548521547</v>
      </c>
      <c r="Z50" s="36">
        <v>40273.840619844726</v>
      </c>
      <c r="AA50" s="36">
        <v>43974.78190965674</v>
      </c>
      <c r="AB50" s="36">
        <v>62701.826419462988</v>
      </c>
      <c r="AC50" s="36">
        <v>56689.408309440689</v>
      </c>
      <c r="AD50" s="36">
        <v>66432.202371553387</v>
      </c>
      <c r="AE50" s="36">
        <v>66077.769461705117</v>
      </c>
      <c r="AF50" s="36">
        <v>80328.014560057607</v>
      </c>
      <c r="AG50" s="36">
        <v>50438.307243854084</v>
      </c>
    </row>
    <row r="51" spans="1:33" x14ac:dyDescent="0.25">
      <c r="A51" s="8" t="s">
        <v>21</v>
      </c>
      <c r="B51" s="8" t="s">
        <v>2</v>
      </c>
      <c r="C51" s="9">
        <v>1284498.5901448687</v>
      </c>
      <c r="D51" s="34">
        <v>41736.880563639126</v>
      </c>
      <c r="E51" s="34">
        <v>37372.62403802028</v>
      </c>
      <c r="F51" s="34">
        <v>39478.566952340298</v>
      </c>
      <c r="G51" s="34">
        <v>41245.936915922292</v>
      </c>
      <c r="H51" s="34">
        <v>53437.36575666214</v>
      </c>
      <c r="I51" s="34">
        <v>68210.538463483448</v>
      </c>
      <c r="J51" s="34">
        <v>41971.549453791886</v>
      </c>
      <c r="K51" s="34">
        <v>33657.380029276697</v>
      </c>
      <c r="L51" s="34">
        <v>39152.212541445406</v>
      </c>
      <c r="M51" s="34">
        <v>33600.098027390712</v>
      </c>
      <c r="N51" s="34">
        <v>42095.972653844539</v>
      </c>
      <c r="O51" s="34">
        <v>44809.861208001246</v>
      </c>
      <c r="P51" s="34">
        <v>52291.089411133049</v>
      </c>
      <c r="Q51" s="34">
        <v>39723.31667407808</v>
      </c>
      <c r="R51" s="34">
        <v>32027.059328569459</v>
      </c>
      <c r="S51" s="34">
        <v>33030.888519133943</v>
      </c>
      <c r="T51" s="34">
        <v>31497.822819881414</v>
      </c>
      <c r="U51" s="34">
        <v>40350.959257898277</v>
      </c>
      <c r="V51" s="34">
        <v>43926.437183907306</v>
      </c>
      <c r="W51" s="34">
        <v>46604.971332256937</v>
      </c>
      <c r="X51" s="34">
        <v>42108.391380414185</v>
      </c>
      <c r="Y51" s="34">
        <v>32068.769662943261</v>
      </c>
      <c r="Z51" s="34">
        <v>40449.200893933652</v>
      </c>
      <c r="AA51" s="34">
        <v>35644.311934685808</v>
      </c>
      <c r="AB51" s="34">
        <v>39256.259592549606</v>
      </c>
      <c r="AC51" s="34">
        <v>45789.439206554081</v>
      </c>
      <c r="AD51" s="34">
        <v>55256.391045209974</v>
      </c>
      <c r="AE51" s="34">
        <v>56274.435409429716</v>
      </c>
      <c r="AF51" s="34">
        <v>62510.414463277506</v>
      </c>
      <c r="AG51" s="34">
        <v>38919.445425194506</v>
      </c>
    </row>
    <row r="52" spans="1:33" x14ac:dyDescent="0.25">
      <c r="A52" s="10" t="s">
        <v>21</v>
      </c>
      <c r="B52" s="11" t="s">
        <v>3</v>
      </c>
      <c r="C52" s="12">
        <v>267671.4874772341</v>
      </c>
      <c r="D52" s="35">
        <v>8002.1771436438967</v>
      </c>
      <c r="E52" s="35">
        <v>6390.8509953841958</v>
      </c>
      <c r="F52" s="35">
        <v>9634.6072246378098</v>
      </c>
      <c r="G52" s="35">
        <v>7605.9819562752582</v>
      </c>
      <c r="H52" s="35">
        <v>16744.67596451801</v>
      </c>
      <c r="I52" s="35">
        <v>11627.371382210307</v>
      </c>
      <c r="J52" s="35">
        <v>8526.1640417757953</v>
      </c>
      <c r="K52" s="35">
        <v>5211.8537053000518</v>
      </c>
      <c r="L52" s="35">
        <v>9154.9892035366029</v>
      </c>
      <c r="M52" s="35">
        <v>2432.7441647928372</v>
      </c>
      <c r="N52" s="35">
        <v>5797.9550844176583</v>
      </c>
      <c r="O52" s="35">
        <v>14566.668338342159</v>
      </c>
      <c r="P52" s="35">
        <v>7563.2971107773219</v>
      </c>
      <c r="Q52" s="35">
        <v>11750.227809811091</v>
      </c>
      <c r="R52" s="35">
        <v>7337.8607739730596</v>
      </c>
      <c r="S52" s="35">
        <v>2933.4758529145724</v>
      </c>
      <c r="T52" s="35">
        <v>9310.3776160071975</v>
      </c>
      <c r="U52" s="35">
        <v>8315.9521287705684</v>
      </c>
      <c r="V52" s="35">
        <v>9339.0450892093431</v>
      </c>
      <c r="W52" s="35">
        <v>12630.012607098077</v>
      </c>
      <c r="X52" s="35">
        <v>10260.054589046787</v>
      </c>
      <c r="Y52" s="35">
        <v>8945.4684248598496</v>
      </c>
      <c r="Z52" s="35">
        <v>3999.2828617102336</v>
      </c>
      <c r="AA52" s="35">
        <v>8624.9378450295135</v>
      </c>
      <c r="AB52" s="35">
        <v>7761.0199344384555</v>
      </c>
      <c r="AC52" s="35">
        <v>7733.0727984237292</v>
      </c>
      <c r="AD52" s="35">
        <v>10155.858788314767</v>
      </c>
      <c r="AE52" s="35">
        <v>8566.7073442840956</v>
      </c>
      <c r="AF52" s="35">
        <v>15498.872267443596</v>
      </c>
      <c r="AG52" s="35">
        <v>11249.924430287283</v>
      </c>
    </row>
    <row r="53" spans="1:33" x14ac:dyDescent="0.25">
      <c r="A53" s="10" t="s">
        <v>21</v>
      </c>
      <c r="B53" s="11" t="s">
        <v>4</v>
      </c>
      <c r="C53" s="12">
        <v>2077460.5385081274</v>
      </c>
      <c r="D53" s="35">
        <v>61992.07044704281</v>
      </c>
      <c r="E53" s="35">
        <v>65608.340662684932</v>
      </c>
      <c r="F53" s="35">
        <v>72190.974602986287</v>
      </c>
      <c r="G53" s="35">
        <v>62781.42629329113</v>
      </c>
      <c r="H53" s="35">
        <v>98658.226906833486</v>
      </c>
      <c r="I53" s="35">
        <v>78379.789368574697</v>
      </c>
      <c r="J53" s="35">
        <v>59379.473112081854</v>
      </c>
      <c r="K53" s="35">
        <v>56149.706104024895</v>
      </c>
      <c r="L53" s="35">
        <v>58509.85987288069</v>
      </c>
      <c r="M53" s="35">
        <v>63965.407873533652</v>
      </c>
      <c r="N53" s="35">
        <v>70149.9051747341</v>
      </c>
      <c r="O53" s="35">
        <v>75577.21411160985</v>
      </c>
      <c r="P53" s="35">
        <v>68588.159693942303</v>
      </c>
      <c r="Q53" s="35">
        <v>61696.613548914094</v>
      </c>
      <c r="R53" s="35">
        <v>61198.567937195483</v>
      </c>
      <c r="S53" s="35">
        <v>61587.320021835483</v>
      </c>
      <c r="T53" s="35">
        <v>65331.719296007075</v>
      </c>
      <c r="U53" s="35">
        <v>71227.126772934469</v>
      </c>
      <c r="V53" s="35">
        <v>60549.857051735416</v>
      </c>
      <c r="W53" s="35">
        <v>79769.225320088794</v>
      </c>
      <c r="X53" s="35">
        <v>68949.716497404384</v>
      </c>
      <c r="Y53" s="35">
        <v>67051.370106206319</v>
      </c>
      <c r="Z53" s="35">
        <v>57353.519553653969</v>
      </c>
      <c r="AA53" s="35">
        <v>69816.900569829013</v>
      </c>
      <c r="AB53" s="35">
        <v>69622.225626128304</v>
      </c>
      <c r="AC53" s="35">
        <v>75008.248216735694</v>
      </c>
      <c r="AD53" s="35">
        <v>83420.054228700203</v>
      </c>
      <c r="AE53" s="35">
        <v>82531.425168326474</v>
      </c>
      <c r="AF53" s="35">
        <v>84970.052410783595</v>
      </c>
      <c r="AG53" s="35">
        <v>65446.041957427718</v>
      </c>
    </row>
    <row r="54" spans="1:33" ht="15.75" thickBot="1" x14ac:dyDescent="0.3">
      <c r="A54" s="13" t="s">
        <v>21</v>
      </c>
      <c r="B54" s="14" t="s">
        <v>5</v>
      </c>
      <c r="C54" s="15">
        <v>458997.09284045256</v>
      </c>
      <c r="D54" s="36">
        <v>13265.94176297358</v>
      </c>
      <c r="E54" s="36">
        <v>10791.078216142065</v>
      </c>
      <c r="F54" s="36">
        <v>16303.70232106523</v>
      </c>
      <c r="G54" s="36">
        <v>15324.653633607029</v>
      </c>
      <c r="H54" s="36">
        <v>19787.274893564878</v>
      </c>
      <c r="I54" s="36">
        <v>18693.817245808783</v>
      </c>
      <c r="J54" s="36">
        <v>17194.912068071579</v>
      </c>
      <c r="K54" s="36">
        <v>8360.0725571053081</v>
      </c>
      <c r="L54" s="36">
        <v>13313.617761500536</v>
      </c>
      <c r="M54" s="36">
        <v>18943.315666470164</v>
      </c>
      <c r="N54" s="36">
        <v>19911.682601322747</v>
      </c>
      <c r="O54" s="36">
        <v>20377.973573294348</v>
      </c>
      <c r="P54" s="36">
        <v>14881.719198255261</v>
      </c>
      <c r="Q54" s="36">
        <v>13197.730822854694</v>
      </c>
      <c r="R54" s="36">
        <v>12075.340629256974</v>
      </c>
      <c r="S54" s="36">
        <v>12433.694394605782</v>
      </c>
      <c r="T54" s="36">
        <v>12594.794034532</v>
      </c>
      <c r="U54" s="36">
        <v>15008.355070340715</v>
      </c>
      <c r="V54" s="36">
        <v>13632.961855908075</v>
      </c>
      <c r="W54" s="36">
        <v>12392.008687110278</v>
      </c>
      <c r="X54" s="36">
        <v>16573.746880124203</v>
      </c>
      <c r="Y54" s="36">
        <v>16335.658004436747</v>
      </c>
      <c r="Z54" s="36">
        <v>15112.32860775765</v>
      </c>
      <c r="AA54" s="36">
        <v>10436.788891250111</v>
      </c>
      <c r="AB54" s="36">
        <v>13934.491832500587</v>
      </c>
      <c r="AC54" s="36">
        <v>15044.935034452403</v>
      </c>
      <c r="AD54" s="36">
        <v>11759.467544605979</v>
      </c>
      <c r="AE54" s="36">
        <v>21552.89917907818</v>
      </c>
      <c r="AF54" s="36">
        <v>23123.486306690815</v>
      </c>
      <c r="AG54" s="36">
        <v>16638.643565765877</v>
      </c>
    </row>
    <row r="55" spans="1:33" x14ac:dyDescent="0.25">
      <c r="A55" s="8" t="s">
        <v>22</v>
      </c>
      <c r="B55" s="8" t="s">
        <v>2</v>
      </c>
      <c r="C55" s="9">
        <v>1732409.9140846892</v>
      </c>
      <c r="D55" s="34">
        <v>55144.699201222596</v>
      </c>
      <c r="E55" s="34">
        <v>47338.470021627618</v>
      </c>
      <c r="F55" s="34">
        <v>46899.744919304765</v>
      </c>
      <c r="G55" s="34">
        <v>55703.426847251263</v>
      </c>
      <c r="H55" s="34">
        <v>66038.014430204043</v>
      </c>
      <c r="I55" s="34">
        <v>73018.384754830215</v>
      </c>
      <c r="J55" s="34">
        <v>51762.538814667671</v>
      </c>
      <c r="K55" s="34">
        <v>57763.145710314326</v>
      </c>
      <c r="L55" s="34">
        <v>56158.484588095969</v>
      </c>
      <c r="M55" s="34">
        <v>49254.095886551986</v>
      </c>
      <c r="N55" s="34">
        <v>59977.638622408092</v>
      </c>
      <c r="O55" s="34">
        <v>57931.823864190388</v>
      </c>
      <c r="P55" s="34">
        <v>74660.90551778923</v>
      </c>
      <c r="Q55" s="34">
        <v>53749.169307732278</v>
      </c>
      <c r="R55" s="34">
        <v>50261.187814866382</v>
      </c>
      <c r="S55" s="34">
        <v>51867.842733251251</v>
      </c>
      <c r="T55" s="34">
        <v>47276.497440031133</v>
      </c>
      <c r="U55" s="34">
        <v>50827.785708920725</v>
      </c>
      <c r="V55" s="34">
        <v>65521.486304541628</v>
      </c>
      <c r="W55" s="34">
        <v>64012.167615548628</v>
      </c>
      <c r="X55" s="34">
        <v>60147.673457134297</v>
      </c>
      <c r="Y55" s="34">
        <v>58572.851818144707</v>
      </c>
      <c r="Z55" s="34">
        <v>52925.574086005137</v>
      </c>
      <c r="AA55" s="34">
        <v>48319.305303433488</v>
      </c>
      <c r="AB55" s="34">
        <v>51877.21207613896</v>
      </c>
      <c r="AC55" s="34">
        <v>61469.050623274095</v>
      </c>
      <c r="AD55" s="34">
        <v>67001.29531117549</v>
      </c>
      <c r="AE55" s="34">
        <v>64285.060610581932</v>
      </c>
      <c r="AF55" s="34">
        <v>71462.631602485708</v>
      </c>
      <c r="AG55" s="34">
        <v>61181.749092965292</v>
      </c>
    </row>
    <row r="56" spans="1:33" x14ac:dyDescent="0.25">
      <c r="A56" s="10" t="s">
        <v>22</v>
      </c>
      <c r="B56" s="11" t="s">
        <v>3</v>
      </c>
      <c r="C56" s="12">
        <v>1438168.7569106999</v>
      </c>
      <c r="D56" s="35">
        <v>49879.20335535326</v>
      </c>
      <c r="E56" s="35">
        <v>46482.814762286362</v>
      </c>
      <c r="F56" s="35">
        <v>56976.208698487259</v>
      </c>
      <c r="G56" s="35">
        <v>48052.260390207841</v>
      </c>
      <c r="H56" s="35">
        <v>56730.323797317025</v>
      </c>
      <c r="I56" s="35">
        <v>48176.800956128151</v>
      </c>
      <c r="J56" s="35">
        <v>36960.488706567667</v>
      </c>
      <c r="K56" s="35">
        <v>34504.522727052878</v>
      </c>
      <c r="L56" s="35">
        <v>38700.458862265252</v>
      </c>
      <c r="M56" s="35">
        <v>44791.093234396954</v>
      </c>
      <c r="N56" s="35">
        <v>51614.861008864929</v>
      </c>
      <c r="O56" s="35">
        <v>57590.093786189114</v>
      </c>
      <c r="P56" s="35">
        <v>49368.67376696752</v>
      </c>
      <c r="Q56" s="35">
        <v>37265.768889240782</v>
      </c>
      <c r="R56" s="35">
        <v>39850.138215963452</v>
      </c>
      <c r="S56" s="35">
        <v>38023.323742503271</v>
      </c>
      <c r="T56" s="35">
        <v>44993.885236629329</v>
      </c>
      <c r="U56" s="35">
        <v>49104.229848010218</v>
      </c>
      <c r="V56" s="35">
        <v>53191.365648744366</v>
      </c>
      <c r="W56" s="35">
        <v>52871.132246201276</v>
      </c>
      <c r="X56" s="35">
        <v>42333.055326457645</v>
      </c>
      <c r="Y56" s="35">
        <v>40813.866008926241</v>
      </c>
      <c r="Z56" s="35">
        <v>37169.681200871128</v>
      </c>
      <c r="AA56" s="35">
        <v>48345.847829523977</v>
      </c>
      <c r="AB56" s="35">
        <v>54774.664286480947</v>
      </c>
      <c r="AC56" s="35">
        <v>76118.21735368605</v>
      </c>
      <c r="AD56" s="35">
        <v>57859.62918817412</v>
      </c>
      <c r="AE56" s="35">
        <v>51024.152608888508</v>
      </c>
      <c r="AF56" s="35">
        <v>55684.947569113603</v>
      </c>
      <c r="AG56" s="35">
        <v>38917.047659200434</v>
      </c>
    </row>
    <row r="57" spans="1:33" x14ac:dyDescent="0.25">
      <c r="A57" s="10" t="s">
        <v>22</v>
      </c>
      <c r="B57" s="11" t="s">
        <v>4</v>
      </c>
      <c r="C57" s="12">
        <v>1971269.8339837368</v>
      </c>
      <c r="D57" s="35">
        <v>61177.305665350097</v>
      </c>
      <c r="E57" s="35">
        <v>58924.188138232035</v>
      </c>
      <c r="F57" s="35">
        <v>67587.548297118541</v>
      </c>
      <c r="G57" s="35">
        <v>65369.077374809545</v>
      </c>
      <c r="H57" s="35">
        <v>80281.547780435634</v>
      </c>
      <c r="I57" s="35">
        <v>72669.042672299824</v>
      </c>
      <c r="J57" s="35">
        <v>55632.377507240475</v>
      </c>
      <c r="K57" s="35">
        <v>56777.730961862158</v>
      </c>
      <c r="L57" s="35">
        <v>53951.093724347869</v>
      </c>
      <c r="M57" s="35">
        <v>50822.645551820155</v>
      </c>
      <c r="N57" s="35">
        <v>70443.199479735064</v>
      </c>
      <c r="O57" s="35">
        <v>75751.088457718739</v>
      </c>
      <c r="P57" s="35">
        <v>71677.020177425962</v>
      </c>
      <c r="Q57" s="35">
        <v>61680.351989808645</v>
      </c>
      <c r="R57" s="35">
        <v>55903.565165806867</v>
      </c>
      <c r="S57" s="35">
        <v>58126.63417767248</v>
      </c>
      <c r="T57" s="35">
        <v>63974.637745423592</v>
      </c>
      <c r="U57" s="35">
        <v>72494.108355118529</v>
      </c>
      <c r="V57" s="35">
        <v>78358.389159900034</v>
      </c>
      <c r="W57" s="35">
        <v>70552.948213968804</v>
      </c>
      <c r="X57" s="35">
        <v>60493.615729177451</v>
      </c>
      <c r="Y57" s="35">
        <v>68308.176219395973</v>
      </c>
      <c r="Z57" s="35">
        <v>55398.380729704491</v>
      </c>
      <c r="AA57" s="35">
        <v>54548.822376259654</v>
      </c>
      <c r="AB57" s="35">
        <v>60621.626542433529</v>
      </c>
      <c r="AC57" s="35">
        <v>77232.853471267343</v>
      </c>
      <c r="AD57" s="35">
        <v>72926.397744783404</v>
      </c>
      <c r="AE57" s="35">
        <v>81328.96192750147</v>
      </c>
      <c r="AF57" s="35">
        <v>72258.785795093703</v>
      </c>
      <c r="AG57" s="35">
        <v>65997.712852024357</v>
      </c>
    </row>
    <row r="58" spans="1:33" ht="15.75" thickBot="1" x14ac:dyDescent="0.3">
      <c r="A58" s="13" t="s">
        <v>22</v>
      </c>
      <c r="B58" s="14" t="s">
        <v>5</v>
      </c>
      <c r="C58" s="15">
        <v>1158624.7883074824</v>
      </c>
      <c r="D58" s="36">
        <v>31809.717701294154</v>
      </c>
      <c r="E58" s="36">
        <v>38399.741177514414</v>
      </c>
      <c r="F58" s="36">
        <v>45944.56373641111</v>
      </c>
      <c r="G58" s="36">
        <v>51074.217223864442</v>
      </c>
      <c r="H58" s="36">
        <v>34472.919335106875</v>
      </c>
      <c r="I58" s="36">
        <v>39266.860455310867</v>
      </c>
      <c r="J58" s="36">
        <v>32024.50165263869</v>
      </c>
      <c r="K58" s="36">
        <v>38258.054003425546</v>
      </c>
      <c r="L58" s="36">
        <v>33319.813565394521</v>
      </c>
      <c r="M58" s="36">
        <v>28421.551035832988</v>
      </c>
      <c r="N58" s="36">
        <v>40419.066678835246</v>
      </c>
      <c r="O58" s="36">
        <v>42779.899700731796</v>
      </c>
      <c r="P58" s="36">
        <v>52246.888123165285</v>
      </c>
      <c r="Q58" s="36">
        <v>24040.23348195033</v>
      </c>
      <c r="R58" s="36">
        <v>32921.868171005844</v>
      </c>
      <c r="S58" s="36">
        <v>27166.917639635365</v>
      </c>
      <c r="T58" s="36">
        <v>36358.809268716999</v>
      </c>
      <c r="U58" s="36">
        <v>41124.553075720956</v>
      </c>
      <c r="V58" s="36">
        <v>41043.689063111422</v>
      </c>
      <c r="W58" s="36">
        <v>35553.871121164426</v>
      </c>
      <c r="X58" s="36">
        <v>39617.674819139116</v>
      </c>
      <c r="Y58" s="36">
        <v>41739.609132267302</v>
      </c>
      <c r="Z58" s="36">
        <v>37723.671670872056</v>
      </c>
      <c r="AA58" s="36">
        <v>31840.181178929281</v>
      </c>
      <c r="AB58" s="36">
        <v>39647.117657830189</v>
      </c>
      <c r="AC58" s="36">
        <v>41667.62813826403</v>
      </c>
      <c r="AD58" s="36">
        <v>48163.761481114256</v>
      </c>
      <c r="AE58" s="36">
        <v>42546.536660812519</v>
      </c>
      <c r="AF58" s="36">
        <v>54029.468636879341</v>
      </c>
      <c r="AG58" s="36">
        <v>35001.402720543061</v>
      </c>
    </row>
    <row r="59" spans="1:33" x14ac:dyDescent="0.25">
      <c r="A59" s="8" t="s">
        <v>23</v>
      </c>
      <c r="B59" s="8" t="s">
        <v>2</v>
      </c>
      <c r="C59" s="9">
        <v>703969.19485529</v>
      </c>
      <c r="D59" s="34">
        <v>23245.703303565624</v>
      </c>
      <c r="E59" s="34">
        <v>22521.766557864736</v>
      </c>
      <c r="F59" s="34">
        <v>24082.412348641803</v>
      </c>
      <c r="G59" s="34">
        <v>21012.311346917777</v>
      </c>
      <c r="H59" s="34">
        <v>25053.782292871165</v>
      </c>
      <c r="I59" s="34">
        <v>28463.864842963965</v>
      </c>
      <c r="J59" s="34">
        <v>22275.94114264541</v>
      </c>
      <c r="K59" s="34">
        <v>19465.267092752809</v>
      </c>
      <c r="L59" s="34">
        <v>19653.956748703058</v>
      </c>
      <c r="M59" s="34">
        <v>22960.407066592819</v>
      </c>
      <c r="N59" s="34">
        <v>24197.960788329023</v>
      </c>
      <c r="O59" s="34">
        <v>24013.923881504925</v>
      </c>
      <c r="P59" s="34">
        <v>27170.855521365345</v>
      </c>
      <c r="Q59" s="34">
        <v>23910.529456479446</v>
      </c>
      <c r="R59" s="34">
        <v>19286.146590838674</v>
      </c>
      <c r="S59" s="34">
        <v>21224.078638533709</v>
      </c>
      <c r="T59" s="34">
        <v>23291.10379559431</v>
      </c>
      <c r="U59" s="34">
        <v>20478.744416573802</v>
      </c>
      <c r="V59" s="34">
        <v>27582.158544116697</v>
      </c>
      <c r="W59" s="34">
        <v>30796.923855615121</v>
      </c>
      <c r="X59" s="34">
        <v>21357.907212565438</v>
      </c>
      <c r="Y59" s="34">
        <v>18512.3530533905</v>
      </c>
      <c r="Z59" s="34">
        <v>21003.171279745526</v>
      </c>
      <c r="AA59" s="34">
        <v>19720.883960022053</v>
      </c>
      <c r="AB59" s="34">
        <v>19378.038386080068</v>
      </c>
      <c r="AC59" s="34">
        <v>24047.42367521318</v>
      </c>
      <c r="AD59" s="34">
        <v>25266.676583719873</v>
      </c>
      <c r="AE59" s="34">
        <v>24945.658767106383</v>
      </c>
      <c r="AF59" s="34">
        <v>34769.96320136539</v>
      </c>
      <c r="AG59" s="34">
        <v>24279.280503611564</v>
      </c>
    </row>
    <row r="60" spans="1:33" x14ac:dyDescent="0.25">
      <c r="A60" s="10" t="s">
        <v>23</v>
      </c>
      <c r="B60" s="11" t="s">
        <v>3</v>
      </c>
      <c r="C60" s="12">
        <v>10622.048899058445</v>
      </c>
      <c r="D60" s="35">
        <v>299.68208396314935</v>
      </c>
      <c r="E60" s="35">
        <v>269.2425754757154</v>
      </c>
      <c r="F60" s="35">
        <v>286.75110545046061</v>
      </c>
      <c r="G60" s="35">
        <v>467.37170158376381</v>
      </c>
      <c r="H60" s="35">
        <v>411.0581487185363</v>
      </c>
      <c r="I60" s="35">
        <v>420.64448571561246</v>
      </c>
      <c r="J60" s="35">
        <v>175.96483239090716</v>
      </c>
      <c r="K60" s="35">
        <v>200.09225434457187</v>
      </c>
      <c r="L60" s="35">
        <v>171.43349727632406</v>
      </c>
      <c r="M60" s="35">
        <v>162.90515912602328</v>
      </c>
      <c r="N60" s="35">
        <v>429.65631796255798</v>
      </c>
      <c r="O60" s="35">
        <v>476.41659629467102</v>
      </c>
      <c r="P60" s="35">
        <v>496.84813249192536</v>
      </c>
      <c r="Q60" s="35">
        <v>331.36978934272992</v>
      </c>
      <c r="R60" s="35">
        <v>321.07385365675469</v>
      </c>
      <c r="S60" s="35">
        <v>197.77610431542476</v>
      </c>
      <c r="T60" s="35">
        <v>232.84613530932697</v>
      </c>
      <c r="U60" s="35">
        <v>442.9527611306516</v>
      </c>
      <c r="V60" s="35">
        <v>429.75834943736453</v>
      </c>
      <c r="W60" s="35">
        <v>478.73701244820029</v>
      </c>
      <c r="X60" s="35">
        <v>245.96375676373515</v>
      </c>
      <c r="Y60" s="35">
        <v>275.20910593452976</v>
      </c>
      <c r="Z60" s="35">
        <v>130.62624000914852</v>
      </c>
      <c r="AA60" s="35">
        <v>350.70742014632577</v>
      </c>
      <c r="AB60" s="35">
        <v>501.34320554926012</v>
      </c>
      <c r="AC60" s="35">
        <v>626.17249354378509</v>
      </c>
      <c r="AD60" s="35">
        <v>430.96281855459409</v>
      </c>
      <c r="AE60" s="35">
        <v>454.06850371873173</v>
      </c>
      <c r="AF60" s="35">
        <v>556.89098908789015</v>
      </c>
      <c r="AG60" s="35">
        <v>347.52346931577455</v>
      </c>
    </row>
    <row r="61" spans="1:33" x14ac:dyDescent="0.25">
      <c r="A61" s="10" t="s">
        <v>23</v>
      </c>
      <c r="B61" s="11" t="s">
        <v>4</v>
      </c>
      <c r="C61" s="12">
        <v>2189007.1102069467</v>
      </c>
      <c r="D61" s="35">
        <v>74302.410973882113</v>
      </c>
      <c r="E61" s="35">
        <v>70326.774088867096</v>
      </c>
      <c r="F61" s="35">
        <v>69068.695966668791</v>
      </c>
      <c r="G61" s="35">
        <v>79033.716783311713</v>
      </c>
      <c r="H61" s="35">
        <v>88559.638698202121</v>
      </c>
      <c r="I61" s="35">
        <v>85080.872982537345</v>
      </c>
      <c r="J61" s="35">
        <v>65765.867727966746</v>
      </c>
      <c r="K61" s="35">
        <v>68019.641332821993</v>
      </c>
      <c r="L61" s="35">
        <v>70498.279906915966</v>
      </c>
      <c r="M61" s="35">
        <v>66245.648887698102</v>
      </c>
      <c r="N61" s="35">
        <v>72288.422874692362</v>
      </c>
      <c r="O61" s="35">
        <v>78434.515704648438</v>
      </c>
      <c r="P61" s="35">
        <v>82151.218856222447</v>
      </c>
      <c r="Q61" s="35">
        <v>73250.284464888609</v>
      </c>
      <c r="R61" s="35">
        <v>58194.325936582674</v>
      </c>
      <c r="S61" s="35">
        <v>64665.573969439771</v>
      </c>
      <c r="T61" s="35">
        <v>70141.707518158597</v>
      </c>
      <c r="U61" s="35">
        <v>66748.86159407151</v>
      </c>
      <c r="V61" s="35">
        <v>78182.380890043147</v>
      </c>
      <c r="W61" s="35">
        <v>82021.13081555377</v>
      </c>
      <c r="X61" s="35">
        <v>71459.974614558974</v>
      </c>
      <c r="Y61" s="35">
        <v>69192.355938620065</v>
      </c>
      <c r="Z61" s="35">
        <v>65956.663933003161</v>
      </c>
      <c r="AA61" s="35">
        <v>55592.769090774047</v>
      </c>
      <c r="AB61" s="35">
        <v>73865.623704533762</v>
      </c>
      <c r="AC61" s="35">
        <v>71996.217704803406</v>
      </c>
      <c r="AD61" s="35">
        <v>78623.371127399034</v>
      </c>
      <c r="AE61" s="35">
        <v>83459.874753723241</v>
      </c>
      <c r="AF61" s="35">
        <v>82113.392144154583</v>
      </c>
      <c r="AG61" s="35">
        <v>73766.897222203697</v>
      </c>
    </row>
    <row r="62" spans="1:33" ht="15.75" thickBot="1" x14ac:dyDescent="0.3">
      <c r="A62" s="13" t="s">
        <v>23</v>
      </c>
      <c r="B62" s="14" t="s">
        <v>5</v>
      </c>
      <c r="C62" s="15">
        <v>700684.55003558542</v>
      </c>
      <c r="D62" s="36">
        <v>26114.728267669456</v>
      </c>
      <c r="E62" s="36">
        <v>21286.33382958336</v>
      </c>
      <c r="F62" s="36">
        <v>19379.617150533679</v>
      </c>
      <c r="G62" s="36">
        <v>22844.230898958729</v>
      </c>
      <c r="H62" s="36">
        <v>32504.605653322524</v>
      </c>
      <c r="I62" s="36">
        <v>30263.740585037958</v>
      </c>
      <c r="J62" s="36">
        <v>28547.296022614955</v>
      </c>
      <c r="K62" s="36">
        <v>21927.664047803875</v>
      </c>
      <c r="L62" s="36">
        <v>19910.541393291071</v>
      </c>
      <c r="M62" s="36">
        <v>22844.571210773047</v>
      </c>
      <c r="N62" s="36">
        <v>20775.179182409498</v>
      </c>
      <c r="O62" s="36">
        <v>30440.387624950705</v>
      </c>
      <c r="P62" s="36">
        <v>21619.039044642719</v>
      </c>
      <c r="Q62" s="36">
        <v>24337.153620082216</v>
      </c>
      <c r="R62" s="36">
        <v>16580.785654394844</v>
      </c>
      <c r="S62" s="36">
        <v>16163.557067972306</v>
      </c>
      <c r="T62" s="36">
        <v>16629.689722526236</v>
      </c>
      <c r="U62" s="36">
        <v>19449.778102918575</v>
      </c>
      <c r="V62" s="36">
        <v>21721.479202822589</v>
      </c>
      <c r="W62" s="36">
        <v>30050.636066498901</v>
      </c>
      <c r="X62" s="36">
        <v>28056.081126931782</v>
      </c>
      <c r="Y62" s="36">
        <v>22719.752399766556</v>
      </c>
      <c r="Z62" s="36">
        <v>21235.860545863728</v>
      </c>
      <c r="AA62" s="36">
        <v>20424.07192109451</v>
      </c>
      <c r="AB62" s="36">
        <v>19607.783617891553</v>
      </c>
      <c r="AC62" s="36">
        <v>20366.073965036107</v>
      </c>
      <c r="AD62" s="36">
        <v>35699.175675016879</v>
      </c>
      <c r="AE62" s="36">
        <v>22301.231888863746</v>
      </c>
      <c r="AF62" s="36">
        <v>29811.327538257483</v>
      </c>
      <c r="AG62" s="36">
        <v>17072.177008055813</v>
      </c>
    </row>
    <row r="63" spans="1:33" x14ac:dyDescent="0.25">
      <c r="A63" s="8" t="s">
        <v>24</v>
      </c>
      <c r="B63" s="8" t="s">
        <v>2</v>
      </c>
      <c r="C63" s="9">
        <v>819856.19350869826</v>
      </c>
      <c r="D63" s="34">
        <v>21990.403235687769</v>
      </c>
      <c r="E63" s="34">
        <v>22034.86343913545</v>
      </c>
      <c r="F63" s="34">
        <v>33884.044616921266</v>
      </c>
      <c r="G63" s="34">
        <v>59314.177782365536</v>
      </c>
      <c r="H63" s="34">
        <v>24213.149810027659</v>
      </c>
      <c r="I63" s="34">
        <v>23658.588339575614</v>
      </c>
      <c r="J63" s="34">
        <v>22466.305097185497</v>
      </c>
      <c r="K63" s="34">
        <v>20979.934303531769</v>
      </c>
      <c r="L63" s="34">
        <v>21512.9588374872</v>
      </c>
      <c r="M63" s="34">
        <v>19972.501630328825</v>
      </c>
      <c r="N63" s="34">
        <v>54277.49279798651</v>
      </c>
      <c r="O63" s="34">
        <v>22444.309304834238</v>
      </c>
      <c r="P63" s="34">
        <v>27459.750239432375</v>
      </c>
      <c r="Q63" s="34">
        <v>18438.663662945928</v>
      </c>
      <c r="R63" s="34">
        <v>21361.028735147978</v>
      </c>
      <c r="S63" s="34">
        <v>20254.502723123347</v>
      </c>
      <c r="T63" s="34">
        <v>56320.738867146545</v>
      </c>
      <c r="U63" s="34">
        <v>20373.775956658774</v>
      </c>
      <c r="V63" s="34">
        <v>26035.012573658576</v>
      </c>
      <c r="W63" s="34">
        <v>24581.572009743326</v>
      </c>
      <c r="X63" s="34">
        <v>21250.06372144874</v>
      </c>
      <c r="Y63" s="34">
        <v>55636.291901159151</v>
      </c>
      <c r="Z63" s="34">
        <v>23938.18776130116</v>
      </c>
      <c r="AA63" s="34">
        <v>20138.519583694615</v>
      </c>
      <c r="AB63" s="34">
        <v>20908.343027317045</v>
      </c>
      <c r="AC63" s="34">
        <v>22032.207932912839</v>
      </c>
      <c r="AD63" s="34">
        <v>26746.707767099299</v>
      </c>
      <c r="AE63" s="34">
        <v>23767.782189201716</v>
      </c>
      <c r="AF63" s="34">
        <v>21701.040923437919</v>
      </c>
      <c r="AG63" s="34">
        <v>22163.27473820162</v>
      </c>
    </row>
    <row r="64" spans="1:33" x14ac:dyDescent="0.25">
      <c r="A64" s="10" t="s">
        <v>24</v>
      </c>
      <c r="B64" s="11" t="s">
        <v>3</v>
      </c>
      <c r="C64" s="12">
        <v>528293.47354787088</v>
      </c>
      <c r="D64" s="35">
        <v>14123.341269963161</v>
      </c>
      <c r="E64" s="35">
        <v>20542.379214422785</v>
      </c>
      <c r="F64" s="35">
        <v>16615.506546895267</v>
      </c>
      <c r="G64" s="35">
        <v>17842.625067605124</v>
      </c>
      <c r="H64" s="35">
        <v>17975.630287503122</v>
      </c>
      <c r="I64" s="35">
        <v>15403.112459479455</v>
      </c>
      <c r="J64" s="35">
        <v>17884.65563279148</v>
      </c>
      <c r="K64" s="35">
        <v>13798.048503584061</v>
      </c>
      <c r="L64" s="35">
        <v>23661.65151231836</v>
      </c>
      <c r="M64" s="35">
        <v>17385.132896085415</v>
      </c>
      <c r="N64" s="35">
        <v>19038.921173844989</v>
      </c>
      <c r="O64" s="35">
        <v>19249.275453466111</v>
      </c>
      <c r="P64" s="35">
        <v>16656.722140338359</v>
      </c>
      <c r="Q64" s="35">
        <v>21910.176509197558</v>
      </c>
      <c r="R64" s="35">
        <v>12050.263765772646</v>
      </c>
      <c r="S64" s="35">
        <v>9419.6631763160713</v>
      </c>
      <c r="T64" s="35">
        <v>14707.007549914853</v>
      </c>
      <c r="U64" s="35">
        <v>15100.876983544631</v>
      </c>
      <c r="V64" s="35">
        <v>18801.773553540803</v>
      </c>
      <c r="W64" s="35">
        <v>24523.415453426827</v>
      </c>
      <c r="X64" s="35">
        <v>17295.632516100351</v>
      </c>
      <c r="Y64" s="35">
        <v>12750.370278166538</v>
      </c>
      <c r="Z64" s="35">
        <v>20336.585113769594</v>
      </c>
      <c r="AA64" s="35">
        <v>26124.074899114239</v>
      </c>
      <c r="AB64" s="35">
        <v>21740.534188796159</v>
      </c>
      <c r="AC64" s="35">
        <v>17587.355772245646</v>
      </c>
      <c r="AD64" s="35">
        <v>17404.893671613114</v>
      </c>
      <c r="AE64" s="35">
        <v>16405.939768059776</v>
      </c>
      <c r="AF64" s="35">
        <v>17277.30023036983</v>
      </c>
      <c r="AG64" s="35">
        <v>14680.6079596246</v>
      </c>
    </row>
    <row r="65" spans="1:33" x14ac:dyDescent="0.25">
      <c r="A65" s="10" t="s">
        <v>24</v>
      </c>
      <c r="B65" s="11" t="s">
        <v>4</v>
      </c>
      <c r="C65" s="12">
        <v>1540232.5135956486</v>
      </c>
      <c r="D65" s="35">
        <v>44129.5147315836</v>
      </c>
      <c r="E65" s="35">
        <v>49308.203795333429</v>
      </c>
      <c r="F65" s="35">
        <v>47309.181939225768</v>
      </c>
      <c r="G65" s="35">
        <v>50975.470537547037</v>
      </c>
      <c r="H65" s="35">
        <v>55049.208286999397</v>
      </c>
      <c r="I65" s="35">
        <v>50246.664553582079</v>
      </c>
      <c r="J65" s="35">
        <v>38828.906957586929</v>
      </c>
      <c r="K65" s="35">
        <v>47314.258479935495</v>
      </c>
      <c r="L65" s="35">
        <v>61698.296025869269</v>
      </c>
      <c r="M65" s="35">
        <v>42338.676451915322</v>
      </c>
      <c r="N65" s="35">
        <v>51868.396814367195</v>
      </c>
      <c r="O65" s="35">
        <v>60120.908574181769</v>
      </c>
      <c r="P65" s="35">
        <v>43921.076874035331</v>
      </c>
      <c r="Q65" s="35">
        <v>48539.439351399291</v>
      </c>
      <c r="R65" s="35">
        <v>55712.019241738002</v>
      </c>
      <c r="S65" s="35">
        <v>47609.242729189718</v>
      </c>
      <c r="T65" s="35">
        <v>49131.333121160802</v>
      </c>
      <c r="U65" s="35">
        <v>42896.723589789304</v>
      </c>
      <c r="V65" s="35">
        <v>56317.126547693857</v>
      </c>
      <c r="W65" s="35">
        <v>50764.063039905603</v>
      </c>
      <c r="X65" s="35">
        <v>47670.279276792622</v>
      </c>
      <c r="Y65" s="35">
        <v>50655.830102198204</v>
      </c>
      <c r="Z65" s="35">
        <v>78020.645813162089</v>
      </c>
      <c r="AA65" s="35">
        <v>41496.224975210775</v>
      </c>
      <c r="AB65" s="35">
        <v>53816.462552545978</v>
      </c>
      <c r="AC65" s="35">
        <v>54340.027355760198</v>
      </c>
      <c r="AD65" s="35">
        <v>54617.638756396009</v>
      </c>
      <c r="AE65" s="35">
        <v>57983.585039239915</v>
      </c>
      <c r="AF65" s="35">
        <v>48143.114998782352</v>
      </c>
      <c r="AG65" s="35">
        <v>59409.993082521185</v>
      </c>
    </row>
    <row r="66" spans="1:33" ht="15.75" thickBot="1" x14ac:dyDescent="0.3">
      <c r="A66" s="13" t="s">
        <v>24</v>
      </c>
      <c r="B66" s="14" t="s">
        <v>5</v>
      </c>
      <c r="C66" s="15">
        <v>649429.59762116603</v>
      </c>
      <c r="D66" s="36">
        <v>16677.02972834279</v>
      </c>
      <c r="E66" s="36">
        <v>20304.72334955143</v>
      </c>
      <c r="F66" s="36">
        <v>20599.907980086438</v>
      </c>
      <c r="G66" s="36">
        <v>17716.823537256812</v>
      </c>
      <c r="H66" s="36">
        <v>18873.996115785412</v>
      </c>
      <c r="I66" s="36">
        <v>25468.977139015959</v>
      </c>
      <c r="J66" s="36">
        <v>18578.282787076343</v>
      </c>
      <c r="K66" s="36">
        <v>21060.761738457928</v>
      </c>
      <c r="L66" s="36">
        <v>28263.139213952498</v>
      </c>
      <c r="M66" s="36">
        <v>22633.08678319438</v>
      </c>
      <c r="N66" s="36">
        <v>22611.954406178258</v>
      </c>
      <c r="O66" s="36">
        <v>23752.457442277657</v>
      </c>
      <c r="P66" s="36">
        <v>23783.720609305554</v>
      </c>
      <c r="Q66" s="36">
        <v>23137.464841248089</v>
      </c>
      <c r="R66" s="36">
        <v>23516.004958902249</v>
      </c>
      <c r="S66" s="36">
        <v>29662.245631925805</v>
      </c>
      <c r="T66" s="36">
        <v>25933.765033800315</v>
      </c>
      <c r="U66" s="36">
        <v>18739.442430487015</v>
      </c>
      <c r="V66" s="36">
        <v>18206.79457006737</v>
      </c>
      <c r="W66" s="36">
        <v>19987.084596565146</v>
      </c>
      <c r="X66" s="36">
        <v>21600.150500596847</v>
      </c>
      <c r="Y66" s="36">
        <v>20909.896159495136</v>
      </c>
      <c r="Z66" s="36">
        <v>23484.788441713237</v>
      </c>
      <c r="AA66" s="36">
        <v>20695.858923705269</v>
      </c>
      <c r="AB66" s="36">
        <v>17478.629459896267</v>
      </c>
      <c r="AC66" s="36">
        <v>21309.817453306161</v>
      </c>
      <c r="AD66" s="36">
        <v>21872.84990878799</v>
      </c>
      <c r="AE66" s="36">
        <v>18841.932126523276</v>
      </c>
      <c r="AF66" s="36">
        <v>21859.383655295744</v>
      </c>
      <c r="AG66" s="36">
        <v>21868.628098368652</v>
      </c>
    </row>
    <row r="67" spans="1:33" x14ac:dyDescent="0.25">
      <c r="A67" s="8" t="s">
        <v>25</v>
      </c>
      <c r="B67" s="8" t="s">
        <v>2</v>
      </c>
      <c r="C67" s="9">
        <v>989890.57602250599</v>
      </c>
      <c r="D67" s="34">
        <v>33541.216219776245</v>
      </c>
      <c r="E67" s="34">
        <v>38249.168809053008</v>
      </c>
      <c r="F67" s="34">
        <v>30498.731131876033</v>
      </c>
      <c r="G67" s="34">
        <v>41766.209693640994</v>
      </c>
      <c r="H67" s="34">
        <v>31261.826540202892</v>
      </c>
      <c r="I67" s="34">
        <v>29319.450110460413</v>
      </c>
      <c r="J67" s="34">
        <v>30412.330702599411</v>
      </c>
      <c r="K67" s="34">
        <v>28343.175340340214</v>
      </c>
      <c r="L67" s="34">
        <v>28308.903693291741</v>
      </c>
      <c r="M67" s="34">
        <v>27858.192292260363</v>
      </c>
      <c r="N67" s="34">
        <v>35236.889113894969</v>
      </c>
      <c r="O67" s="34">
        <v>31675.448320153671</v>
      </c>
      <c r="P67" s="34">
        <v>29893.135805328537</v>
      </c>
      <c r="Q67" s="34">
        <v>40929.809586818083</v>
      </c>
      <c r="R67" s="34">
        <v>32543.324524189477</v>
      </c>
      <c r="S67" s="34">
        <v>34224.675831450011</v>
      </c>
      <c r="T67" s="34">
        <v>30785.402060469936</v>
      </c>
      <c r="U67" s="34">
        <v>35854.743001218805</v>
      </c>
      <c r="V67" s="34">
        <v>30045.127009490727</v>
      </c>
      <c r="W67" s="34">
        <v>34639.231952923372</v>
      </c>
      <c r="X67" s="34">
        <v>35212.095427251617</v>
      </c>
      <c r="Y67" s="34">
        <v>38207.713944378891</v>
      </c>
      <c r="Z67" s="34">
        <v>35741.463435020414</v>
      </c>
      <c r="AA67" s="34">
        <v>31399.197168219656</v>
      </c>
      <c r="AB67" s="34">
        <v>35847.298167966837</v>
      </c>
      <c r="AC67" s="34">
        <v>28260.190863670166</v>
      </c>
      <c r="AD67" s="34">
        <v>30923.363192328972</v>
      </c>
      <c r="AE67" s="34">
        <v>35564.347862063194</v>
      </c>
      <c r="AF67" s="34">
        <v>30385.279646837491</v>
      </c>
      <c r="AG67" s="34">
        <v>32962.634575329765</v>
      </c>
    </row>
    <row r="68" spans="1:33" x14ac:dyDescent="0.25">
      <c r="A68" s="10" t="s">
        <v>25</v>
      </c>
      <c r="B68" s="11" t="s">
        <v>3</v>
      </c>
      <c r="C68" s="12">
        <v>45768.580715209762</v>
      </c>
      <c r="D68" s="35">
        <v>1826.3836130158604</v>
      </c>
      <c r="E68" s="35">
        <v>632.3975344533527</v>
      </c>
      <c r="F68" s="35">
        <v>625.07246648671173</v>
      </c>
      <c r="G68" s="35">
        <v>4331.5568576071346</v>
      </c>
      <c r="H68" s="35">
        <v>583.56374800907838</v>
      </c>
      <c r="I68" s="35">
        <v>2180.7348105162459</v>
      </c>
      <c r="J68" s="35">
        <v>1145.1522921182334</v>
      </c>
      <c r="K68" s="35">
        <v>617.74739852007053</v>
      </c>
      <c r="L68" s="35">
        <v>603.09726258678813</v>
      </c>
      <c r="M68" s="35">
        <v>625.07246648671173</v>
      </c>
      <c r="N68" s="35">
        <v>4331.5568576071346</v>
      </c>
      <c r="O68" s="35">
        <v>1306.3037873843389</v>
      </c>
      <c r="P68" s="35">
        <v>664.13949564213112</v>
      </c>
      <c r="Q68" s="35">
        <v>2807.7937361125555</v>
      </c>
      <c r="R68" s="35">
        <v>659.25611699770366</v>
      </c>
      <c r="S68" s="35">
        <v>1855.6838848824252</v>
      </c>
      <c r="T68" s="35">
        <v>625.07246648671173</v>
      </c>
      <c r="U68" s="35">
        <v>2628.0854019976255</v>
      </c>
      <c r="V68" s="35">
        <v>1277.5415148599568</v>
      </c>
      <c r="W68" s="35">
        <v>664.13949564213112</v>
      </c>
      <c r="X68" s="35">
        <v>2807.7937361125555</v>
      </c>
      <c r="Y68" s="35">
        <v>659.25611699770366</v>
      </c>
      <c r="Z68" s="35">
        <v>1855.6838848824252</v>
      </c>
      <c r="AA68" s="35">
        <v>625.07246648671173</v>
      </c>
      <c r="AB68" s="35">
        <v>1721.3909721606708</v>
      </c>
      <c r="AC68" s="35">
        <v>639.7226024199939</v>
      </c>
      <c r="AD68" s="35">
        <v>1330.720680606476</v>
      </c>
      <c r="AE68" s="35">
        <v>2705.2676153184489</v>
      </c>
      <c r="AF68" s="35">
        <v>2180.7348105162459</v>
      </c>
      <c r="AG68" s="35">
        <v>1252.586622295637</v>
      </c>
    </row>
    <row r="69" spans="1:33" x14ac:dyDescent="0.25">
      <c r="A69" s="10" t="s">
        <v>25</v>
      </c>
      <c r="B69" s="11" t="s">
        <v>4</v>
      </c>
      <c r="C69" s="12">
        <v>2013953.7914463426</v>
      </c>
      <c r="D69" s="35">
        <v>66924.490590467816</v>
      </c>
      <c r="E69" s="35">
        <v>64650.855163753949</v>
      </c>
      <c r="F69" s="35">
        <v>74605.11377610096</v>
      </c>
      <c r="G69" s="35">
        <v>72112.705832972628</v>
      </c>
      <c r="H69" s="35">
        <v>74183.919901535148</v>
      </c>
      <c r="I69" s="35">
        <v>52176.594513216769</v>
      </c>
      <c r="J69" s="35">
        <v>66494.082518956944</v>
      </c>
      <c r="K69" s="35">
        <v>57838.589213905543</v>
      </c>
      <c r="L69" s="35">
        <v>66125.264079657893</v>
      </c>
      <c r="M69" s="35">
        <v>62033.724174082192</v>
      </c>
      <c r="N69" s="35">
        <v>73816.362352344382</v>
      </c>
      <c r="O69" s="35">
        <v>68516.550252628425</v>
      </c>
      <c r="P69" s="35">
        <v>49160.052333862535</v>
      </c>
      <c r="Q69" s="35">
        <v>76699.565402748645</v>
      </c>
      <c r="R69" s="35">
        <v>64150.087807675591</v>
      </c>
      <c r="S69" s="35">
        <v>66285.663850162367</v>
      </c>
      <c r="T69" s="35">
        <v>68637.118827917671</v>
      </c>
      <c r="U69" s="35">
        <v>81776.022135464314</v>
      </c>
      <c r="V69" s="35">
        <v>73508.882983761301</v>
      </c>
      <c r="W69" s="35">
        <v>62340.168966166166</v>
      </c>
      <c r="X69" s="35">
        <v>74611.296987208829</v>
      </c>
      <c r="Y69" s="35">
        <v>77273.965508098641</v>
      </c>
      <c r="Z69" s="35">
        <v>73052.440764566127</v>
      </c>
      <c r="AA69" s="35">
        <v>63189.87957708045</v>
      </c>
      <c r="AB69" s="35">
        <v>74708.789656990892</v>
      </c>
      <c r="AC69" s="35">
        <v>68716.967118812798</v>
      </c>
      <c r="AD69" s="35">
        <v>50227.541297836658</v>
      </c>
      <c r="AE69" s="35">
        <v>70821.748345193642</v>
      </c>
      <c r="AF69" s="35">
        <v>46250.5322437625</v>
      </c>
      <c r="AG69" s="35">
        <v>73064.815269410785</v>
      </c>
    </row>
    <row r="70" spans="1:33" ht="15.75" thickBot="1" x14ac:dyDescent="0.3">
      <c r="A70" s="13" t="s">
        <v>25</v>
      </c>
      <c r="B70" s="14" t="s">
        <v>5</v>
      </c>
      <c r="C70" s="15">
        <v>396105.8302905577</v>
      </c>
      <c r="D70" s="36">
        <v>10667.944623186688</v>
      </c>
      <c r="E70" s="36">
        <v>9618.5565364535832</v>
      </c>
      <c r="F70" s="36">
        <v>11654.538024146099</v>
      </c>
      <c r="G70" s="36">
        <v>12349.662497453024</v>
      </c>
      <c r="H70" s="36">
        <v>9289.6156071404475</v>
      </c>
      <c r="I70" s="36">
        <v>16177.000643457448</v>
      </c>
      <c r="J70" s="36">
        <v>11012.320019296643</v>
      </c>
      <c r="K70" s="36">
        <v>19873.514479335317</v>
      </c>
      <c r="L70" s="36">
        <v>11174.291804349692</v>
      </c>
      <c r="M70" s="36">
        <v>15513.556150566292</v>
      </c>
      <c r="N70" s="36">
        <v>16214.996958215226</v>
      </c>
      <c r="O70" s="36">
        <v>14615.530701061458</v>
      </c>
      <c r="P70" s="36">
        <v>10758.151053069803</v>
      </c>
      <c r="Q70" s="36">
        <v>11846.485772049238</v>
      </c>
      <c r="R70" s="36">
        <v>13347.159972354353</v>
      </c>
      <c r="S70" s="36">
        <v>6710.9864487006816</v>
      </c>
      <c r="T70" s="36">
        <v>10664.126968448196</v>
      </c>
      <c r="U70" s="36">
        <v>19643.168989459409</v>
      </c>
      <c r="V70" s="36">
        <v>14652.257195037122</v>
      </c>
      <c r="W70" s="36">
        <v>13573.01603133607</v>
      </c>
      <c r="X70" s="36">
        <v>16985.778172959857</v>
      </c>
      <c r="Y70" s="36">
        <v>21826.294032426711</v>
      </c>
      <c r="Z70" s="36">
        <v>17517.587308902333</v>
      </c>
      <c r="AA70" s="36">
        <v>15472.364802872864</v>
      </c>
      <c r="AB70" s="36">
        <v>12458.875277107174</v>
      </c>
      <c r="AC70" s="36">
        <v>11964.546335217488</v>
      </c>
      <c r="AD70" s="36">
        <v>8529.1240369270308</v>
      </c>
      <c r="AE70" s="36">
        <v>14455.32847271123</v>
      </c>
      <c r="AF70" s="36">
        <v>9584.4598003557221</v>
      </c>
      <c r="AG70" s="36">
        <v>7954.5915759604459</v>
      </c>
    </row>
    <row r="71" spans="1:33" x14ac:dyDescent="0.25">
      <c r="A71" s="8" t="s">
        <v>80</v>
      </c>
      <c r="B71" s="8" t="s">
        <v>2</v>
      </c>
      <c r="C71" s="9">
        <v>1822572.2276590343</v>
      </c>
      <c r="D71" s="34">
        <v>73453.795348227213</v>
      </c>
      <c r="E71" s="34">
        <v>58165.391576839029</v>
      </c>
      <c r="F71" s="34">
        <v>75230.366365814232</v>
      </c>
      <c r="G71" s="34">
        <v>65164.844769984411</v>
      </c>
      <c r="H71" s="34">
        <v>51015.148631258322</v>
      </c>
      <c r="I71" s="34">
        <v>49306.097071997945</v>
      </c>
      <c r="J71" s="34">
        <v>68549.617543896515</v>
      </c>
      <c r="K71" s="34">
        <v>65989.374249783403</v>
      </c>
      <c r="L71" s="34">
        <v>61941.247803147744</v>
      </c>
      <c r="M71" s="34">
        <v>64058.214689347922</v>
      </c>
      <c r="N71" s="34">
        <v>61639.092417815511</v>
      </c>
      <c r="O71" s="34">
        <v>50944.699254793893</v>
      </c>
      <c r="P71" s="34">
        <v>54972.094004813327</v>
      </c>
      <c r="Q71" s="34">
        <v>60821.119892745526</v>
      </c>
      <c r="R71" s="34">
        <v>55528.212673694434</v>
      </c>
      <c r="S71" s="34">
        <v>66023.401712845531</v>
      </c>
      <c r="T71" s="34">
        <v>60101.006633477125</v>
      </c>
      <c r="U71" s="34">
        <v>62724.101723228436</v>
      </c>
      <c r="V71" s="34">
        <v>46780.628875230403</v>
      </c>
      <c r="W71" s="34">
        <v>52763.552022058771</v>
      </c>
      <c r="X71" s="34">
        <v>66507.959657003055</v>
      </c>
      <c r="Y71" s="34">
        <v>69996.926381793921</v>
      </c>
      <c r="Z71" s="34">
        <v>67701.810369651212</v>
      </c>
      <c r="AA71" s="34">
        <v>63897.038882272493</v>
      </c>
      <c r="AB71" s="34">
        <v>67005.106145987011</v>
      </c>
      <c r="AC71" s="34">
        <v>59899.478781428377</v>
      </c>
      <c r="AD71" s="34">
        <v>53112.070836129758</v>
      </c>
      <c r="AE71" s="34">
        <v>56585.266559219279</v>
      </c>
      <c r="AF71" s="34">
        <v>51498.46388599879</v>
      </c>
      <c r="AG71" s="34">
        <v>61196.098898550379</v>
      </c>
    </row>
    <row r="72" spans="1:33" x14ac:dyDescent="0.25">
      <c r="A72" s="10" t="s">
        <v>80</v>
      </c>
      <c r="B72" s="11" t="s">
        <v>3</v>
      </c>
      <c r="C72" s="12">
        <v>2500596.5574390977</v>
      </c>
      <c r="D72" s="35">
        <v>72906.520652281615</v>
      </c>
      <c r="E72" s="35">
        <v>76618.30545872153</v>
      </c>
      <c r="F72" s="35">
        <v>91171.113996006636</v>
      </c>
      <c r="G72" s="35">
        <v>88897.082227901075</v>
      </c>
      <c r="H72" s="35">
        <v>77399.584851447755</v>
      </c>
      <c r="I72" s="35">
        <v>50889.480354203472</v>
      </c>
      <c r="J72" s="35">
        <v>111043.91362663238</v>
      </c>
      <c r="K72" s="35">
        <v>102936.20452117079</v>
      </c>
      <c r="L72" s="35">
        <v>89216.855410278455</v>
      </c>
      <c r="M72" s="35">
        <v>75674.698370661892</v>
      </c>
      <c r="N72" s="35">
        <v>82491.624952118102</v>
      </c>
      <c r="O72" s="35">
        <v>105888.18706712498</v>
      </c>
      <c r="P72" s="35">
        <v>56981.146871851124</v>
      </c>
      <c r="Q72" s="35">
        <v>79287.841940605416</v>
      </c>
      <c r="R72" s="35">
        <v>65415.98685387279</v>
      </c>
      <c r="S72" s="35">
        <v>85863.40864746958</v>
      </c>
      <c r="T72" s="35">
        <v>82114.354025636829</v>
      </c>
      <c r="U72" s="35">
        <v>87506.019604053348</v>
      </c>
      <c r="V72" s="35">
        <v>77614.803136583752</v>
      </c>
      <c r="W72" s="35">
        <v>96358.288394824602</v>
      </c>
      <c r="X72" s="35">
        <v>98995.425809022257</v>
      </c>
      <c r="Y72" s="35">
        <v>68194.616623802343</v>
      </c>
      <c r="Z72" s="35">
        <v>73561.848239605839</v>
      </c>
      <c r="AA72" s="35">
        <v>64331.689650880006</v>
      </c>
      <c r="AB72" s="35">
        <v>77586.51841813678</v>
      </c>
      <c r="AC72" s="35">
        <v>103385.29892030488</v>
      </c>
      <c r="AD72" s="35">
        <v>101274.92427514207</v>
      </c>
      <c r="AE72" s="35">
        <v>88460.812220963984</v>
      </c>
      <c r="AF72" s="35">
        <v>77537.558808248024</v>
      </c>
      <c r="AG72" s="35">
        <v>90992.443509544639</v>
      </c>
    </row>
    <row r="73" spans="1:33" x14ac:dyDescent="0.25">
      <c r="A73" s="10" t="s">
        <v>80</v>
      </c>
      <c r="B73" s="11" t="s">
        <v>4</v>
      </c>
      <c r="C73" s="12">
        <v>1633365.6255912283</v>
      </c>
      <c r="D73" s="35">
        <v>64591.744746545141</v>
      </c>
      <c r="E73" s="35">
        <v>50813.582537328613</v>
      </c>
      <c r="F73" s="35">
        <v>60872.681856659736</v>
      </c>
      <c r="G73" s="35">
        <v>61472.856645149492</v>
      </c>
      <c r="H73" s="35">
        <v>51514.370162186584</v>
      </c>
      <c r="I73" s="35">
        <v>47594.472092077034</v>
      </c>
      <c r="J73" s="35">
        <v>44141.127153909998</v>
      </c>
      <c r="K73" s="35">
        <v>49785.513375612478</v>
      </c>
      <c r="L73" s="35">
        <v>45724.73292880541</v>
      </c>
      <c r="M73" s="35">
        <v>43658.063510432461</v>
      </c>
      <c r="N73" s="35">
        <v>58555.767752367698</v>
      </c>
      <c r="O73" s="35">
        <v>64285.415573549224</v>
      </c>
      <c r="P73" s="35">
        <v>55507.11949161916</v>
      </c>
      <c r="Q73" s="35">
        <v>48057.706037665135</v>
      </c>
      <c r="R73" s="35">
        <v>48671.511455411812</v>
      </c>
      <c r="S73" s="35">
        <v>54202.117921347497</v>
      </c>
      <c r="T73" s="35">
        <v>44818.851314761181</v>
      </c>
      <c r="U73" s="35">
        <v>53404.097660930769</v>
      </c>
      <c r="V73" s="35">
        <v>55411.302391417426</v>
      </c>
      <c r="W73" s="35">
        <v>64128.461989393007</v>
      </c>
      <c r="X73" s="35">
        <v>53379.850516496117</v>
      </c>
      <c r="Y73" s="35">
        <v>55195.640698617492</v>
      </c>
      <c r="Z73" s="35">
        <v>46990.001885952151</v>
      </c>
      <c r="AA73" s="35">
        <v>44078.306670996273</v>
      </c>
      <c r="AB73" s="35">
        <v>63102.99204346176</v>
      </c>
      <c r="AC73" s="35">
        <v>58396.288169772641</v>
      </c>
      <c r="AD73" s="35">
        <v>57203.907080621924</v>
      </c>
      <c r="AE73" s="35">
        <v>70904.849395534256</v>
      </c>
      <c r="AF73" s="35">
        <v>58420.449893970217</v>
      </c>
      <c r="AG73" s="35">
        <v>58481.842638635899</v>
      </c>
    </row>
    <row r="74" spans="1:33" ht="15.75" thickBot="1" x14ac:dyDescent="0.3">
      <c r="A74" s="13" t="s">
        <v>80</v>
      </c>
      <c r="B74" s="14" t="s">
        <v>5</v>
      </c>
      <c r="C74" s="15">
        <v>3205896.9854122852</v>
      </c>
      <c r="D74" s="36">
        <v>101435.92789308682</v>
      </c>
      <c r="E74" s="36">
        <v>92794.442760508391</v>
      </c>
      <c r="F74" s="36">
        <v>101725.12074161651</v>
      </c>
      <c r="G74" s="36">
        <v>136438.21620123781</v>
      </c>
      <c r="H74" s="36">
        <v>117600.42256106596</v>
      </c>
      <c r="I74" s="36">
        <v>63534.572987396234</v>
      </c>
      <c r="J74" s="36">
        <v>111276.52242103928</v>
      </c>
      <c r="K74" s="36">
        <v>132895.70310945605</v>
      </c>
      <c r="L74" s="36">
        <v>96359.725378903386</v>
      </c>
      <c r="M74" s="36">
        <v>98870.798775646341</v>
      </c>
      <c r="N74" s="36">
        <v>131949.13802234197</v>
      </c>
      <c r="O74" s="36">
        <v>133018.44125547906</v>
      </c>
      <c r="P74" s="36">
        <v>90836.216741083161</v>
      </c>
      <c r="Q74" s="36">
        <v>80694.314434330125</v>
      </c>
      <c r="R74" s="36">
        <v>86548.115558763893</v>
      </c>
      <c r="S74" s="36">
        <v>110247.79310577177</v>
      </c>
      <c r="T74" s="36">
        <v>94886.540511827523</v>
      </c>
      <c r="U74" s="36">
        <v>91571.932974263982</v>
      </c>
      <c r="V74" s="36">
        <v>108260.13843701931</v>
      </c>
      <c r="W74" s="36">
        <v>119506.9527594221</v>
      </c>
      <c r="X74" s="36">
        <v>125166.6930287647</v>
      </c>
      <c r="Y74" s="36">
        <v>138141.88849291747</v>
      </c>
      <c r="Z74" s="36">
        <v>107186.571028811</v>
      </c>
      <c r="AA74" s="36">
        <v>99047.300575581161</v>
      </c>
      <c r="AB74" s="36">
        <v>108302.18437148884</v>
      </c>
      <c r="AC74" s="36">
        <v>95497.871342314</v>
      </c>
      <c r="AD74" s="36">
        <v>121226.91069507245</v>
      </c>
      <c r="AE74" s="36">
        <v>111684.91356614928</v>
      </c>
      <c r="AF74" s="36">
        <v>85374.602896488694</v>
      </c>
      <c r="AG74" s="36">
        <v>113817.01278443802</v>
      </c>
    </row>
    <row r="75" spans="1:33" x14ac:dyDescent="0.25">
      <c r="A75" s="8" t="s">
        <v>12</v>
      </c>
      <c r="B75" s="8" t="s">
        <v>2</v>
      </c>
      <c r="C75" s="9">
        <v>3413665.5543773924</v>
      </c>
      <c r="D75" s="34">
        <v>88439.094848379769</v>
      </c>
      <c r="E75" s="34">
        <v>96467.128385524658</v>
      </c>
      <c r="F75" s="34">
        <v>102867.84701346573</v>
      </c>
      <c r="G75" s="34">
        <v>129159.97821413171</v>
      </c>
      <c r="H75" s="34">
        <v>137594.31267131871</v>
      </c>
      <c r="I75" s="34">
        <v>132503.70530303949</v>
      </c>
      <c r="J75" s="34">
        <v>108247.9907152994</v>
      </c>
      <c r="K75" s="34">
        <v>87008.158291545289</v>
      </c>
      <c r="L75" s="34">
        <v>102917.00119270019</v>
      </c>
      <c r="M75" s="34">
        <v>91857.838672205107</v>
      </c>
      <c r="N75" s="34">
        <v>111428.49766592134</v>
      </c>
      <c r="O75" s="34">
        <v>125571.49327846779</v>
      </c>
      <c r="P75" s="34">
        <v>131015.15262478852</v>
      </c>
      <c r="Q75" s="34">
        <v>98599.708075802904</v>
      </c>
      <c r="R75" s="34">
        <v>95667.721726911404</v>
      </c>
      <c r="S75" s="34">
        <v>94839.41336436657</v>
      </c>
      <c r="T75" s="34">
        <v>103336.69309368027</v>
      </c>
      <c r="U75" s="34">
        <v>146652.3450480474</v>
      </c>
      <c r="V75" s="34">
        <v>138970.39983833543</v>
      </c>
      <c r="W75" s="34">
        <v>145723.01267355669</v>
      </c>
      <c r="X75" s="34">
        <v>99397.097148604138</v>
      </c>
      <c r="Y75" s="34">
        <v>90042.241292940933</v>
      </c>
      <c r="Z75" s="34">
        <v>111411.74404196335</v>
      </c>
      <c r="AA75" s="34">
        <v>96896.414460387168</v>
      </c>
      <c r="AB75" s="34">
        <v>122202.41441509515</v>
      </c>
      <c r="AC75" s="34">
        <v>110567.87387830306</v>
      </c>
      <c r="AD75" s="34">
        <v>137189.64625117494</v>
      </c>
      <c r="AE75" s="34">
        <v>125541.86200869616</v>
      </c>
      <c r="AF75" s="34">
        <v>153684.90855596092</v>
      </c>
      <c r="AG75" s="34">
        <v>97863.859626778227</v>
      </c>
    </row>
    <row r="76" spans="1:33" x14ac:dyDescent="0.25">
      <c r="A76" s="10" t="s">
        <v>12</v>
      </c>
      <c r="B76" s="11" t="s">
        <v>3</v>
      </c>
      <c r="C76" s="12">
        <v>3283409.7240660163</v>
      </c>
      <c r="D76" s="35">
        <v>80980.343119181038</v>
      </c>
      <c r="E76" s="35">
        <v>125093.69522154419</v>
      </c>
      <c r="F76" s="35">
        <v>120659.18295730108</v>
      </c>
      <c r="G76" s="35">
        <v>107891.83953230121</v>
      </c>
      <c r="H76" s="35">
        <v>116852.97553987383</v>
      </c>
      <c r="I76" s="35">
        <v>138115.16507491603</v>
      </c>
      <c r="J76" s="35">
        <v>72330.267115447423</v>
      </c>
      <c r="K76" s="35">
        <v>108273.74247557546</v>
      </c>
      <c r="L76" s="35">
        <v>85282.616389650255</v>
      </c>
      <c r="M76" s="35">
        <v>115986.09769981744</v>
      </c>
      <c r="N76" s="35">
        <v>98702.586476134544</v>
      </c>
      <c r="O76" s="35">
        <v>102513.73480584069</v>
      </c>
      <c r="P76" s="35">
        <v>128127.90249297452</v>
      </c>
      <c r="Q76" s="35">
        <v>85941.332203591039</v>
      </c>
      <c r="R76" s="35">
        <v>96941.046863242285</v>
      </c>
      <c r="S76" s="35">
        <v>84503.605019539275</v>
      </c>
      <c r="T76" s="35">
        <v>76879.055373718133</v>
      </c>
      <c r="U76" s="35">
        <v>128850.33693797661</v>
      </c>
      <c r="V76" s="35">
        <v>114037.02958884746</v>
      </c>
      <c r="W76" s="35">
        <v>187780.97173614398</v>
      </c>
      <c r="X76" s="35">
        <v>79702.02124764779</v>
      </c>
      <c r="Y76" s="35">
        <v>84784.462827194686</v>
      </c>
      <c r="Z76" s="35">
        <v>76339.747839446733</v>
      </c>
      <c r="AA76" s="35">
        <v>95929.751724499263</v>
      </c>
      <c r="AB76" s="35">
        <v>116613.53266771096</v>
      </c>
      <c r="AC76" s="35">
        <v>140170.80205266172</v>
      </c>
      <c r="AD76" s="35">
        <v>130030.04933487358</v>
      </c>
      <c r="AE76" s="35">
        <v>138170.26320585696</v>
      </c>
      <c r="AF76" s="35">
        <v>157567.51062050852</v>
      </c>
      <c r="AG76" s="35">
        <v>88358.055921999417</v>
      </c>
    </row>
    <row r="77" spans="1:33" x14ac:dyDescent="0.25">
      <c r="A77" s="10" t="s">
        <v>12</v>
      </c>
      <c r="B77" s="11" t="s">
        <v>4</v>
      </c>
      <c r="C77" s="12">
        <v>2432781.8667357108</v>
      </c>
      <c r="D77" s="35">
        <v>72391.36335597359</v>
      </c>
      <c r="E77" s="35">
        <v>71071.947683836697</v>
      </c>
      <c r="F77" s="35">
        <v>88393.351479863457</v>
      </c>
      <c r="G77" s="35">
        <v>73915.64214219623</v>
      </c>
      <c r="H77" s="35">
        <v>97292.316141155141</v>
      </c>
      <c r="I77" s="35">
        <v>89265.510476111172</v>
      </c>
      <c r="J77" s="35">
        <v>67097.610806808036</v>
      </c>
      <c r="K77" s="35">
        <v>69685.110973969902</v>
      </c>
      <c r="L77" s="35">
        <v>72268.513313632488</v>
      </c>
      <c r="M77" s="35">
        <v>73254.233943222891</v>
      </c>
      <c r="N77" s="35">
        <v>88683.89215971042</v>
      </c>
      <c r="O77" s="35">
        <v>89075.710410695276</v>
      </c>
      <c r="P77" s="35">
        <v>91297.17566909203</v>
      </c>
      <c r="Q77" s="35">
        <v>80196.848654882924</v>
      </c>
      <c r="R77" s="35">
        <v>72532.083694328889</v>
      </c>
      <c r="S77" s="35">
        <v>71876.94941056137</v>
      </c>
      <c r="T77" s="35">
        <v>73377.639782857004</v>
      </c>
      <c r="U77" s="35">
        <v>87510.773639445106</v>
      </c>
      <c r="V77" s="35">
        <v>92265.807886995695</v>
      </c>
      <c r="W77" s="35">
        <v>102925.55721312482</v>
      </c>
      <c r="X77" s="35">
        <v>72773.017110701563</v>
      </c>
      <c r="Y77" s="35">
        <v>70574.122874576817</v>
      </c>
      <c r="Z77" s="35">
        <v>69740.332732132912</v>
      </c>
      <c r="AA77" s="35">
        <v>71399.152144436026</v>
      </c>
      <c r="AB77" s="35">
        <v>78793.978606156816</v>
      </c>
      <c r="AC77" s="35">
        <v>95347.317644711206</v>
      </c>
      <c r="AD77" s="35">
        <v>87736.728789785862</v>
      </c>
      <c r="AE77" s="35">
        <v>89060.769825835756</v>
      </c>
      <c r="AF77" s="35">
        <v>101305.71897367713</v>
      </c>
      <c r="AG77" s="35">
        <v>71672.689195234168</v>
      </c>
    </row>
    <row r="78" spans="1:33" ht="15.75" thickBot="1" x14ac:dyDescent="0.3">
      <c r="A78" s="13" t="s">
        <v>12</v>
      </c>
      <c r="B78" s="14" t="s">
        <v>5</v>
      </c>
      <c r="C78" s="15">
        <v>4827181.6607296309</v>
      </c>
      <c r="D78" s="36">
        <v>147809.31127531055</v>
      </c>
      <c r="E78" s="36">
        <v>138181.76939505897</v>
      </c>
      <c r="F78" s="36">
        <v>154603.70654631936</v>
      </c>
      <c r="G78" s="36">
        <v>167044.72738752759</v>
      </c>
      <c r="H78" s="36">
        <v>195697.42863265343</v>
      </c>
      <c r="I78" s="36">
        <v>187225.16794974072</v>
      </c>
      <c r="J78" s="36">
        <v>139698.77522453002</v>
      </c>
      <c r="K78" s="36">
        <v>128314.66941545108</v>
      </c>
      <c r="L78" s="36">
        <v>156859.7244928396</v>
      </c>
      <c r="M78" s="36">
        <v>129569.12656758814</v>
      </c>
      <c r="N78" s="36">
        <v>172588.05359157495</v>
      </c>
      <c r="O78" s="36">
        <v>129264.8411486948</v>
      </c>
      <c r="P78" s="36">
        <v>178250.28855419083</v>
      </c>
      <c r="Q78" s="36">
        <v>177787.67530881998</v>
      </c>
      <c r="R78" s="36">
        <v>148534.90136262547</v>
      </c>
      <c r="S78" s="36">
        <v>162433.46900005735</v>
      </c>
      <c r="T78" s="36">
        <v>118901.97309021148</v>
      </c>
      <c r="U78" s="36">
        <v>147745.40305328855</v>
      </c>
      <c r="V78" s="36">
        <v>192836.93533592147</v>
      </c>
      <c r="W78" s="36">
        <v>203916.49510417046</v>
      </c>
      <c r="X78" s="36">
        <v>154236.59262485558</v>
      </c>
      <c r="Y78" s="36">
        <v>144679.37212785133</v>
      </c>
      <c r="Z78" s="36">
        <v>155911.76804605685</v>
      </c>
      <c r="AA78" s="36">
        <v>145454.9364715071</v>
      </c>
      <c r="AB78" s="36">
        <v>156301.22099065679</v>
      </c>
      <c r="AC78" s="36">
        <v>174898.96968745231</v>
      </c>
      <c r="AD78" s="36">
        <v>188290.7486612616</v>
      </c>
      <c r="AE78" s="36">
        <v>173228.15968368886</v>
      </c>
      <c r="AF78" s="36">
        <v>208355.04491901933</v>
      </c>
      <c r="AG78" s="36">
        <v>148560.40508070591</v>
      </c>
    </row>
    <row r="79" spans="1:33" x14ac:dyDescent="0.25">
      <c r="A79" s="8" t="s">
        <v>68</v>
      </c>
      <c r="B79" s="8" t="s">
        <v>2</v>
      </c>
      <c r="C79" s="9">
        <v>1154641.4909345401</v>
      </c>
      <c r="D79" s="34">
        <v>37820.312813863427</v>
      </c>
      <c r="E79" s="34">
        <v>39346.269155129979</v>
      </c>
      <c r="F79" s="34">
        <v>36203.65582498123</v>
      </c>
      <c r="G79" s="34">
        <v>33293.077646742393</v>
      </c>
      <c r="H79" s="34">
        <v>42501.186712585455</v>
      </c>
      <c r="I79" s="34">
        <v>43111.979123157209</v>
      </c>
      <c r="J79" s="34">
        <v>29003.425341045626</v>
      </c>
      <c r="K79" s="34">
        <v>31554.331021780228</v>
      </c>
      <c r="L79" s="34">
        <v>30880.968773453504</v>
      </c>
      <c r="M79" s="34">
        <v>31931.28707605429</v>
      </c>
      <c r="N79" s="34">
        <v>33600.02689047817</v>
      </c>
      <c r="O79" s="34">
        <v>40375.109096075626</v>
      </c>
      <c r="P79" s="34">
        <v>50152.678935805576</v>
      </c>
      <c r="Q79" s="34">
        <v>30034.690903900148</v>
      </c>
      <c r="R79" s="34">
        <v>29687.258590879963</v>
      </c>
      <c r="S79" s="34">
        <v>33577.363736603518</v>
      </c>
      <c r="T79" s="34">
        <v>33631.551969940701</v>
      </c>
      <c r="U79" s="34">
        <v>33069.047847667047</v>
      </c>
      <c r="V79" s="34">
        <v>42961.82272003925</v>
      </c>
      <c r="W79" s="34">
        <v>45377.357884341327</v>
      </c>
      <c r="X79" s="34">
        <v>36164.25347832949</v>
      </c>
      <c r="Y79" s="34">
        <v>44867.376882015276</v>
      </c>
      <c r="Z79" s="34">
        <v>41761.211923322306</v>
      </c>
      <c r="AA79" s="34">
        <v>34980.582008210498</v>
      </c>
      <c r="AB79" s="34">
        <v>37375.095115969008</v>
      </c>
      <c r="AC79" s="34">
        <v>43714.822218364236</v>
      </c>
      <c r="AD79" s="34">
        <v>50769.79557511663</v>
      </c>
      <c r="AE79" s="34">
        <v>48032.180962162558</v>
      </c>
      <c r="AF79" s="34">
        <v>53078.243134550728</v>
      </c>
      <c r="AG79" s="34">
        <v>35784.527571974671</v>
      </c>
    </row>
    <row r="80" spans="1:33" x14ac:dyDescent="0.25">
      <c r="A80" s="10" t="s">
        <v>68</v>
      </c>
      <c r="B80" s="11" t="s">
        <v>3</v>
      </c>
      <c r="C80" s="12">
        <v>968395.32029721327</v>
      </c>
      <c r="D80" s="35">
        <v>23459.502577728705</v>
      </c>
      <c r="E80" s="35">
        <v>38369.04647253592</v>
      </c>
      <c r="F80" s="35">
        <v>24617.519966851989</v>
      </c>
      <c r="G80" s="35">
        <v>32591.935897147818</v>
      </c>
      <c r="H80" s="35">
        <v>37437.99918240578</v>
      </c>
      <c r="I80" s="35">
        <v>29230.852343015456</v>
      </c>
      <c r="J80" s="35">
        <v>25972.48141444015</v>
      </c>
      <c r="K80" s="35">
        <v>21617.643570324439</v>
      </c>
      <c r="L80" s="35">
        <v>20044.360512645286</v>
      </c>
      <c r="M80" s="35">
        <v>31499.498639178306</v>
      </c>
      <c r="N80" s="35">
        <v>34156.403169671867</v>
      </c>
      <c r="O80" s="35">
        <v>30820.217662227547</v>
      </c>
      <c r="P80" s="35">
        <v>39906.484489584436</v>
      </c>
      <c r="Q80" s="35">
        <v>26010.188535103545</v>
      </c>
      <c r="R80" s="35">
        <v>21469.906431475261</v>
      </c>
      <c r="S80" s="35">
        <v>31530.572099724988</v>
      </c>
      <c r="T80" s="35">
        <v>27304.62510787688</v>
      </c>
      <c r="U80" s="35">
        <v>44757.508472429676</v>
      </c>
      <c r="V80" s="35">
        <v>45968.267823730865</v>
      </c>
      <c r="W80" s="35">
        <v>32282.48874545364</v>
      </c>
      <c r="X80" s="35">
        <v>27751.146080732629</v>
      </c>
      <c r="Y80" s="35">
        <v>34360.257290758324</v>
      </c>
      <c r="Z80" s="35">
        <v>23784.297342192902</v>
      </c>
      <c r="AA80" s="35">
        <v>18765.802536401305</v>
      </c>
      <c r="AB80" s="35">
        <v>34190.182465266153</v>
      </c>
      <c r="AC80" s="35">
        <v>43755.396643549284</v>
      </c>
      <c r="AD80" s="35">
        <v>32200.018966502728</v>
      </c>
      <c r="AE80" s="35">
        <v>62500.323517083321</v>
      </c>
      <c r="AF80" s="35">
        <v>43260.905288599577</v>
      </c>
      <c r="AG80" s="35">
        <v>28779.487052574485</v>
      </c>
    </row>
    <row r="81" spans="1:33" x14ac:dyDescent="0.25">
      <c r="A81" s="10" t="s">
        <v>68</v>
      </c>
      <c r="B81" s="11" t="s">
        <v>4</v>
      </c>
      <c r="C81" s="12">
        <v>1415534.9510334951</v>
      </c>
      <c r="D81" s="35">
        <v>38381.17040245972</v>
      </c>
      <c r="E81" s="35">
        <v>42292.347559724658</v>
      </c>
      <c r="F81" s="35">
        <v>47606.863313142123</v>
      </c>
      <c r="G81" s="35">
        <v>42920.678932497525</v>
      </c>
      <c r="H81" s="35">
        <v>64487.34281240157</v>
      </c>
      <c r="I81" s="35">
        <v>45530.821908881539</v>
      </c>
      <c r="J81" s="35">
        <v>36905.67088806555</v>
      </c>
      <c r="K81" s="35">
        <v>53464.723605903222</v>
      </c>
      <c r="L81" s="35">
        <v>40592.84456165952</v>
      </c>
      <c r="M81" s="35">
        <v>38284.932766234349</v>
      </c>
      <c r="N81" s="35">
        <v>42930.181533628413</v>
      </c>
      <c r="O81" s="35">
        <v>49217.649403927928</v>
      </c>
      <c r="P81" s="35">
        <v>46528.759462434697</v>
      </c>
      <c r="Q81" s="35">
        <v>40388.815580183524</v>
      </c>
      <c r="R81" s="35">
        <v>41707.556793772826</v>
      </c>
      <c r="S81" s="35">
        <v>40226.051081578262</v>
      </c>
      <c r="T81" s="35">
        <v>41202.490947327118</v>
      </c>
      <c r="U81" s="35">
        <v>57652.462804824441</v>
      </c>
      <c r="V81" s="35">
        <v>53103.295893309347</v>
      </c>
      <c r="W81" s="35">
        <v>57496.500714679001</v>
      </c>
      <c r="X81" s="35">
        <v>46864.033385759401</v>
      </c>
      <c r="Y81" s="35">
        <v>48961.710949243323</v>
      </c>
      <c r="Z81" s="35">
        <v>39081.792510429572</v>
      </c>
      <c r="AA81" s="35">
        <v>41793.824487828082</v>
      </c>
      <c r="AB81" s="35">
        <v>44100.758328856355</v>
      </c>
      <c r="AC81" s="35">
        <v>52745.096295671596</v>
      </c>
      <c r="AD81" s="35">
        <v>55788.178818114422</v>
      </c>
      <c r="AE81" s="35">
        <v>66849.743111214775</v>
      </c>
      <c r="AF81" s="35">
        <v>54591.344380053044</v>
      </c>
      <c r="AG81" s="35">
        <v>43837.307799689414</v>
      </c>
    </row>
    <row r="82" spans="1:33" ht="15.75" thickBot="1" x14ac:dyDescent="0.3">
      <c r="A82" s="13" t="s">
        <v>68</v>
      </c>
      <c r="B82" s="14" t="s">
        <v>5</v>
      </c>
      <c r="C82" s="15">
        <v>1644727.4863664568</v>
      </c>
      <c r="D82" s="36">
        <v>43778.282304077555</v>
      </c>
      <c r="E82" s="36">
        <v>50409.326510786363</v>
      </c>
      <c r="F82" s="36">
        <v>45092.360670460577</v>
      </c>
      <c r="G82" s="36">
        <v>44286.408152814336</v>
      </c>
      <c r="H82" s="36">
        <v>58342.083522195448</v>
      </c>
      <c r="I82" s="36">
        <v>48818.353597399429</v>
      </c>
      <c r="J82" s="36">
        <v>49874.034040223385</v>
      </c>
      <c r="K82" s="36">
        <v>53513.674911700138</v>
      </c>
      <c r="L82" s="36">
        <v>44871.59542968047</v>
      </c>
      <c r="M82" s="36">
        <v>52057.293849541449</v>
      </c>
      <c r="N82" s="36">
        <v>64156.276590733069</v>
      </c>
      <c r="O82" s="36">
        <v>56217.877497947833</v>
      </c>
      <c r="P82" s="36">
        <v>56342.379426981708</v>
      </c>
      <c r="Q82" s="36">
        <v>43153.487615950784</v>
      </c>
      <c r="R82" s="36">
        <v>53796.644099652374</v>
      </c>
      <c r="S82" s="36">
        <v>43601.807402100298</v>
      </c>
      <c r="T82" s="36">
        <v>60976.944928330166</v>
      </c>
      <c r="U82" s="36">
        <v>54978.895234681469</v>
      </c>
      <c r="V82" s="36">
        <v>61097.845328752264</v>
      </c>
      <c r="W82" s="36">
        <v>61351.202992948638</v>
      </c>
      <c r="X82" s="36">
        <v>57778.496013531032</v>
      </c>
      <c r="Y82" s="36">
        <v>52358.186049331955</v>
      </c>
      <c r="Z82" s="36">
        <v>52925.47852476671</v>
      </c>
      <c r="AA82" s="36">
        <v>52224.12079236548</v>
      </c>
      <c r="AB82" s="36">
        <v>68017.387963161949</v>
      </c>
      <c r="AC82" s="36">
        <v>64485.115900273478</v>
      </c>
      <c r="AD82" s="36">
        <v>64719.111821880666</v>
      </c>
      <c r="AE82" s="36">
        <v>70466.624892021064</v>
      </c>
      <c r="AF82" s="36">
        <v>58712.824689422785</v>
      </c>
      <c r="AG82" s="36">
        <v>56323.365612744063</v>
      </c>
    </row>
    <row r="83" spans="1:33" x14ac:dyDescent="0.25">
      <c r="A83" s="8" t="s">
        <v>13</v>
      </c>
      <c r="B83" s="8" t="s">
        <v>2</v>
      </c>
      <c r="C83" s="9">
        <v>2395653.9559272984</v>
      </c>
      <c r="D83" s="34">
        <v>87004.944361757312</v>
      </c>
      <c r="E83" s="34">
        <v>80982.156569481711</v>
      </c>
      <c r="F83" s="34">
        <v>87541.130898652773</v>
      </c>
      <c r="G83" s="34">
        <v>77553.289699905348</v>
      </c>
      <c r="H83" s="34">
        <v>70461.333671924891</v>
      </c>
      <c r="I83" s="34">
        <v>68008.335922167345</v>
      </c>
      <c r="J83" s="34">
        <v>85178.039866196472</v>
      </c>
      <c r="K83" s="34">
        <v>70853.88964085425</v>
      </c>
      <c r="L83" s="34">
        <v>71000.317306691955</v>
      </c>
      <c r="M83" s="34">
        <v>87754.843854690262</v>
      </c>
      <c r="N83" s="34">
        <v>138375.09017393264</v>
      </c>
      <c r="O83" s="34">
        <v>66876.644801968316</v>
      </c>
      <c r="P83" s="34">
        <v>64613.278871178823</v>
      </c>
      <c r="Q83" s="34">
        <v>94935.418140894049</v>
      </c>
      <c r="R83" s="34">
        <v>78320.257198218009</v>
      </c>
      <c r="S83" s="34">
        <v>91271.709217363896</v>
      </c>
      <c r="T83" s="34">
        <v>80465.639420534571</v>
      </c>
      <c r="U83" s="34">
        <v>85662.671730368296</v>
      </c>
      <c r="V83" s="34">
        <v>65984.770166340197</v>
      </c>
      <c r="W83" s="34">
        <v>60134.007970569735</v>
      </c>
      <c r="X83" s="34">
        <v>84843.162828012835</v>
      </c>
      <c r="Y83" s="34">
        <v>81882.079996944405</v>
      </c>
      <c r="Z83" s="34">
        <v>82952.830264681572</v>
      </c>
      <c r="AA83" s="34">
        <v>88722.900671998927</v>
      </c>
      <c r="AB83" s="34">
        <v>88564.485443854384</v>
      </c>
      <c r="AC83" s="34">
        <v>70105.278606999185</v>
      </c>
      <c r="AD83" s="34">
        <v>63000.788644824432</v>
      </c>
      <c r="AE83" s="34">
        <v>63384.250930535876</v>
      </c>
      <c r="AF83" s="34">
        <v>66762.934210943538</v>
      </c>
      <c r="AG83" s="34">
        <v>92457.474844812314</v>
      </c>
    </row>
    <row r="84" spans="1:33" x14ac:dyDescent="0.25">
      <c r="A84" s="10" t="s">
        <v>13</v>
      </c>
      <c r="B84" s="11" t="s">
        <v>3</v>
      </c>
      <c r="C84" s="12">
        <v>2541112.9636881202</v>
      </c>
      <c r="D84" s="35">
        <v>72594.694179312719</v>
      </c>
      <c r="E84" s="35">
        <v>93275.235074774289</v>
      </c>
      <c r="F84" s="35">
        <v>68648.040571978476</v>
      </c>
      <c r="G84" s="35">
        <v>75719.652587680641</v>
      </c>
      <c r="H84" s="35">
        <v>85561.292794489302</v>
      </c>
      <c r="I84" s="35">
        <v>81027.963125468901</v>
      </c>
      <c r="J84" s="35">
        <v>69498.759515886763</v>
      </c>
      <c r="K84" s="35">
        <v>97784.648322629699</v>
      </c>
      <c r="L84" s="35">
        <v>74330.559212588953</v>
      </c>
      <c r="M84" s="35">
        <v>69206.967663578427</v>
      </c>
      <c r="N84" s="35">
        <v>81163.45113175227</v>
      </c>
      <c r="O84" s="35">
        <v>81324.385289027545</v>
      </c>
      <c r="P84" s="35">
        <v>96495.776924263089</v>
      </c>
      <c r="Q84" s="35">
        <v>71115.511231510798</v>
      </c>
      <c r="R84" s="35">
        <v>88569.498274776706</v>
      </c>
      <c r="S84" s="35">
        <v>100553.59912337421</v>
      </c>
      <c r="T84" s="35">
        <v>68620.933101497096</v>
      </c>
      <c r="U84" s="35">
        <v>94883.137385593131</v>
      </c>
      <c r="V84" s="35">
        <v>139053.7160420281</v>
      </c>
      <c r="W84" s="35">
        <v>77557.252878801068</v>
      </c>
      <c r="X84" s="35">
        <v>86751.447272896025</v>
      </c>
      <c r="Y84" s="35">
        <v>87483.743744880427</v>
      </c>
      <c r="Z84" s="35">
        <v>105710.37594040425</v>
      </c>
      <c r="AA84" s="35">
        <v>75204.322796147957</v>
      </c>
      <c r="AB84" s="35">
        <v>100633.44115111484</v>
      </c>
      <c r="AC84" s="35">
        <v>87970.090913240681</v>
      </c>
      <c r="AD84" s="35">
        <v>92747.667444626219</v>
      </c>
      <c r="AE84" s="35">
        <v>84309.126687614902</v>
      </c>
      <c r="AF84" s="35">
        <v>83420.435901712539</v>
      </c>
      <c r="AG84" s="35">
        <v>49897.237404470659</v>
      </c>
    </row>
    <row r="85" spans="1:33" x14ac:dyDescent="0.25">
      <c r="A85" s="10" t="s">
        <v>13</v>
      </c>
      <c r="B85" s="11" t="s">
        <v>4</v>
      </c>
      <c r="C85" s="12">
        <v>1482444.4034112906</v>
      </c>
      <c r="D85" s="35">
        <v>45074.368333179918</v>
      </c>
      <c r="E85" s="35">
        <v>49514.282926098735</v>
      </c>
      <c r="F85" s="35">
        <v>48498.628655213644</v>
      </c>
      <c r="G85" s="35">
        <v>41669.906392378791</v>
      </c>
      <c r="H85" s="35">
        <v>61812.659468241276</v>
      </c>
      <c r="I85" s="35">
        <v>48736.477864757035</v>
      </c>
      <c r="J85" s="35">
        <v>46673.434604267568</v>
      </c>
      <c r="K85" s="35">
        <v>46025.648762960889</v>
      </c>
      <c r="L85" s="35">
        <v>44896.299310479073</v>
      </c>
      <c r="M85" s="35">
        <v>47464.787811608781</v>
      </c>
      <c r="N85" s="35">
        <v>50329.607307822429</v>
      </c>
      <c r="O85" s="35">
        <v>61097.607484999135</v>
      </c>
      <c r="P85" s="35">
        <v>63170.903638528544</v>
      </c>
      <c r="Q85" s="35">
        <v>38350.198715877348</v>
      </c>
      <c r="R85" s="35">
        <v>44381.818987675229</v>
      </c>
      <c r="S85" s="35">
        <v>51182.164466192517</v>
      </c>
      <c r="T85" s="35">
        <v>48313.521402006772</v>
      </c>
      <c r="U85" s="35">
        <v>52567.37061110275</v>
      </c>
      <c r="V85" s="35">
        <v>46050.506432025431</v>
      </c>
      <c r="W85" s="35">
        <v>51358.854497165725</v>
      </c>
      <c r="X85" s="35">
        <v>47582.002108458531</v>
      </c>
      <c r="Y85" s="35">
        <v>49804.659184176933</v>
      </c>
      <c r="Z85" s="35">
        <v>45483.499060686787</v>
      </c>
      <c r="AA85" s="35">
        <v>49711.962285705689</v>
      </c>
      <c r="AB85" s="35">
        <v>55694.028400225754</v>
      </c>
      <c r="AC85" s="35">
        <v>47220.607776406658</v>
      </c>
      <c r="AD85" s="35">
        <v>52326.987280397523</v>
      </c>
      <c r="AE85" s="35">
        <v>54755.848391857398</v>
      </c>
      <c r="AF85" s="35">
        <v>46162.061490096799</v>
      </c>
      <c r="AG85" s="35">
        <v>46533.69976069688</v>
      </c>
    </row>
    <row r="86" spans="1:33" ht="15.75" thickBot="1" x14ac:dyDescent="0.3">
      <c r="A86" s="13" t="s">
        <v>13</v>
      </c>
      <c r="B86" s="14" t="s">
        <v>5</v>
      </c>
      <c r="C86" s="15">
        <v>4414410.714278779</v>
      </c>
      <c r="D86" s="36">
        <v>132129.41064661817</v>
      </c>
      <c r="E86" s="36">
        <v>142438.00321418073</v>
      </c>
      <c r="F86" s="36">
        <v>120745.46406255868</v>
      </c>
      <c r="G86" s="36">
        <v>131855.29737738112</v>
      </c>
      <c r="H86" s="36">
        <v>155584.70736487259</v>
      </c>
      <c r="I86" s="36">
        <v>154080.01626343679</v>
      </c>
      <c r="J86" s="36">
        <v>147709.87135094794</v>
      </c>
      <c r="K86" s="36">
        <v>139383.37757522982</v>
      </c>
      <c r="L86" s="36">
        <v>143266.27658727931</v>
      </c>
      <c r="M86" s="36">
        <v>155043.82797648123</v>
      </c>
      <c r="N86" s="36">
        <v>134821.42563374457</v>
      </c>
      <c r="O86" s="36">
        <v>174012.42432369353</v>
      </c>
      <c r="P86" s="36">
        <v>155893.9682831988</v>
      </c>
      <c r="Q86" s="36">
        <v>134628.33170954051</v>
      </c>
      <c r="R86" s="36">
        <v>130627.52053707848</v>
      </c>
      <c r="S86" s="36">
        <v>163434.49151669824</v>
      </c>
      <c r="T86" s="36">
        <v>151422.12800311964</v>
      </c>
      <c r="U86" s="36">
        <v>167379.23922208036</v>
      </c>
      <c r="V86" s="36">
        <v>149389.08780725766</v>
      </c>
      <c r="W86" s="36">
        <v>144910.35412033135</v>
      </c>
      <c r="X86" s="36">
        <v>159837.2064197397</v>
      </c>
      <c r="Y86" s="36">
        <v>163113.38091926003</v>
      </c>
      <c r="Z86" s="36">
        <v>146476.04750944895</v>
      </c>
      <c r="AA86" s="36">
        <v>142269.43760218855</v>
      </c>
      <c r="AB86" s="36">
        <v>146722.93618455535</v>
      </c>
      <c r="AC86" s="36">
        <v>166598.12024214907</v>
      </c>
      <c r="AD86" s="36">
        <v>171295.32257114226</v>
      </c>
      <c r="AE86" s="36">
        <v>123467.89729812719</v>
      </c>
      <c r="AF86" s="36">
        <v>145803.00667788371</v>
      </c>
      <c r="AG86" s="36">
        <v>120072.13527855549</v>
      </c>
    </row>
    <row r="87" spans="1:33" x14ac:dyDescent="0.25">
      <c r="A87" s="8" t="s">
        <v>14</v>
      </c>
      <c r="B87" s="8" t="s">
        <v>2</v>
      </c>
      <c r="C87" s="9">
        <v>1408000.4742446982</v>
      </c>
      <c r="D87" s="34">
        <v>50823.311227273603</v>
      </c>
      <c r="E87" s="34">
        <v>45821.454337358446</v>
      </c>
      <c r="F87" s="34">
        <v>45598.592427643322</v>
      </c>
      <c r="G87" s="34">
        <v>50208.435048963103</v>
      </c>
      <c r="H87" s="34">
        <v>63409.480315067121</v>
      </c>
      <c r="I87" s="34">
        <v>55697.820654578412</v>
      </c>
      <c r="J87" s="34">
        <v>44135.682868193762</v>
      </c>
      <c r="K87" s="34">
        <v>44192.834450458489</v>
      </c>
      <c r="L87" s="34">
        <v>44449.285042717231</v>
      </c>
      <c r="M87" s="34">
        <v>41796.402845587603</v>
      </c>
      <c r="N87" s="34">
        <v>46158.057290139084</v>
      </c>
      <c r="O87" s="34">
        <v>43250.603372493184</v>
      </c>
      <c r="P87" s="34">
        <v>44512.481355792763</v>
      </c>
      <c r="Q87" s="34">
        <v>41387.370927193653</v>
      </c>
      <c r="R87" s="34">
        <v>39424.365772192687</v>
      </c>
      <c r="S87" s="34">
        <v>44327.004373576317</v>
      </c>
      <c r="T87" s="34">
        <v>41621.205755896546</v>
      </c>
      <c r="U87" s="34">
        <v>38598.44763549776</v>
      </c>
      <c r="V87" s="34">
        <v>43160.063315329535</v>
      </c>
      <c r="W87" s="34">
        <v>45133.117354035086</v>
      </c>
      <c r="X87" s="34">
        <v>45038.8195533865</v>
      </c>
      <c r="Y87" s="34">
        <v>53334.777524606456</v>
      </c>
      <c r="Z87" s="34">
        <v>48120.88533837744</v>
      </c>
      <c r="AA87" s="34">
        <v>38573.537184322005</v>
      </c>
      <c r="AB87" s="34">
        <v>40995.857177710001</v>
      </c>
      <c r="AC87" s="34">
        <v>53055.99607967084</v>
      </c>
      <c r="AD87" s="34">
        <v>48546.495989810457</v>
      </c>
      <c r="AE87" s="34">
        <v>60157.663581139481</v>
      </c>
      <c r="AF87" s="34">
        <v>58815.169186798797</v>
      </c>
      <c r="AG87" s="34">
        <v>47655.256258888672</v>
      </c>
    </row>
    <row r="88" spans="1:33" x14ac:dyDescent="0.25">
      <c r="A88" s="10" t="s">
        <v>14</v>
      </c>
      <c r="B88" s="11" t="s">
        <v>3</v>
      </c>
      <c r="C88" s="12">
        <v>1460103.5625627132</v>
      </c>
      <c r="D88" s="35">
        <v>66782.037929060636</v>
      </c>
      <c r="E88" s="35">
        <v>40634.313671472206</v>
      </c>
      <c r="F88" s="35">
        <v>34296.566921880272</v>
      </c>
      <c r="G88" s="35">
        <v>52334.256506382655</v>
      </c>
      <c r="H88" s="35">
        <v>50281.610417102114</v>
      </c>
      <c r="I88" s="35">
        <v>65711.401115071814</v>
      </c>
      <c r="J88" s="35">
        <v>46460.694261181867</v>
      </c>
      <c r="K88" s="35">
        <v>34584.378775382567</v>
      </c>
      <c r="L88" s="35">
        <v>61532.792436433978</v>
      </c>
      <c r="M88" s="35">
        <v>28681.452380087019</v>
      </c>
      <c r="N88" s="35">
        <v>56919.992367072766</v>
      </c>
      <c r="O88" s="35">
        <v>51469.018542800884</v>
      </c>
      <c r="P88" s="35">
        <v>55522.669995763739</v>
      </c>
      <c r="Q88" s="35">
        <v>38261.393698309679</v>
      </c>
      <c r="R88" s="35">
        <v>34896.447970267494</v>
      </c>
      <c r="S88" s="35">
        <v>30778.754883050671</v>
      </c>
      <c r="T88" s="35">
        <v>36162.457767559426</v>
      </c>
      <c r="U88" s="35">
        <v>43048.322802232164</v>
      </c>
      <c r="V88" s="35">
        <v>57772.895134610895</v>
      </c>
      <c r="W88" s="35">
        <v>61416.743963457186</v>
      </c>
      <c r="X88" s="35">
        <v>44766.548020996182</v>
      </c>
      <c r="Y88" s="35">
        <v>38501.103919751375</v>
      </c>
      <c r="Z88" s="35">
        <v>45818.062464862567</v>
      </c>
      <c r="AA88" s="35">
        <v>39924.082372329271</v>
      </c>
      <c r="AB88" s="35">
        <v>53625.011795889994</v>
      </c>
      <c r="AC88" s="35">
        <v>75234.463473759897</v>
      </c>
      <c r="AD88" s="35">
        <v>48840.560996195454</v>
      </c>
      <c r="AE88" s="35">
        <v>59276.258886824777</v>
      </c>
      <c r="AF88" s="35">
        <v>60819.49141955415</v>
      </c>
      <c r="AG88" s="35">
        <v>45749.777673369834</v>
      </c>
    </row>
    <row r="89" spans="1:33" x14ac:dyDescent="0.25">
      <c r="A89" s="10" t="s">
        <v>14</v>
      </c>
      <c r="B89" s="11" t="s">
        <v>4</v>
      </c>
      <c r="C89" s="12">
        <v>1016287.7123856321</v>
      </c>
      <c r="D89" s="35">
        <v>33752.129559956484</v>
      </c>
      <c r="E89" s="35">
        <v>28980.473969329374</v>
      </c>
      <c r="F89" s="35">
        <v>26995.717160179807</v>
      </c>
      <c r="G89" s="35">
        <v>38229.606060400809</v>
      </c>
      <c r="H89" s="35">
        <v>47921.809333959136</v>
      </c>
      <c r="I89" s="35">
        <v>42658.532263383</v>
      </c>
      <c r="J89" s="35">
        <v>25484.514045537111</v>
      </c>
      <c r="K89" s="35">
        <v>30049.392929141432</v>
      </c>
      <c r="L89" s="35">
        <v>33065.486011850779</v>
      </c>
      <c r="M89" s="35">
        <v>24325.687754325772</v>
      </c>
      <c r="N89" s="35">
        <v>37060.015261890905</v>
      </c>
      <c r="O89" s="35">
        <v>47059.641693180951</v>
      </c>
      <c r="P89" s="35">
        <v>38945.521959721693</v>
      </c>
      <c r="Q89" s="35">
        <v>28746.870620689897</v>
      </c>
      <c r="R89" s="35">
        <v>26999.271478627445</v>
      </c>
      <c r="S89" s="35">
        <v>27355.72730561061</v>
      </c>
      <c r="T89" s="35">
        <v>35758.33921973643</v>
      </c>
      <c r="U89" s="35">
        <v>33802.558568598077</v>
      </c>
      <c r="V89" s="35">
        <v>40674.266288685722</v>
      </c>
      <c r="W89" s="35">
        <v>40480.386680030082</v>
      </c>
      <c r="X89" s="35">
        <v>32638.561590311721</v>
      </c>
      <c r="Y89" s="35">
        <v>31716.799876894816</v>
      </c>
      <c r="Z89" s="35">
        <v>27730.386320643458</v>
      </c>
      <c r="AA89" s="35">
        <v>24333.769597462662</v>
      </c>
      <c r="AB89" s="35">
        <v>33266.313466805259</v>
      </c>
      <c r="AC89" s="35">
        <v>34570.646785132492</v>
      </c>
      <c r="AD89" s="35">
        <v>37090.99707102614</v>
      </c>
      <c r="AE89" s="35">
        <v>37848.616973465971</v>
      </c>
      <c r="AF89" s="35">
        <v>34884.086896236273</v>
      </c>
      <c r="AG89" s="35">
        <v>33861.585642817765</v>
      </c>
    </row>
    <row r="90" spans="1:33" ht="15.75" thickBot="1" x14ac:dyDescent="0.3">
      <c r="A90" s="13" t="s">
        <v>14</v>
      </c>
      <c r="B90" s="14" t="s">
        <v>5</v>
      </c>
      <c r="C90" s="15">
        <v>2956837.208553493</v>
      </c>
      <c r="D90" s="36">
        <v>85287.441176039632</v>
      </c>
      <c r="E90" s="36">
        <v>90676.466545585427</v>
      </c>
      <c r="F90" s="36">
        <v>81596.733029284136</v>
      </c>
      <c r="G90" s="36">
        <v>100228.70361909318</v>
      </c>
      <c r="H90" s="36">
        <v>102648.66062144705</v>
      </c>
      <c r="I90" s="36">
        <v>152753.76092338216</v>
      </c>
      <c r="J90" s="36">
        <v>79665.441990119842</v>
      </c>
      <c r="K90" s="36">
        <v>94609.832640783017</v>
      </c>
      <c r="L90" s="36">
        <v>102760.52177582831</v>
      </c>
      <c r="M90" s="36">
        <v>56897.204434943844</v>
      </c>
      <c r="N90" s="36">
        <v>82834.360670414986</v>
      </c>
      <c r="O90" s="36">
        <v>90281.746647097869</v>
      </c>
      <c r="P90" s="36">
        <v>102276.00457024868</v>
      </c>
      <c r="Q90" s="36">
        <v>83097.928800928552</v>
      </c>
      <c r="R90" s="36">
        <v>66749.749438976156</v>
      </c>
      <c r="S90" s="36">
        <v>74085.37409769083</v>
      </c>
      <c r="T90" s="36">
        <v>83564.675124981135</v>
      </c>
      <c r="U90" s="36">
        <v>92999.759714214742</v>
      </c>
      <c r="V90" s="36">
        <v>165325.97184181446</v>
      </c>
      <c r="W90" s="36">
        <v>101774.35987335959</v>
      </c>
      <c r="X90" s="36">
        <v>101274.35693081882</v>
      </c>
      <c r="Y90" s="36">
        <v>101112.56647696609</v>
      </c>
      <c r="Z90" s="36">
        <v>72026.015126423037</v>
      </c>
      <c r="AA90" s="36">
        <v>94990.36467567939</v>
      </c>
      <c r="AB90" s="36">
        <v>112026.20615794606</v>
      </c>
      <c r="AC90" s="36">
        <v>99698.161827086748</v>
      </c>
      <c r="AD90" s="36">
        <v>122724.92022744872</v>
      </c>
      <c r="AE90" s="36">
        <v>102733.25534212451</v>
      </c>
      <c r="AF90" s="36">
        <v>131113.10909626065</v>
      </c>
      <c r="AG90" s="36">
        <v>129023.55515650558</v>
      </c>
    </row>
    <row r="91" spans="1:33" x14ac:dyDescent="0.25">
      <c r="A91" s="8" t="s">
        <v>15</v>
      </c>
      <c r="B91" s="8" t="s">
        <v>2</v>
      </c>
      <c r="C91" s="9">
        <v>978023.93605539633</v>
      </c>
      <c r="D91" s="34">
        <v>27388.333263870674</v>
      </c>
      <c r="E91" s="34">
        <v>34834.366814315472</v>
      </c>
      <c r="F91" s="34">
        <v>28596.624495874104</v>
      </c>
      <c r="G91" s="34">
        <v>31031.432534332405</v>
      </c>
      <c r="H91" s="34">
        <v>42079.973686090925</v>
      </c>
      <c r="I91" s="34">
        <v>45534.339301332177</v>
      </c>
      <c r="J91" s="34">
        <v>31487.539373710577</v>
      </c>
      <c r="K91" s="34">
        <v>30276.70433234833</v>
      </c>
      <c r="L91" s="34">
        <v>28767.527201006687</v>
      </c>
      <c r="M91" s="34">
        <v>29231.775444561863</v>
      </c>
      <c r="N91" s="34">
        <v>33421.459814245136</v>
      </c>
      <c r="O91" s="34">
        <v>35109.662841464204</v>
      </c>
      <c r="P91" s="34">
        <v>33549.73094582741</v>
      </c>
      <c r="Q91" s="34">
        <v>27886.810617604806</v>
      </c>
      <c r="R91" s="34">
        <v>30190.700505673089</v>
      </c>
      <c r="S91" s="34">
        <v>24256.570030250383</v>
      </c>
      <c r="T91" s="34">
        <v>28698.285803065763</v>
      </c>
      <c r="U91" s="34">
        <v>28478.838230073849</v>
      </c>
      <c r="V91" s="34">
        <v>33164.632207310016</v>
      </c>
      <c r="W91" s="34">
        <v>35359.848616803763</v>
      </c>
      <c r="X91" s="34">
        <v>27816.354990852989</v>
      </c>
      <c r="Y91" s="34">
        <v>27780.444173770953</v>
      </c>
      <c r="Z91" s="34">
        <v>30946.746145916975</v>
      </c>
      <c r="AA91" s="34">
        <v>31762.361851623064</v>
      </c>
      <c r="AB91" s="34">
        <v>31158.550148544346</v>
      </c>
      <c r="AC91" s="34">
        <v>34744.878150952973</v>
      </c>
      <c r="AD91" s="34">
        <v>36688.39099909355</v>
      </c>
      <c r="AE91" s="34">
        <v>37388.117483310933</v>
      </c>
      <c r="AF91" s="34">
        <v>46170.904826584614</v>
      </c>
      <c r="AG91" s="34">
        <v>34222.031224984305</v>
      </c>
    </row>
    <row r="92" spans="1:33" x14ac:dyDescent="0.25">
      <c r="A92" s="10" t="s">
        <v>15</v>
      </c>
      <c r="B92" s="11" t="s">
        <v>3</v>
      </c>
      <c r="C92" s="12">
        <v>554024.41020704026</v>
      </c>
      <c r="D92" s="35">
        <v>15692.897931149708</v>
      </c>
      <c r="E92" s="35">
        <v>12463.565741468343</v>
      </c>
      <c r="F92" s="35">
        <v>13792.523169070359</v>
      </c>
      <c r="G92" s="35">
        <v>18758.106134726349</v>
      </c>
      <c r="H92" s="35">
        <v>18625.030771831876</v>
      </c>
      <c r="I92" s="35">
        <v>25029.802852371093</v>
      </c>
      <c r="J92" s="35">
        <v>22371.725275094199</v>
      </c>
      <c r="K92" s="35">
        <v>14219.881400735054</v>
      </c>
      <c r="L92" s="35">
        <v>15058.425793438504</v>
      </c>
      <c r="M92" s="35">
        <v>16004.698456917604</v>
      </c>
      <c r="N92" s="35">
        <v>17508.951366780424</v>
      </c>
      <c r="O92" s="35">
        <v>16759.077986704022</v>
      </c>
      <c r="P92" s="35">
        <v>26839.097063436788</v>
      </c>
      <c r="Q92" s="35">
        <v>18128.628312943747</v>
      </c>
      <c r="R92" s="35">
        <v>11375.011400895559</v>
      </c>
      <c r="S92" s="35">
        <v>12391.041765302176</v>
      </c>
      <c r="T92" s="35">
        <v>16334.817732964961</v>
      </c>
      <c r="U92" s="35">
        <v>21759.276944090689</v>
      </c>
      <c r="V92" s="35">
        <v>21064.053146330727</v>
      </c>
      <c r="W92" s="35">
        <v>28075.897470927761</v>
      </c>
      <c r="X92" s="35">
        <v>15028.159487886247</v>
      </c>
      <c r="Y92" s="35">
        <v>12444.377053953202</v>
      </c>
      <c r="Z92" s="35">
        <v>17363.746950916495</v>
      </c>
      <c r="AA92" s="35">
        <v>17919.88718616862</v>
      </c>
      <c r="AB92" s="35">
        <v>23563.18880966942</v>
      </c>
      <c r="AC92" s="35">
        <v>22720.770379923611</v>
      </c>
      <c r="AD92" s="35">
        <v>20331.084086208142</v>
      </c>
      <c r="AE92" s="35">
        <v>22946.184260625785</v>
      </c>
      <c r="AF92" s="35">
        <v>23066.04784291215</v>
      </c>
      <c r="AG92" s="35">
        <v>16388.453431596652</v>
      </c>
    </row>
    <row r="93" spans="1:33" x14ac:dyDescent="0.25">
      <c r="A93" s="10" t="s">
        <v>15</v>
      </c>
      <c r="B93" s="11" t="s">
        <v>4</v>
      </c>
      <c r="C93" s="12">
        <v>1653078.0895075006</v>
      </c>
      <c r="D93" s="35">
        <v>49691.131810488914</v>
      </c>
      <c r="E93" s="35">
        <v>52887.162793926524</v>
      </c>
      <c r="F93" s="35">
        <v>54046.693656965443</v>
      </c>
      <c r="G93" s="35">
        <v>54894.794016886757</v>
      </c>
      <c r="H93" s="35">
        <v>65831.520063681703</v>
      </c>
      <c r="I93" s="35">
        <v>69974.724385870824</v>
      </c>
      <c r="J93" s="35">
        <v>46004.752668806897</v>
      </c>
      <c r="K93" s="35">
        <v>45731.333006571993</v>
      </c>
      <c r="L93" s="35">
        <v>52835.000829018121</v>
      </c>
      <c r="M93" s="35">
        <v>53590.125357513803</v>
      </c>
      <c r="N93" s="35">
        <v>57223.47367189396</v>
      </c>
      <c r="O93" s="35">
        <v>58829.531807246167</v>
      </c>
      <c r="P93" s="35">
        <v>69729.984737945342</v>
      </c>
      <c r="Q93" s="35">
        <v>41267.09536298622</v>
      </c>
      <c r="R93" s="35">
        <v>48833.496630214999</v>
      </c>
      <c r="S93" s="35">
        <v>46262.963461493629</v>
      </c>
      <c r="T93" s="35">
        <v>49051.898414630828</v>
      </c>
      <c r="U93" s="35">
        <v>57235.720853979212</v>
      </c>
      <c r="V93" s="35">
        <v>59183.952110527251</v>
      </c>
      <c r="W93" s="35">
        <v>72344.943218610701</v>
      </c>
      <c r="X93" s="35">
        <v>52884.631759997734</v>
      </c>
      <c r="Y93" s="35">
        <v>52009.022461166882</v>
      </c>
      <c r="Z93" s="35">
        <v>43063.101928199641</v>
      </c>
      <c r="AA93" s="35">
        <v>47993.163144558719</v>
      </c>
      <c r="AB93" s="35">
        <v>53328.18223419776</v>
      </c>
      <c r="AC93" s="35">
        <v>57000.281811326357</v>
      </c>
      <c r="AD93" s="35">
        <v>64108.354388341089</v>
      </c>
      <c r="AE93" s="35">
        <v>62602.374090065445</v>
      </c>
      <c r="AF93" s="35">
        <v>60351.15162860413</v>
      </c>
      <c r="AG93" s="35">
        <v>54287.527201782919</v>
      </c>
    </row>
    <row r="94" spans="1:33" ht="15.75" thickBot="1" x14ac:dyDescent="0.3">
      <c r="A94" s="13" t="s">
        <v>15</v>
      </c>
      <c r="B94" s="14" t="s">
        <v>5</v>
      </c>
      <c r="C94" s="15">
        <v>693453.41428166954</v>
      </c>
      <c r="D94" s="36">
        <v>20486.95780656792</v>
      </c>
      <c r="E94" s="36">
        <v>26908.368821592361</v>
      </c>
      <c r="F94" s="36">
        <v>25160.532343770759</v>
      </c>
      <c r="G94" s="36">
        <v>20911.797037264507</v>
      </c>
      <c r="H94" s="36">
        <v>26671.822618574766</v>
      </c>
      <c r="I94" s="36">
        <v>26842.12189036619</v>
      </c>
      <c r="J94" s="36">
        <v>21032.004656180965</v>
      </c>
      <c r="K94" s="36">
        <v>15218.601486399046</v>
      </c>
      <c r="L94" s="36">
        <v>20238.852519040007</v>
      </c>
      <c r="M94" s="36">
        <v>19657.653517872444</v>
      </c>
      <c r="N94" s="36">
        <v>28047.785854723003</v>
      </c>
      <c r="O94" s="36">
        <v>23521.454160208221</v>
      </c>
      <c r="P94" s="36">
        <v>23442.447646080454</v>
      </c>
      <c r="Q94" s="36">
        <v>27771.780984581768</v>
      </c>
      <c r="R94" s="36">
        <v>13941.874877269325</v>
      </c>
      <c r="S94" s="36">
        <v>17265.142543943264</v>
      </c>
      <c r="T94" s="36">
        <v>20684.75878150584</v>
      </c>
      <c r="U94" s="36">
        <v>16700.894580060558</v>
      </c>
      <c r="V94" s="36">
        <v>29894.15924050078</v>
      </c>
      <c r="W94" s="36">
        <v>27558.407830511263</v>
      </c>
      <c r="X94" s="36">
        <v>21655.214241052483</v>
      </c>
      <c r="Y94" s="36">
        <v>19000.548718422022</v>
      </c>
      <c r="Z94" s="36">
        <v>22427.724665854254</v>
      </c>
      <c r="AA94" s="36">
        <v>23099.63332546685</v>
      </c>
      <c r="AB94" s="36">
        <v>23073.668260261184</v>
      </c>
      <c r="AC94" s="36">
        <v>24686.623598829494</v>
      </c>
      <c r="AD94" s="36">
        <v>26964.757946028432</v>
      </c>
      <c r="AE94" s="36">
        <v>30146.819561924742</v>
      </c>
      <c r="AF94" s="36">
        <v>27351.620267615766</v>
      </c>
      <c r="AG94" s="36">
        <v>23089.384499200729</v>
      </c>
    </row>
    <row r="95" spans="1:33" x14ac:dyDescent="0.25">
      <c r="A95" s="8" t="s">
        <v>18</v>
      </c>
      <c r="B95" s="8" t="s">
        <v>2</v>
      </c>
      <c r="C95" s="9">
        <v>1302115.0346585915</v>
      </c>
      <c r="D95" s="34">
        <v>46720.000035946563</v>
      </c>
      <c r="E95" s="34">
        <v>41981.723507226241</v>
      </c>
      <c r="F95" s="34">
        <v>33435.482678984554</v>
      </c>
      <c r="G95" s="34">
        <v>43921.201712202448</v>
      </c>
      <c r="H95" s="34">
        <v>49384.948069655897</v>
      </c>
      <c r="I95" s="34">
        <v>62359.950158372558</v>
      </c>
      <c r="J95" s="34">
        <v>40740.241295956992</v>
      </c>
      <c r="K95" s="34">
        <v>30457.549365337876</v>
      </c>
      <c r="L95" s="34">
        <v>37926.208433959488</v>
      </c>
      <c r="M95" s="34">
        <v>37267.017923117965</v>
      </c>
      <c r="N95" s="34">
        <v>46534.190335425184</v>
      </c>
      <c r="O95" s="34">
        <v>42157.144118416247</v>
      </c>
      <c r="P95" s="34">
        <v>55047.015719083567</v>
      </c>
      <c r="Q95" s="34">
        <v>40512.945057258861</v>
      </c>
      <c r="R95" s="34">
        <v>29828.820949088276</v>
      </c>
      <c r="S95" s="34">
        <v>35723.211815922805</v>
      </c>
      <c r="T95" s="34">
        <v>39139.120649567463</v>
      </c>
      <c r="U95" s="34">
        <v>39447.595612496691</v>
      </c>
      <c r="V95" s="34">
        <v>41384.916405777061</v>
      </c>
      <c r="W95" s="34">
        <v>57294.577899756106</v>
      </c>
      <c r="X95" s="34">
        <v>40115.757883950319</v>
      </c>
      <c r="Y95" s="34">
        <v>39155.814408029357</v>
      </c>
      <c r="Z95" s="34">
        <v>37631.802029499828</v>
      </c>
      <c r="AA95" s="34">
        <v>37127.428499057394</v>
      </c>
      <c r="AB95" s="34">
        <v>51144.788586858667</v>
      </c>
      <c r="AC95" s="34">
        <v>49429.478722717387</v>
      </c>
      <c r="AD95" s="34">
        <v>51831.397077407375</v>
      </c>
      <c r="AE95" s="34">
        <v>45464.110629372561</v>
      </c>
      <c r="AF95" s="34">
        <v>59096.407653006492</v>
      </c>
      <c r="AG95" s="34">
        <v>39854.187425139477</v>
      </c>
    </row>
    <row r="96" spans="1:33" x14ac:dyDescent="0.25">
      <c r="A96" s="10" t="s">
        <v>18</v>
      </c>
      <c r="B96" s="11" t="s">
        <v>3</v>
      </c>
      <c r="C96" s="12">
        <v>1316751.2239801413</v>
      </c>
      <c r="D96" s="35">
        <v>41732.540844700197</v>
      </c>
      <c r="E96" s="35">
        <v>42592.684371877673</v>
      </c>
      <c r="F96" s="35">
        <v>29123.31134958344</v>
      </c>
      <c r="G96" s="35">
        <v>58253.997096481529</v>
      </c>
      <c r="H96" s="35">
        <v>64735.265894983226</v>
      </c>
      <c r="I96" s="35">
        <v>53565.769412541289</v>
      </c>
      <c r="J96" s="35">
        <v>34817.199762884266</v>
      </c>
      <c r="K96" s="35">
        <v>35488.315327368153</v>
      </c>
      <c r="L96" s="35">
        <v>28751.839707512925</v>
      </c>
      <c r="M96" s="35">
        <v>34249.979648252134</v>
      </c>
      <c r="N96" s="35">
        <v>46996.988677433677</v>
      </c>
      <c r="O96" s="35">
        <v>58744.185637193841</v>
      </c>
      <c r="P96" s="35">
        <v>46362.145702696987</v>
      </c>
      <c r="Q96" s="35">
        <v>30946.640167401503</v>
      </c>
      <c r="R96" s="35">
        <v>33210.298608127152</v>
      </c>
      <c r="S96" s="35">
        <v>33203.677997730134</v>
      </c>
      <c r="T96" s="35">
        <v>34667.395965217758</v>
      </c>
      <c r="U96" s="35">
        <v>40143.757821276507</v>
      </c>
      <c r="V96" s="35">
        <v>44728.934659983533</v>
      </c>
      <c r="W96" s="35">
        <v>51365.73785307975</v>
      </c>
      <c r="X96" s="35">
        <v>40520.669443632083</v>
      </c>
      <c r="Y96" s="35">
        <v>33384.750329823175</v>
      </c>
      <c r="Z96" s="35">
        <v>34755.380153868449</v>
      </c>
      <c r="AA96" s="35">
        <v>28312.227544442609</v>
      </c>
      <c r="AB96" s="35">
        <v>61765.917591033685</v>
      </c>
      <c r="AC96" s="35">
        <v>46684.348742018738</v>
      </c>
      <c r="AD96" s="35">
        <v>44622.814176459244</v>
      </c>
      <c r="AE96" s="35">
        <v>68229.776636269133</v>
      </c>
      <c r="AF96" s="35">
        <v>73515.384993316839</v>
      </c>
      <c r="AG96" s="35">
        <v>41279.287862951795</v>
      </c>
    </row>
    <row r="97" spans="1:33" x14ac:dyDescent="0.25">
      <c r="A97" s="10" t="s">
        <v>18</v>
      </c>
      <c r="B97" s="11" t="s">
        <v>4</v>
      </c>
      <c r="C97" s="12">
        <v>2270956.3696277854</v>
      </c>
      <c r="D97" s="35">
        <v>70109.706143215546</v>
      </c>
      <c r="E97" s="35">
        <v>59570.90767768713</v>
      </c>
      <c r="F97" s="35">
        <v>69571.947202869836</v>
      </c>
      <c r="G97" s="35">
        <v>79402.488548151654</v>
      </c>
      <c r="H97" s="35">
        <v>83979.946296252747</v>
      </c>
      <c r="I97" s="35">
        <v>86331.407072355723</v>
      </c>
      <c r="J97" s="35">
        <v>64132.69834625678</v>
      </c>
      <c r="K97" s="35">
        <v>65039.913811981649</v>
      </c>
      <c r="L97" s="35">
        <v>68388.692716829071</v>
      </c>
      <c r="M97" s="35">
        <v>62148.701799163966</v>
      </c>
      <c r="N97" s="35">
        <v>67773.497031656429</v>
      </c>
      <c r="O97" s="35">
        <v>89815.255193163612</v>
      </c>
      <c r="P97" s="35">
        <v>88873.272036335693</v>
      </c>
      <c r="Q97" s="35">
        <v>77370.397118925815</v>
      </c>
      <c r="R97" s="35">
        <v>61181.25963809745</v>
      </c>
      <c r="S97" s="35">
        <v>58400.353021266557</v>
      </c>
      <c r="T97" s="35">
        <v>66472.468157709402</v>
      </c>
      <c r="U97" s="35">
        <v>72887.543775852508</v>
      </c>
      <c r="V97" s="35">
        <v>110066.74431535558</v>
      </c>
      <c r="W97" s="35">
        <v>84199.785603249402</v>
      </c>
      <c r="X97" s="35">
        <v>69233.468766564198</v>
      </c>
      <c r="Y97" s="35">
        <v>73550.486751025746</v>
      </c>
      <c r="Z97" s="35">
        <v>60952.450758511906</v>
      </c>
      <c r="AA97" s="35">
        <v>64293.073965031821</v>
      </c>
      <c r="AB97" s="35">
        <v>86016.853148191731</v>
      </c>
      <c r="AC97" s="35">
        <v>93093.108347275091</v>
      </c>
      <c r="AD97" s="35">
        <v>91210.829127140212</v>
      </c>
      <c r="AE97" s="35">
        <v>96620.371573213124</v>
      </c>
      <c r="AF97" s="35">
        <v>92468.324205960627</v>
      </c>
      <c r="AG97" s="35">
        <v>57800.417478494666</v>
      </c>
    </row>
    <row r="98" spans="1:33" ht="15.75" thickBot="1" x14ac:dyDescent="0.3">
      <c r="A98" s="13" t="s">
        <v>18</v>
      </c>
      <c r="B98" s="14" t="s">
        <v>5</v>
      </c>
      <c r="C98" s="15">
        <v>775791.46413599362</v>
      </c>
      <c r="D98" s="36">
        <v>30715.396201606134</v>
      </c>
      <c r="E98" s="36">
        <v>29525.360214800668</v>
      </c>
      <c r="F98" s="36">
        <v>14928.654532007435</v>
      </c>
      <c r="G98" s="36">
        <v>38409.827272758092</v>
      </c>
      <c r="H98" s="36">
        <v>24755.768754230387</v>
      </c>
      <c r="I98" s="36">
        <v>29750.421449550904</v>
      </c>
      <c r="J98" s="36">
        <v>26538.181894093155</v>
      </c>
      <c r="K98" s="36">
        <v>28207.724348608761</v>
      </c>
      <c r="L98" s="36">
        <v>25100.693322003001</v>
      </c>
      <c r="M98" s="36">
        <v>25510.592126684805</v>
      </c>
      <c r="N98" s="36">
        <v>27391.433690206879</v>
      </c>
      <c r="O98" s="36">
        <v>34753.203894828162</v>
      </c>
      <c r="P98" s="36">
        <v>26636.822860234985</v>
      </c>
      <c r="Q98" s="36">
        <v>21134.034224807638</v>
      </c>
      <c r="R98" s="36">
        <v>18620.963792754024</v>
      </c>
      <c r="S98" s="36">
        <v>24648.328529311846</v>
      </c>
      <c r="T98" s="36">
        <v>20162.54504566289</v>
      </c>
      <c r="U98" s="36">
        <v>20606.142460949712</v>
      </c>
      <c r="V98" s="36">
        <v>29159.021991913232</v>
      </c>
      <c r="W98" s="36">
        <v>30703.92953467368</v>
      </c>
      <c r="X98" s="36">
        <v>25268.495611959854</v>
      </c>
      <c r="Y98" s="36">
        <v>19161.459325825937</v>
      </c>
      <c r="Z98" s="36">
        <v>22046.245305574976</v>
      </c>
      <c r="AA98" s="36">
        <v>18626.351744686141</v>
      </c>
      <c r="AB98" s="36">
        <v>18998.247953491718</v>
      </c>
      <c r="AC98" s="36">
        <v>25707.874058968471</v>
      </c>
      <c r="AD98" s="36">
        <v>26888.260617067106</v>
      </c>
      <c r="AE98" s="36">
        <v>37217.378928775921</v>
      </c>
      <c r="AF98" s="36">
        <v>34501.064747803699</v>
      </c>
      <c r="AG98" s="36">
        <v>20117.039700153375</v>
      </c>
    </row>
    <row r="99" spans="1:33" x14ac:dyDescent="0.25">
      <c r="A99" s="8" t="s">
        <v>26</v>
      </c>
      <c r="B99" s="8" t="s">
        <v>2</v>
      </c>
      <c r="C99" s="9">
        <v>1162986.0310066086</v>
      </c>
      <c r="D99" s="34">
        <v>35428.090704187096</v>
      </c>
      <c r="E99" s="34">
        <v>36420.259355936934</v>
      </c>
      <c r="F99" s="34">
        <v>34201.435390058192</v>
      </c>
      <c r="G99" s="34">
        <v>44578.434399116035</v>
      </c>
      <c r="H99" s="34">
        <v>43964.199260842652</v>
      </c>
      <c r="I99" s="34">
        <v>52049.548937005056</v>
      </c>
      <c r="J99" s="34">
        <v>33719.570970626781</v>
      </c>
      <c r="K99" s="34">
        <v>39747.053057833728</v>
      </c>
      <c r="L99" s="34">
        <v>39421.640019324128</v>
      </c>
      <c r="M99" s="34">
        <v>35212.904222519399</v>
      </c>
      <c r="N99" s="34">
        <v>34112.923562144271</v>
      </c>
      <c r="O99" s="34">
        <v>39392.835593451367</v>
      </c>
      <c r="P99" s="34">
        <v>41900.562684201846</v>
      </c>
      <c r="Q99" s="34">
        <v>27057.929671103946</v>
      </c>
      <c r="R99" s="34">
        <v>27867.88095760698</v>
      </c>
      <c r="S99" s="34">
        <v>32746.791627207036</v>
      </c>
      <c r="T99" s="34">
        <v>28492.665564934185</v>
      </c>
      <c r="U99" s="34">
        <v>49389.170542895168</v>
      </c>
      <c r="V99" s="34">
        <v>37861.801358834164</v>
      </c>
      <c r="W99" s="34">
        <v>46823.907522996327</v>
      </c>
      <c r="X99" s="34">
        <v>33833.370734728851</v>
      </c>
      <c r="Y99" s="34">
        <v>32679.078944501376</v>
      </c>
      <c r="Z99" s="34">
        <v>38417.625496793422</v>
      </c>
      <c r="AA99" s="34">
        <v>28908.996877063524</v>
      </c>
      <c r="AB99" s="34">
        <v>40774.605374221072</v>
      </c>
      <c r="AC99" s="34">
        <v>38019.087298367755</v>
      </c>
      <c r="AD99" s="34">
        <v>51090.470939338011</v>
      </c>
      <c r="AE99" s="34">
        <v>46323.103055150816</v>
      </c>
      <c r="AF99" s="34">
        <v>53546.017860574968</v>
      </c>
      <c r="AG99" s="34">
        <v>39004.069023043303</v>
      </c>
    </row>
    <row r="100" spans="1:33" x14ac:dyDescent="0.25">
      <c r="A100" s="10" t="s">
        <v>26</v>
      </c>
      <c r="B100" s="11" t="s">
        <v>3</v>
      </c>
      <c r="C100" s="12">
        <v>662182.40996575239</v>
      </c>
      <c r="D100" s="35">
        <v>15778.448229709913</v>
      </c>
      <c r="E100" s="35">
        <v>24864.99747562558</v>
      </c>
      <c r="F100" s="35">
        <v>20981.350300979615</v>
      </c>
      <c r="G100" s="35">
        <v>23755.078466531064</v>
      </c>
      <c r="H100" s="35">
        <v>32950.102936533236</v>
      </c>
      <c r="I100" s="35">
        <v>18760.737920691216</v>
      </c>
      <c r="J100" s="35">
        <v>14207.931269034016</v>
      </c>
      <c r="K100" s="35">
        <v>21287.970036540184</v>
      </c>
      <c r="L100" s="35">
        <v>15029.971949091956</v>
      </c>
      <c r="M100" s="35">
        <v>12795.983385396614</v>
      </c>
      <c r="N100" s="35">
        <v>14848.181227668836</v>
      </c>
      <c r="O100" s="35">
        <v>32898.340517629033</v>
      </c>
      <c r="P100" s="35">
        <v>19886.116515983835</v>
      </c>
      <c r="Q100" s="35">
        <v>15870.36685462421</v>
      </c>
      <c r="R100" s="35">
        <v>19255.011404998695</v>
      </c>
      <c r="S100" s="35">
        <v>18707.113345309961</v>
      </c>
      <c r="T100" s="35">
        <v>22695.557524070431</v>
      </c>
      <c r="U100" s="35">
        <v>30282.508471577345</v>
      </c>
      <c r="V100" s="35">
        <v>29216.977004250188</v>
      </c>
      <c r="W100" s="35">
        <v>28467.735580129283</v>
      </c>
      <c r="X100" s="35">
        <v>20962.52592708783</v>
      </c>
      <c r="Y100" s="35">
        <v>18079.38224061493</v>
      </c>
      <c r="Z100" s="35">
        <v>23459.087772643965</v>
      </c>
      <c r="AA100" s="35">
        <v>24587.425537387739</v>
      </c>
      <c r="AB100" s="35">
        <v>24791.460731974857</v>
      </c>
      <c r="AC100" s="35">
        <v>26884.303365867494</v>
      </c>
      <c r="AD100" s="35">
        <v>22723.370029472742</v>
      </c>
      <c r="AE100" s="35">
        <v>25937.719448161155</v>
      </c>
      <c r="AF100" s="35">
        <v>26669.556162239114</v>
      </c>
      <c r="AG100" s="35">
        <v>15547.098333927222</v>
      </c>
    </row>
    <row r="101" spans="1:33" x14ac:dyDescent="0.25">
      <c r="A101" s="10" t="s">
        <v>26</v>
      </c>
      <c r="B101" s="11" t="s">
        <v>4</v>
      </c>
      <c r="C101" s="12">
        <v>921880.03362911381</v>
      </c>
      <c r="D101" s="35">
        <v>21774.597663202672</v>
      </c>
      <c r="E101" s="35">
        <v>32668.669149238474</v>
      </c>
      <c r="F101" s="35">
        <v>23388.582092729983</v>
      </c>
      <c r="G101" s="35">
        <v>25698.561399105431</v>
      </c>
      <c r="H101" s="35">
        <v>33503.113443634</v>
      </c>
      <c r="I101" s="35">
        <v>38952.208568232047</v>
      </c>
      <c r="J101" s="35">
        <v>20813.479999279258</v>
      </c>
      <c r="K101" s="35">
        <v>25990.289684008265</v>
      </c>
      <c r="L101" s="35">
        <v>23781.99531570094</v>
      </c>
      <c r="M101" s="35">
        <v>24800.804200333725</v>
      </c>
      <c r="N101" s="35">
        <v>26133.590300658991</v>
      </c>
      <c r="O101" s="35">
        <v>37038.391497652781</v>
      </c>
      <c r="P101" s="35">
        <v>47377.419221180346</v>
      </c>
      <c r="Q101" s="35">
        <v>25853.381235587825</v>
      </c>
      <c r="R101" s="35">
        <v>27014.320741793472</v>
      </c>
      <c r="S101" s="35">
        <v>24659.700891512159</v>
      </c>
      <c r="T101" s="35">
        <v>26771.599079989512</v>
      </c>
      <c r="U101" s="35">
        <v>42104.298966017312</v>
      </c>
      <c r="V101" s="35">
        <v>35111.333507167925</v>
      </c>
      <c r="W101" s="35">
        <v>47116.320075714313</v>
      </c>
      <c r="X101" s="35">
        <v>24525.874381345609</v>
      </c>
      <c r="Y101" s="35">
        <v>24547.124535849274</v>
      </c>
      <c r="Z101" s="35">
        <v>24167.627595796337</v>
      </c>
      <c r="AA101" s="35">
        <v>26304.875677627439</v>
      </c>
      <c r="AB101" s="35">
        <v>36800.654205123632</v>
      </c>
      <c r="AC101" s="35">
        <v>30579.276719738598</v>
      </c>
      <c r="AD101" s="35">
        <v>36717.860407093234</v>
      </c>
      <c r="AE101" s="35">
        <v>46767.490323718594</v>
      </c>
      <c r="AF101" s="35">
        <v>36068.189725604483</v>
      </c>
      <c r="AG101" s="35">
        <v>24848.40302447712</v>
      </c>
    </row>
    <row r="102" spans="1:33" ht="15.75" thickBot="1" x14ac:dyDescent="0.3">
      <c r="A102" s="13" t="s">
        <v>26</v>
      </c>
      <c r="B102" s="14" t="s">
        <v>5</v>
      </c>
      <c r="C102" s="15">
        <v>857165.91029506805</v>
      </c>
      <c r="D102" s="36">
        <v>28013.390326112072</v>
      </c>
      <c r="E102" s="36">
        <v>25507.494209397322</v>
      </c>
      <c r="F102" s="36">
        <v>25756.061831463139</v>
      </c>
      <c r="G102" s="36">
        <v>29205.80126863777</v>
      </c>
      <c r="H102" s="36">
        <v>40330.294157834745</v>
      </c>
      <c r="I102" s="36">
        <v>32552.207685147932</v>
      </c>
      <c r="J102" s="36">
        <v>31287.569857516726</v>
      </c>
      <c r="K102" s="36">
        <v>29326.430608111285</v>
      </c>
      <c r="L102" s="36">
        <v>21203.307543623137</v>
      </c>
      <c r="M102" s="36">
        <v>22752.531101832239</v>
      </c>
      <c r="N102" s="36">
        <v>35691.539485869107</v>
      </c>
      <c r="O102" s="36">
        <v>34767.307739491931</v>
      </c>
      <c r="P102" s="36">
        <v>31910.70946512973</v>
      </c>
      <c r="Q102" s="36">
        <v>23919.365283158415</v>
      </c>
      <c r="R102" s="36">
        <v>26376.468529909995</v>
      </c>
      <c r="S102" s="36">
        <v>20352.183387298708</v>
      </c>
      <c r="T102" s="36">
        <v>17551.750482045583</v>
      </c>
      <c r="U102" s="36">
        <v>29711.207875727436</v>
      </c>
      <c r="V102" s="36">
        <v>25785.569986911654</v>
      </c>
      <c r="W102" s="36">
        <v>36101.503099089612</v>
      </c>
      <c r="X102" s="36">
        <v>28054.738061469772</v>
      </c>
      <c r="Y102" s="36">
        <v>25799.152817850412</v>
      </c>
      <c r="Z102" s="36">
        <v>24965.406695227044</v>
      </c>
      <c r="AA102" s="36">
        <v>23577.615445902415</v>
      </c>
      <c r="AB102" s="36">
        <v>24182.00602551506</v>
      </c>
      <c r="AC102" s="36">
        <v>28105.846186706593</v>
      </c>
      <c r="AD102" s="36">
        <v>37605.910578746763</v>
      </c>
      <c r="AE102" s="36">
        <v>33766.83599886825</v>
      </c>
      <c r="AF102" s="36">
        <v>35787.490927955223</v>
      </c>
      <c r="AG102" s="36">
        <v>27218.213632518022</v>
      </c>
    </row>
    <row r="103" spans="1:33" x14ac:dyDescent="0.25">
      <c r="A103" s="8" t="s">
        <v>27</v>
      </c>
      <c r="B103" s="8" t="s">
        <v>2</v>
      </c>
      <c r="C103" s="9">
        <v>1928008.9893544409</v>
      </c>
      <c r="D103" s="34">
        <v>60661.943669189626</v>
      </c>
      <c r="E103" s="34">
        <v>63029.539386685421</v>
      </c>
      <c r="F103" s="34">
        <v>57811.260169106994</v>
      </c>
      <c r="G103" s="34">
        <v>65115.548710870142</v>
      </c>
      <c r="H103" s="34">
        <v>76624.835345073137</v>
      </c>
      <c r="I103" s="34">
        <v>80093.887387257928</v>
      </c>
      <c r="J103" s="34">
        <v>57954.464561288609</v>
      </c>
      <c r="K103" s="34">
        <v>60337.399924006182</v>
      </c>
      <c r="L103" s="34">
        <v>63936.77549806227</v>
      </c>
      <c r="M103" s="34">
        <v>65216.549249781288</v>
      </c>
      <c r="N103" s="34">
        <v>60460.815063432703</v>
      </c>
      <c r="O103" s="34">
        <v>67907.118262742893</v>
      </c>
      <c r="P103" s="34">
        <v>79767.051420011892</v>
      </c>
      <c r="Q103" s="34">
        <v>53919.733358184829</v>
      </c>
      <c r="R103" s="34">
        <v>60254.721298467499</v>
      </c>
      <c r="S103" s="34">
        <v>61680.745163032625</v>
      </c>
      <c r="T103" s="34">
        <v>51305.529445634442</v>
      </c>
      <c r="U103" s="34">
        <v>59632.141095758925</v>
      </c>
      <c r="V103" s="34">
        <v>64722.000356881392</v>
      </c>
      <c r="W103" s="34">
        <v>71867.276898951546</v>
      </c>
      <c r="X103" s="34">
        <v>57888.101163372048</v>
      </c>
      <c r="Y103" s="34">
        <v>61501.277659189196</v>
      </c>
      <c r="Z103" s="34">
        <v>57723.798810337321</v>
      </c>
      <c r="AA103" s="34">
        <v>51255.322644055399</v>
      </c>
      <c r="AB103" s="34">
        <v>61152.066749248908</v>
      </c>
      <c r="AC103" s="34">
        <v>57942.749640920163</v>
      </c>
      <c r="AD103" s="34">
        <v>75767.647403990733</v>
      </c>
      <c r="AE103" s="34">
        <v>72632.412882245204</v>
      </c>
      <c r="AF103" s="34">
        <v>78410.706347211657</v>
      </c>
      <c r="AG103" s="34">
        <v>71435.569789449873</v>
      </c>
    </row>
    <row r="104" spans="1:33" x14ac:dyDescent="0.25">
      <c r="A104" s="10" t="s">
        <v>27</v>
      </c>
      <c r="B104" s="11" t="s">
        <v>3</v>
      </c>
      <c r="C104" s="12">
        <v>1505965.5209531398</v>
      </c>
      <c r="D104" s="35">
        <v>50509.126780440252</v>
      </c>
      <c r="E104" s="35">
        <v>51897.269515106724</v>
      </c>
      <c r="F104" s="35">
        <v>45766.735554768326</v>
      </c>
      <c r="G104" s="35">
        <v>50606.094468172509</v>
      </c>
      <c r="H104" s="35">
        <v>67653.932323799076</v>
      </c>
      <c r="I104" s="35">
        <v>61578.09189926229</v>
      </c>
      <c r="J104" s="35">
        <v>39046.110333183424</v>
      </c>
      <c r="K104" s="35">
        <v>26380.909172985645</v>
      </c>
      <c r="L104" s="35">
        <v>32021.738425697939</v>
      </c>
      <c r="M104" s="35">
        <v>50327.06177388662</v>
      </c>
      <c r="N104" s="35">
        <v>52456.150107710222</v>
      </c>
      <c r="O104" s="35">
        <v>64735.069333000007</v>
      </c>
      <c r="P104" s="35">
        <v>50717.095311022225</v>
      </c>
      <c r="Q104" s="35">
        <v>40246.581453976054</v>
      </c>
      <c r="R104" s="35">
        <v>32342.354844010035</v>
      </c>
      <c r="S104" s="35">
        <v>40291.625635932825</v>
      </c>
      <c r="T104" s="35">
        <v>42605.948289943597</v>
      </c>
      <c r="U104" s="35">
        <v>36875.230315121436</v>
      </c>
      <c r="V104" s="35">
        <v>56094.87985056053</v>
      </c>
      <c r="W104" s="35">
        <v>71441.994135806919</v>
      </c>
      <c r="X104" s="35">
        <v>40995.088486447821</v>
      </c>
      <c r="Y104" s="35">
        <v>37262.959653106162</v>
      </c>
      <c r="Z104" s="35">
        <v>45931.232082597548</v>
      </c>
      <c r="AA104" s="35">
        <v>34784.86417280454</v>
      </c>
      <c r="AB104" s="35">
        <v>49225.77103748377</v>
      </c>
      <c r="AC104" s="35">
        <v>67417.182099852304</v>
      </c>
      <c r="AD104" s="35">
        <v>63367.123694139824</v>
      </c>
      <c r="AE104" s="35">
        <v>65619.216334259792</v>
      </c>
      <c r="AF104" s="35">
        <v>73728.591534330713</v>
      </c>
      <c r="AG104" s="35">
        <v>64039.492333730639</v>
      </c>
    </row>
    <row r="105" spans="1:33" x14ac:dyDescent="0.25">
      <c r="A105" s="10" t="s">
        <v>27</v>
      </c>
      <c r="B105" s="11" t="s">
        <v>4</v>
      </c>
      <c r="C105" s="12">
        <v>2572222.5959151341</v>
      </c>
      <c r="D105" s="35">
        <v>82555.090124055845</v>
      </c>
      <c r="E105" s="35">
        <v>74786.037810283669</v>
      </c>
      <c r="F105" s="35">
        <v>81312.43160750455</v>
      </c>
      <c r="G105" s="35">
        <v>82780.877563645336</v>
      </c>
      <c r="H105" s="35">
        <v>108820.20283770123</v>
      </c>
      <c r="I105" s="35">
        <v>109651.7758015865</v>
      </c>
      <c r="J105" s="35">
        <v>74045.811590089725</v>
      </c>
      <c r="K105" s="35">
        <v>71754.354326780143</v>
      </c>
      <c r="L105" s="35">
        <v>79072.453510732579</v>
      </c>
      <c r="M105" s="35">
        <v>77810.94086496465</v>
      </c>
      <c r="N105" s="35">
        <v>83603.435161822286</v>
      </c>
      <c r="O105" s="35">
        <v>95607.919728589462</v>
      </c>
      <c r="P105" s="35">
        <v>107955.34947906234</v>
      </c>
      <c r="Q105" s="35">
        <v>73146.165473391069</v>
      </c>
      <c r="R105" s="35">
        <v>69851.4736089301</v>
      </c>
      <c r="S105" s="35">
        <v>69713.067160362494</v>
      </c>
      <c r="T105" s="35">
        <v>79306.668174744642</v>
      </c>
      <c r="U105" s="35">
        <v>82455.11450750113</v>
      </c>
      <c r="V105" s="35">
        <v>102821.37177377485</v>
      </c>
      <c r="W105" s="35">
        <v>103241.58191838795</v>
      </c>
      <c r="X105" s="35">
        <v>86155.758291405597</v>
      </c>
      <c r="Y105" s="35">
        <v>76996.373586255169</v>
      </c>
      <c r="Z105" s="35">
        <v>76869.066203951006</v>
      </c>
      <c r="AA105" s="35">
        <v>73770.897549105546</v>
      </c>
      <c r="AB105" s="35">
        <v>84126.44400116161</v>
      </c>
      <c r="AC105" s="35">
        <v>91313.118813809808</v>
      </c>
      <c r="AD105" s="35">
        <v>100975.38952430942</v>
      </c>
      <c r="AE105" s="35">
        <v>100743.91391828516</v>
      </c>
      <c r="AF105" s="35">
        <v>94264.72266025281</v>
      </c>
      <c r="AG105" s="35">
        <v>76714.788342687214</v>
      </c>
    </row>
    <row r="106" spans="1:33" ht="15.75" thickBot="1" x14ac:dyDescent="0.3">
      <c r="A106" s="13" t="s">
        <v>27</v>
      </c>
      <c r="B106" s="14" t="s">
        <v>5</v>
      </c>
      <c r="C106" s="15">
        <v>1968150.4238247753</v>
      </c>
      <c r="D106" s="36">
        <v>52180.154517109331</v>
      </c>
      <c r="E106" s="36">
        <v>56725.650170518937</v>
      </c>
      <c r="F106" s="36">
        <v>58350.516455509722</v>
      </c>
      <c r="G106" s="36">
        <v>70772.677969348515</v>
      </c>
      <c r="H106" s="36">
        <v>79798.002221095201</v>
      </c>
      <c r="I106" s="36">
        <v>80489.716428420594</v>
      </c>
      <c r="J106" s="36">
        <v>54647.651237676131</v>
      </c>
      <c r="K106" s="36">
        <v>55849.427646160111</v>
      </c>
      <c r="L106" s="36">
        <v>61143.613884969978</v>
      </c>
      <c r="M106" s="36">
        <v>54847.415064223715</v>
      </c>
      <c r="N106" s="36">
        <v>63001.274188071489</v>
      </c>
      <c r="O106" s="36">
        <v>83872.628004418439</v>
      </c>
      <c r="P106" s="36">
        <v>82310.563098679821</v>
      </c>
      <c r="Q106" s="36">
        <v>58361.183137729859</v>
      </c>
      <c r="R106" s="36">
        <v>59303.887468129717</v>
      </c>
      <c r="S106" s="36">
        <v>47435.934547008546</v>
      </c>
      <c r="T106" s="36">
        <v>52830.653563371663</v>
      </c>
      <c r="U106" s="36">
        <v>66316.570798635294</v>
      </c>
      <c r="V106" s="36">
        <v>74554.386732055951</v>
      </c>
      <c r="W106" s="36">
        <v>81435.277069687116</v>
      </c>
      <c r="X106" s="36">
        <v>60877.742850527815</v>
      </c>
      <c r="Y106" s="36">
        <v>58328.555639174156</v>
      </c>
      <c r="Z106" s="36">
        <v>58682.569617475769</v>
      </c>
      <c r="AA106" s="36">
        <v>51185.465328936014</v>
      </c>
      <c r="AB106" s="36">
        <v>71780.983800145259</v>
      </c>
      <c r="AC106" s="36">
        <v>64038.95787850349</v>
      </c>
      <c r="AD106" s="36">
        <v>77880.565418774102</v>
      </c>
      <c r="AE106" s="36">
        <v>87384.588641867958</v>
      </c>
      <c r="AF106" s="36">
        <v>79355.077372733926</v>
      </c>
      <c r="AG106" s="36">
        <v>64408.733073816955</v>
      </c>
    </row>
    <row r="107" spans="1:33" x14ac:dyDescent="0.25">
      <c r="A107" s="8" t="s">
        <v>30</v>
      </c>
      <c r="B107" s="8" t="s">
        <v>2</v>
      </c>
      <c r="C107" s="9">
        <v>4242000.8639142727</v>
      </c>
      <c r="D107" s="34">
        <v>149852.70975604773</v>
      </c>
      <c r="E107" s="34">
        <v>157914.55677242076</v>
      </c>
      <c r="F107" s="34">
        <v>157879.798599979</v>
      </c>
      <c r="G107" s="34">
        <v>168085.81837618837</v>
      </c>
      <c r="H107" s="34">
        <v>159822.33248212028</v>
      </c>
      <c r="I107" s="34">
        <v>103883.42566904228</v>
      </c>
      <c r="J107" s="34">
        <v>139756.21555280939</v>
      </c>
      <c r="K107" s="34">
        <v>141664.72126708526</v>
      </c>
      <c r="L107" s="34">
        <v>144227.83369867678</v>
      </c>
      <c r="M107" s="34">
        <v>152088.05013286136</v>
      </c>
      <c r="N107" s="34">
        <v>160111.71293258778</v>
      </c>
      <c r="O107" s="34">
        <v>147058.55917155027</v>
      </c>
      <c r="P107" s="34">
        <v>98263.775780797441</v>
      </c>
      <c r="Q107" s="34">
        <v>138080.73061750471</v>
      </c>
      <c r="R107" s="34">
        <v>143313.19603306527</v>
      </c>
      <c r="S107" s="34">
        <v>146937.46966244944</v>
      </c>
      <c r="T107" s="34">
        <v>151422.53482443333</v>
      </c>
      <c r="U107" s="34">
        <v>151985.31857975424</v>
      </c>
      <c r="V107" s="34">
        <v>144076.47388617738</v>
      </c>
      <c r="W107" s="34">
        <v>98398.926173499422</v>
      </c>
      <c r="X107" s="34">
        <v>148649.84471537906</v>
      </c>
      <c r="Y107" s="34">
        <v>140305.21217624526</v>
      </c>
      <c r="Z107" s="34">
        <v>154642.21171288614</v>
      </c>
      <c r="AA107" s="34">
        <v>145859.68426953189</v>
      </c>
      <c r="AB107" s="34">
        <v>134984.30006985558</v>
      </c>
      <c r="AC107" s="34">
        <v>157461.31518108401</v>
      </c>
      <c r="AD107" s="34">
        <v>99203.001327821228</v>
      </c>
      <c r="AE107" s="34">
        <v>157037.14104469615</v>
      </c>
      <c r="AF107" s="34">
        <v>100571.90093207509</v>
      </c>
      <c r="AG107" s="34">
        <v>148462.09251564767</v>
      </c>
    </row>
    <row r="108" spans="1:33" x14ac:dyDescent="0.25">
      <c r="A108" s="10" t="s">
        <v>30</v>
      </c>
      <c r="B108" s="11" t="s">
        <v>3</v>
      </c>
      <c r="C108" s="12">
        <v>37249.406943518552</v>
      </c>
      <c r="D108" s="35">
        <v>1548.3978246255783</v>
      </c>
      <c r="E108" s="35">
        <v>838.55399518585898</v>
      </c>
      <c r="F108" s="35">
        <v>1049.664722056935</v>
      </c>
      <c r="G108" s="35">
        <v>1776.6948616128864</v>
      </c>
      <c r="H108" s="35">
        <v>958.40131844880386</v>
      </c>
      <c r="I108" s="35">
        <v>1075.4603979508236</v>
      </c>
      <c r="J108" s="35">
        <v>625.58935148008754</v>
      </c>
      <c r="K108" s="35">
        <v>379.04493909754814</v>
      </c>
      <c r="L108" s="35">
        <v>838.55399518585898</v>
      </c>
      <c r="M108" s="35">
        <v>1046.4314203595407</v>
      </c>
      <c r="N108" s="35">
        <v>2190.5810581077899</v>
      </c>
      <c r="O108" s="35">
        <v>1589.7557912781197</v>
      </c>
      <c r="P108" s="35">
        <v>708.64718359729238</v>
      </c>
      <c r="Q108" s="35">
        <v>1058.4450372406523</v>
      </c>
      <c r="R108" s="35">
        <v>799.8870079770013</v>
      </c>
      <c r="S108" s="35">
        <v>1051.2062141150366</v>
      </c>
      <c r="T108" s="35">
        <v>1666.5503908456774</v>
      </c>
      <c r="U108" s="35">
        <v>1686.9788448699621</v>
      </c>
      <c r="V108" s="35">
        <v>2738.6595909569955</v>
      </c>
      <c r="W108" s="35">
        <v>708.64718359729238</v>
      </c>
      <c r="X108" s="35">
        <v>1058.4450372406523</v>
      </c>
      <c r="Y108" s="35">
        <v>248.67243774764304</v>
      </c>
      <c r="Z108" s="35">
        <v>469.52138595708823</v>
      </c>
      <c r="AA108" s="35">
        <v>813.98443916992494</v>
      </c>
      <c r="AB108" s="35">
        <v>2055.3807097384392</v>
      </c>
      <c r="AC108" s="35">
        <v>2705.7901465364466</v>
      </c>
      <c r="AD108" s="35">
        <v>804.57043222236109</v>
      </c>
      <c r="AE108" s="35">
        <v>3156.9285765348754</v>
      </c>
      <c r="AF108" s="35">
        <v>974.37329830129272</v>
      </c>
      <c r="AG108" s="35">
        <v>625.58935148008754</v>
      </c>
    </row>
    <row r="109" spans="1:33" x14ac:dyDescent="0.25">
      <c r="A109" s="10" t="s">
        <v>30</v>
      </c>
      <c r="B109" s="11" t="s">
        <v>4</v>
      </c>
      <c r="C109" s="12">
        <v>3664966.8829616127</v>
      </c>
      <c r="D109" s="35">
        <v>116278.28940576759</v>
      </c>
      <c r="E109" s="35">
        <v>115237.36155352992</v>
      </c>
      <c r="F109" s="35">
        <v>123613.22862142854</v>
      </c>
      <c r="G109" s="35">
        <v>149436.70714162925</v>
      </c>
      <c r="H109" s="35">
        <v>155134.89926228175</v>
      </c>
      <c r="I109" s="35">
        <v>112596.76888702891</v>
      </c>
      <c r="J109" s="35">
        <v>108454.43045072626</v>
      </c>
      <c r="K109" s="35">
        <v>118991.63504763987</v>
      </c>
      <c r="L109" s="35">
        <v>111957.23377475759</v>
      </c>
      <c r="M109" s="35">
        <v>121722.17086402849</v>
      </c>
      <c r="N109" s="35">
        <v>134527.11021117013</v>
      </c>
      <c r="O109" s="35">
        <v>144498.69311621401</v>
      </c>
      <c r="P109" s="35">
        <v>103197.73570388657</v>
      </c>
      <c r="Q109" s="35">
        <v>108962.95651509658</v>
      </c>
      <c r="R109" s="35">
        <v>105434.01719777034</v>
      </c>
      <c r="S109" s="35">
        <v>118881.68721103547</v>
      </c>
      <c r="T109" s="35">
        <v>121965.63915942037</v>
      </c>
      <c r="U109" s="35">
        <v>128853.86765866959</v>
      </c>
      <c r="V109" s="35">
        <v>140576.51015424629</v>
      </c>
      <c r="W109" s="35">
        <v>106664.0456297255</v>
      </c>
      <c r="X109" s="35">
        <v>111422.49377675452</v>
      </c>
      <c r="Y109" s="35">
        <v>122790.42979474153</v>
      </c>
      <c r="Z109" s="35">
        <v>112025.26702966969</v>
      </c>
      <c r="AA109" s="35">
        <v>111346.22482614213</v>
      </c>
      <c r="AB109" s="35">
        <v>118867.6752702962</v>
      </c>
      <c r="AC109" s="35">
        <v>139237.66835060445</v>
      </c>
      <c r="AD109" s="35">
        <v>102300.73767555917</v>
      </c>
      <c r="AE109" s="35">
        <v>160231.46125497436</v>
      </c>
      <c r="AF109" s="35">
        <v>119836.36108937747</v>
      </c>
      <c r="AG109" s="35">
        <v>119923.57632744007</v>
      </c>
    </row>
    <row r="110" spans="1:33" ht="15.75" thickBot="1" x14ac:dyDescent="0.3">
      <c r="A110" s="13" t="s">
        <v>30</v>
      </c>
      <c r="B110" s="14" t="s">
        <v>5</v>
      </c>
      <c r="C110" s="15">
        <v>753919.93181338278</v>
      </c>
      <c r="D110" s="36">
        <v>32145.34622111082</v>
      </c>
      <c r="E110" s="36">
        <v>34566.330630184748</v>
      </c>
      <c r="F110" s="36">
        <v>29454.342478478651</v>
      </c>
      <c r="G110" s="36">
        <v>33558.811828228238</v>
      </c>
      <c r="H110" s="36">
        <v>37757.670765868374</v>
      </c>
      <c r="I110" s="36">
        <v>39048.035079483227</v>
      </c>
      <c r="J110" s="36">
        <v>25379.612313954858</v>
      </c>
      <c r="K110" s="36">
        <v>26712.114836449418</v>
      </c>
      <c r="L110" s="36">
        <v>30257.392837293093</v>
      </c>
      <c r="M110" s="36">
        <v>27913.342407390228</v>
      </c>
      <c r="N110" s="36">
        <v>24059.947514275154</v>
      </c>
      <c r="O110" s="36">
        <v>39268.065798123884</v>
      </c>
      <c r="P110" s="36">
        <v>19489.037054014068</v>
      </c>
      <c r="Q110" s="36">
        <v>20318.213102333935</v>
      </c>
      <c r="R110" s="36">
        <v>16512.647962476021</v>
      </c>
      <c r="S110" s="36">
        <v>15495.396965975508</v>
      </c>
      <c r="T110" s="36">
        <v>16650.514946158626</v>
      </c>
      <c r="U110" s="36">
        <v>20459.612768733579</v>
      </c>
      <c r="V110" s="36">
        <v>19857.209552475131</v>
      </c>
      <c r="W110" s="36">
        <v>16174.791884978829</v>
      </c>
      <c r="X110" s="36">
        <v>20979.044120000661</v>
      </c>
      <c r="Y110" s="36">
        <v>25540.661084878684</v>
      </c>
      <c r="Z110" s="36">
        <v>21754.975943840185</v>
      </c>
      <c r="AA110" s="36">
        <v>19371.892833328475</v>
      </c>
      <c r="AB110" s="36">
        <v>15870.149951850661</v>
      </c>
      <c r="AC110" s="36">
        <v>29125.595180928332</v>
      </c>
      <c r="AD110" s="36">
        <v>16124.918717208871</v>
      </c>
      <c r="AE110" s="36">
        <v>32910.70308622875</v>
      </c>
      <c r="AF110" s="36">
        <v>27961.414599657382</v>
      </c>
      <c r="AG110" s="36">
        <v>19202.139347474425</v>
      </c>
    </row>
    <row r="111" spans="1:33" x14ac:dyDescent="0.25">
      <c r="A111" s="8" t="s">
        <v>28</v>
      </c>
      <c r="B111" s="8" t="s">
        <v>2</v>
      </c>
      <c r="C111" s="9">
        <v>205491.81446948805</v>
      </c>
      <c r="D111" s="34">
        <v>8290.3423521403074</v>
      </c>
      <c r="E111" s="34">
        <v>6303.6010045801204</v>
      </c>
      <c r="F111" s="34">
        <v>8052.4979719822077</v>
      </c>
      <c r="G111" s="34">
        <v>7799.3964475799812</v>
      </c>
      <c r="H111" s="34">
        <v>6262.6784439958155</v>
      </c>
      <c r="I111" s="34">
        <v>6487.9061548419086</v>
      </c>
      <c r="J111" s="34">
        <v>6998.237946267489</v>
      </c>
      <c r="K111" s="34">
        <v>8128.5148448461077</v>
      </c>
      <c r="L111" s="34">
        <v>7125.7200759901116</v>
      </c>
      <c r="M111" s="34">
        <v>6293.5864032921272</v>
      </c>
      <c r="N111" s="34">
        <v>7310.6013298734524</v>
      </c>
      <c r="O111" s="34">
        <v>5782.8033306963298</v>
      </c>
      <c r="P111" s="34">
        <v>5019.1107682388256</v>
      </c>
      <c r="Q111" s="34">
        <v>5010.0947465615227</v>
      </c>
      <c r="R111" s="34">
        <v>6338.0327976949302</v>
      </c>
      <c r="S111" s="34">
        <v>6168.4182897827404</v>
      </c>
      <c r="T111" s="34">
        <v>5068.6652814193976</v>
      </c>
      <c r="U111" s="34">
        <v>8389.8642527635657</v>
      </c>
      <c r="V111" s="34">
        <v>7695.8994319680087</v>
      </c>
      <c r="W111" s="34">
        <v>6778.0127352018799</v>
      </c>
      <c r="X111" s="34">
        <v>7781.9213043928776</v>
      </c>
      <c r="Y111" s="34">
        <v>8019.4488275591248</v>
      </c>
      <c r="Z111" s="34">
        <v>7068.9738692671544</v>
      </c>
      <c r="AA111" s="34">
        <v>7809.103793603148</v>
      </c>
      <c r="AB111" s="34">
        <v>7117.6258201072942</v>
      </c>
      <c r="AC111" s="34">
        <v>7722.3905968324152</v>
      </c>
      <c r="AD111" s="34">
        <v>7650.6848994031343</v>
      </c>
      <c r="AE111" s="34">
        <v>4547.8986566402909</v>
      </c>
      <c r="AF111" s="34">
        <v>6469.2307957765697</v>
      </c>
      <c r="AG111" s="34">
        <v>6000.5512961892618</v>
      </c>
    </row>
    <row r="112" spans="1:33" x14ac:dyDescent="0.25">
      <c r="A112" s="10" t="s">
        <v>28</v>
      </c>
      <c r="B112" s="11" t="s">
        <v>3</v>
      </c>
      <c r="C112" s="12">
        <v>31056.55837044588</v>
      </c>
      <c r="D112" s="35">
        <v>656.90299679005125</v>
      </c>
      <c r="E112" s="35">
        <v>932.51664544326843</v>
      </c>
      <c r="F112" s="35">
        <v>367.0088482066156</v>
      </c>
      <c r="G112" s="35">
        <v>1212.4144440755513</v>
      </c>
      <c r="H112" s="35">
        <v>1795.0588412284662</v>
      </c>
      <c r="I112" s="35">
        <v>1038.1923449268854</v>
      </c>
      <c r="J112" s="35">
        <v>652.61884681098581</v>
      </c>
      <c r="K112" s="35">
        <v>1091.0301946686939</v>
      </c>
      <c r="L112" s="35">
        <v>571.21999720874021</v>
      </c>
      <c r="M112" s="35">
        <v>285.60999860437011</v>
      </c>
      <c r="N112" s="35">
        <v>2159.211589449038</v>
      </c>
      <c r="O112" s="35">
        <v>2906.0817357994661</v>
      </c>
      <c r="P112" s="35">
        <v>1038.1923449268854</v>
      </c>
      <c r="Q112" s="35">
        <v>285.60999860437011</v>
      </c>
      <c r="R112" s="35">
        <v>348.44419829733152</v>
      </c>
      <c r="S112" s="35">
        <v>615.94942749864504</v>
      </c>
      <c r="T112" s="35">
        <v>1011.0593950594703</v>
      </c>
      <c r="U112" s="35">
        <v>820.33000616095865</v>
      </c>
      <c r="V112" s="35">
        <v>1363.0858204579415</v>
      </c>
      <c r="W112" s="35">
        <v>1911.0213415092744</v>
      </c>
      <c r="X112" s="35">
        <v>1574.1709728163066</v>
      </c>
      <c r="Y112" s="35">
        <v>348.44419829733152</v>
      </c>
      <c r="Z112" s="35">
        <v>1205.2741941104421</v>
      </c>
      <c r="AA112" s="35">
        <v>856.82999581311037</v>
      </c>
      <c r="AB112" s="35">
        <v>2156.3554894629947</v>
      </c>
      <c r="AC112" s="35">
        <v>285.60999860437011</v>
      </c>
      <c r="AD112" s="35">
        <v>939.65689540837764</v>
      </c>
      <c r="AE112" s="35">
        <v>1128.0142690642429</v>
      </c>
      <c r="AF112" s="35">
        <v>1132.2064429420629</v>
      </c>
      <c r="AG112" s="35">
        <v>368.43689819963748</v>
      </c>
    </row>
    <row r="113" spans="1:33" x14ac:dyDescent="0.25">
      <c r="A113" s="10" t="s">
        <v>28</v>
      </c>
      <c r="B113" s="11" t="s">
        <v>4</v>
      </c>
      <c r="C113" s="12">
        <v>1243106.149506968</v>
      </c>
      <c r="D113" s="35">
        <v>37189.237892911558</v>
      </c>
      <c r="E113" s="35">
        <v>44737.764622449038</v>
      </c>
      <c r="F113" s="35">
        <v>40857.365487005722</v>
      </c>
      <c r="G113" s="35">
        <v>47446.304832534908</v>
      </c>
      <c r="H113" s="35">
        <v>48941.512181317426</v>
      </c>
      <c r="I113" s="35">
        <v>31657.783609005124</v>
      </c>
      <c r="J113" s="35">
        <v>39874.760286601799</v>
      </c>
      <c r="K113" s="35">
        <v>44493.090205802517</v>
      </c>
      <c r="L113" s="35">
        <v>39870.460254967453</v>
      </c>
      <c r="M113" s="35">
        <v>51434.56236795865</v>
      </c>
      <c r="N113" s="35">
        <v>47444.194066499382</v>
      </c>
      <c r="O113" s="35">
        <v>39983.761291336989</v>
      </c>
      <c r="P113" s="35">
        <v>29590.026612000449</v>
      </c>
      <c r="Q113" s="35">
        <v>37290.3540526215</v>
      </c>
      <c r="R113" s="35">
        <v>40882.232404225862</v>
      </c>
      <c r="S113" s="35">
        <v>35111.162564419188</v>
      </c>
      <c r="T113" s="35">
        <v>45557.195397263953</v>
      </c>
      <c r="U113" s="35">
        <v>49764.178882575223</v>
      </c>
      <c r="V113" s="35">
        <v>47335.908280007628</v>
      </c>
      <c r="W113" s="35">
        <v>36047.479188994548</v>
      </c>
      <c r="X113" s="35">
        <v>45444.225803495021</v>
      </c>
      <c r="Y113" s="35">
        <v>39346.501836430798</v>
      </c>
      <c r="Z113" s="35">
        <v>41577.450703371898</v>
      </c>
      <c r="AA113" s="35">
        <v>37827.578897356616</v>
      </c>
      <c r="AB113" s="35">
        <v>40784.186449658497</v>
      </c>
      <c r="AC113" s="35">
        <v>44849.347390599585</v>
      </c>
      <c r="AD113" s="35">
        <v>38951.143146934373</v>
      </c>
      <c r="AE113" s="35">
        <v>48620.728076960309</v>
      </c>
      <c r="AF113" s="35">
        <v>28789.610175852642</v>
      </c>
      <c r="AG113" s="35">
        <v>41406.0425458096</v>
      </c>
    </row>
    <row r="114" spans="1:33" ht="15.75" thickBot="1" x14ac:dyDescent="0.3">
      <c r="A114" s="13" t="s">
        <v>28</v>
      </c>
      <c r="B114" s="14" t="s">
        <v>5</v>
      </c>
      <c r="C114" s="15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</row>
    <row r="115" spans="1:33" x14ac:dyDescent="0.25">
      <c r="A115" s="8" t="s">
        <v>29</v>
      </c>
      <c r="B115" s="8" t="s">
        <v>2</v>
      </c>
      <c r="C115" s="9">
        <v>3465134.89471584</v>
      </c>
      <c r="D115" s="34">
        <v>124216.97443647109</v>
      </c>
      <c r="E115" s="34">
        <v>122215.29560230712</v>
      </c>
      <c r="F115" s="34">
        <v>138921.83809279621</v>
      </c>
      <c r="G115" s="34">
        <v>133634.14961139101</v>
      </c>
      <c r="H115" s="34">
        <v>117333.10295075762</v>
      </c>
      <c r="I115" s="34">
        <v>93671.206084587538</v>
      </c>
      <c r="J115" s="34">
        <v>132944.7675978562</v>
      </c>
      <c r="K115" s="34">
        <v>131121.38240151358</v>
      </c>
      <c r="L115" s="34">
        <v>119530.99502371</v>
      </c>
      <c r="M115" s="34">
        <v>119142.19307305984</v>
      </c>
      <c r="N115" s="34">
        <v>124499.64241815415</v>
      </c>
      <c r="O115" s="34">
        <v>111180.99487641788</v>
      </c>
      <c r="P115" s="34">
        <v>81229.310551054819</v>
      </c>
      <c r="Q115" s="34">
        <v>117676.13208936989</v>
      </c>
      <c r="R115" s="34">
        <v>115738.11558914918</v>
      </c>
      <c r="S115" s="34">
        <v>123673.13748240622</v>
      </c>
      <c r="T115" s="34">
        <v>125662.41622341258</v>
      </c>
      <c r="U115" s="34">
        <v>117701.20298723983</v>
      </c>
      <c r="V115" s="34">
        <v>102520.75176769198</v>
      </c>
      <c r="W115" s="34">
        <v>85404.472299657136</v>
      </c>
      <c r="X115" s="34">
        <v>122158.34841887307</v>
      </c>
      <c r="Y115" s="34">
        <v>128219.56508872748</v>
      </c>
      <c r="Z115" s="34">
        <v>125324.23733348843</v>
      </c>
      <c r="AA115" s="34">
        <v>119052.09124394237</v>
      </c>
      <c r="AB115" s="34">
        <v>109699.48077481468</v>
      </c>
      <c r="AC115" s="34">
        <v>109748.56228363208</v>
      </c>
      <c r="AD115" s="34">
        <v>79743.62297965023</v>
      </c>
      <c r="AE115" s="34">
        <v>122720.9459844682</v>
      </c>
      <c r="AF115" s="34">
        <v>86132.242715599292</v>
      </c>
      <c r="AG115" s="34">
        <v>124317.71673364076</v>
      </c>
    </row>
    <row r="116" spans="1:33" x14ac:dyDescent="0.25">
      <c r="A116" s="10" t="s">
        <v>29</v>
      </c>
      <c r="B116" s="11" t="s">
        <v>3</v>
      </c>
      <c r="C116" s="12">
        <v>1397207.2319175063</v>
      </c>
      <c r="D116" s="35">
        <v>48664.208847204805</v>
      </c>
      <c r="E116" s="35">
        <v>53050.018528929861</v>
      </c>
      <c r="F116" s="35">
        <v>54380.244451253893</v>
      </c>
      <c r="G116" s="35">
        <v>43034.122926534801</v>
      </c>
      <c r="H116" s="35">
        <v>50197.878280742072</v>
      </c>
      <c r="I116" s="35">
        <v>28123.055087184999</v>
      </c>
      <c r="J116" s="35">
        <v>40773.382908720276</v>
      </c>
      <c r="K116" s="35">
        <v>43494.938413710217</v>
      </c>
      <c r="L116" s="35">
        <v>46082.722320012923</v>
      </c>
      <c r="M116" s="35">
        <v>45058.348651320826</v>
      </c>
      <c r="N116" s="35">
        <v>52938.44996234998</v>
      </c>
      <c r="O116" s="35">
        <v>51291.818905641645</v>
      </c>
      <c r="P116" s="35">
        <v>24404.719883788519</v>
      </c>
      <c r="Q116" s="35">
        <v>48493.998323026353</v>
      </c>
      <c r="R116" s="35">
        <v>41323.59255481873</v>
      </c>
      <c r="S116" s="35">
        <v>49117.686933567784</v>
      </c>
      <c r="T116" s="35">
        <v>57433.232927142584</v>
      </c>
      <c r="U116" s="35">
        <v>54112.367301956852</v>
      </c>
      <c r="V116" s="35">
        <v>56256.672596605858</v>
      </c>
      <c r="W116" s="35">
        <v>24462.922933146023</v>
      </c>
      <c r="X116" s="35">
        <v>52190.683900358548</v>
      </c>
      <c r="Y116" s="35">
        <v>43591.460060808669</v>
      </c>
      <c r="Z116" s="35">
        <v>50470.631128108245</v>
      </c>
      <c r="AA116" s="35">
        <v>55846.694133525001</v>
      </c>
      <c r="AB116" s="35">
        <v>53436.811187102743</v>
      </c>
      <c r="AC116" s="35">
        <v>50891.391467545509</v>
      </c>
      <c r="AD116" s="35">
        <v>34685.515692628243</v>
      </c>
      <c r="AE116" s="35">
        <v>56760.148056515289</v>
      </c>
      <c r="AF116" s="35">
        <v>31531.44474052752</v>
      </c>
      <c r="AG116" s="35">
        <v>55108.068812727754</v>
      </c>
    </row>
    <row r="117" spans="1:33" x14ac:dyDescent="0.25">
      <c r="A117" s="10" t="s">
        <v>29</v>
      </c>
      <c r="B117" s="11" t="s">
        <v>4</v>
      </c>
      <c r="C117" s="12">
        <v>6437781.2917692112</v>
      </c>
      <c r="D117" s="35">
        <v>212022.58146498026</v>
      </c>
      <c r="E117" s="35">
        <v>202351.4455077571</v>
      </c>
      <c r="F117" s="35">
        <v>227254.37751096365</v>
      </c>
      <c r="G117" s="35">
        <v>254113.65173524042</v>
      </c>
      <c r="H117" s="35">
        <v>262035.99505912504</v>
      </c>
      <c r="I117" s="35">
        <v>217193.07990187826</v>
      </c>
      <c r="J117" s="35">
        <v>212026.3979903314</v>
      </c>
      <c r="K117" s="35">
        <v>199820.75091702619</v>
      </c>
      <c r="L117" s="35">
        <v>190113.86973032114</v>
      </c>
      <c r="M117" s="35">
        <v>202869.73832436238</v>
      </c>
      <c r="N117" s="35">
        <v>241485.41121850957</v>
      </c>
      <c r="O117" s="35">
        <v>235790.1665675944</v>
      </c>
      <c r="P117" s="35">
        <v>183586.83072696871</v>
      </c>
      <c r="Q117" s="35">
        <v>192628.63900163234</v>
      </c>
      <c r="R117" s="35">
        <v>201465.03147319239</v>
      </c>
      <c r="S117" s="35">
        <v>202520.29205885978</v>
      </c>
      <c r="T117" s="35">
        <v>219400.07242538422</v>
      </c>
      <c r="U117" s="35">
        <v>224003.36580373364</v>
      </c>
      <c r="V117" s="35">
        <v>231161.05959959724</v>
      </c>
      <c r="W117" s="35">
        <v>211837.57539858404</v>
      </c>
      <c r="X117" s="35">
        <v>216556.50949507282</v>
      </c>
      <c r="Y117" s="35">
        <v>214879.00782050926</v>
      </c>
      <c r="Z117" s="35">
        <v>197848.01498478861</v>
      </c>
      <c r="AA117" s="35">
        <v>193197.57884443141</v>
      </c>
      <c r="AB117" s="35">
        <v>213429.70834017973</v>
      </c>
      <c r="AC117" s="35">
        <v>219306.61959780892</v>
      </c>
      <c r="AD117" s="35">
        <v>192131.61463993834</v>
      </c>
      <c r="AE117" s="35">
        <v>246707.29396490785</v>
      </c>
      <c r="AF117" s="35">
        <v>209901.72097951241</v>
      </c>
      <c r="AG117" s="35">
        <v>210142.89068601909</v>
      </c>
    </row>
    <row r="118" spans="1:33" ht="15.75" thickBot="1" x14ac:dyDescent="0.3">
      <c r="A118" s="13" t="s">
        <v>29</v>
      </c>
      <c r="B118" s="14" t="s">
        <v>5</v>
      </c>
      <c r="C118" s="15">
        <v>977121.80431463651</v>
      </c>
      <c r="D118" s="36">
        <v>26772.74664312703</v>
      </c>
      <c r="E118" s="36">
        <v>32276.120946407627</v>
      </c>
      <c r="F118" s="36">
        <v>43975.941514938459</v>
      </c>
      <c r="G118" s="36">
        <v>29407.942709365037</v>
      </c>
      <c r="H118" s="36">
        <v>34493.587616172328</v>
      </c>
      <c r="I118" s="36">
        <v>47676.74921599037</v>
      </c>
      <c r="J118" s="36">
        <v>27314.421100034222</v>
      </c>
      <c r="K118" s="36">
        <v>34144.977930243505</v>
      </c>
      <c r="L118" s="36">
        <v>29395.318675431958</v>
      </c>
      <c r="M118" s="36">
        <v>31785.40849867223</v>
      </c>
      <c r="N118" s="36">
        <v>37930.222351508492</v>
      </c>
      <c r="O118" s="36">
        <v>36297.279132315838</v>
      </c>
      <c r="P118" s="36">
        <v>30142.022896775252</v>
      </c>
      <c r="Q118" s="36">
        <v>29041.277586964872</v>
      </c>
      <c r="R118" s="36">
        <v>33588.452337107206</v>
      </c>
      <c r="S118" s="36">
        <v>19874.547262059394</v>
      </c>
      <c r="T118" s="36">
        <v>26759.702186821738</v>
      </c>
      <c r="U118" s="36">
        <v>35244.927846376733</v>
      </c>
      <c r="V118" s="36">
        <v>30442.715795039087</v>
      </c>
      <c r="W118" s="36">
        <v>43124.881643152847</v>
      </c>
      <c r="X118" s="36">
        <v>27294.82032727584</v>
      </c>
      <c r="Y118" s="36">
        <v>36163.812073289766</v>
      </c>
      <c r="Z118" s="36">
        <v>34606.919852399638</v>
      </c>
      <c r="AA118" s="36">
        <v>29459.313778142227</v>
      </c>
      <c r="AB118" s="36">
        <v>27782.248935401283</v>
      </c>
      <c r="AC118" s="36">
        <v>36685.442609532736</v>
      </c>
      <c r="AD118" s="36">
        <v>21868.32650427537</v>
      </c>
      <c r="AE118" s="36">
        <v>40772.982079182671</v>
      </c>
      <c r="AF118" s="36">
        <v>36297.801819589396</v>
      </c>
      <c r="AG118" s="36">
        <v>26500.892447043359</v>
      </c>
    </row>
    <row r="119" spans="1:33" x14ac:dyDescent="0.25">
      <c r="A119" s="8" t="s">
        <v>31</v>
      </c>
      <c r="B119" s="8" t="s">
        <v>2</v>
      </c>
      <c r="C119" s="9">
        <v>3522587.8684039554</v>
      </c>
      <c r="D119" s="34">
        <v>115757.44139608843</v>
      </c>
      <c r="E119" s="34">
        <v>126977.58093844187</v>
      </c>
      <c r="F119" s="34">
        <v>117566.71131374911</v>
      </c>
      <c r="G119" s="34">
        <v>128946.99550390663</v>
      </c>
      <c r="H119" s="34">
        <v>123047.05847591339</v>
      </c>
      <c r="I119" s="34">
        <v>119614.81238356142</v>
      </c>
      <c r="J119" s="34">
        <v>133317.08673084146</v>
      </c>
      <c r="K119" s="34">
        <v>111832.51995425941</v>
      </c>
      <c r="L119" s="34">
        <v>129821.10943683427</v>
      </c>
      <c r="M119" s="34">
        <v>108984.17408312992</v>
      </c>
      <c r="N119" s="34">
        <v>133651.50643655003</v>
      </c>
      <c r="O119" s="34">
        <v>109109.07107047936</v>
      </c>
      <c r="P119" s="34">
        <v>115702.09110316756</v>
      </c>
      <c r="Q119" s="34">
        <v>91837.255507840702</v>
      </c>
      <c r="R119" s="34">
        <v>115129.04646845534</v>
      </c>
      <c r="S119" s="34">
        <v>114685.16351579303</v>
      </c>
      <c r="T119" s="34">
        <v>111055.09993096191</v>
      </c>
      <c r="U119" s="34">
        <v>199263.03425730427</v>
      </c>
      <c r="V119" s="34">
        <v>105961.53665624412</v>
      </c>
      <c r="W119" s="34">
        <v>106472.12042389275</v>
      </c>
      <c r="X119" s="34">
        <v>95584.544578915957</v>
      </c>
      <c r="Y119" s="34">
        <v>96027.379917986487</v>
      </c>
      <c r="Z119" s="34">
        <v>115402.65509228424</v>
      </c>
      <c r="AA119" s="34">
        <v>112514.47515788877</v>
      </c>
      <c r="AB119" s="34">
        <v>131509.35111340182</v>
      </c>
      <c r="AC119" s="34">
        <v>115106.22169043566</v>
      </c>
      <c r="AD119" s="34">
        <v>109197.44181385655</v>
      </c>
      <c r="AE119" s="34">
        <v>102804.22858462228</v>
      </c>
      <c r="AF119" s="34">
        <v>115660.17831056983</v>
      </c>
      <c r="AG119" s="34">
        <v>110049.97655657839</v>
      </c>
    </row>
    <row r="120" spans="1:33" x14ac:dyDescent="0.25">
      <c r="A120" s="10" t="s">
        <v>31</v>
      </c>
      <c r="B120" s="11" t="s">
        <v>3</v>
      </c>
      <c r="C120" s="12">
        <v>5741114.6815683395</v>
      </c>
      <c r="D120" s="35">
        <v>195621.11777652684</v>
      </c>
      <c r="E120" s="35">
        <v>169496.80630294114</v>
      </c>
      <c r="F120" s="35">
        <v>199494.49801736182</v>
      </c>
      <c r="G120" s="35">
        <v>184030.49405773898</v>
      </c>
      <c r="H120" s="35">
        <v>232519.73966062252</v>
      </c>
      <c r="I120" s="35">
        <v>222516.91197641718</v>
      </c>
      <c r="J120" s="35">
        <v>173098.47664727969</v>
      </c>
      <c r="K120" s="35">
        <v>154428.75956104809</v>
      </c>
      <c r="L120" s="35">
        <v>170013.337542216</v>
      </c>
      <c r="M120" s="35">
        <v>163541.30184414223</v>
      </c>
      <c r="N120" s="35">
        <v>203829.08960416657</v>
      </c>
      <c r="O120" s="35">
        <v>221731.50336284991</v>
      </c>
      <c r="P120" s="35">
        <v>184529.36896984564</v>
      </c>
      <c r="Q120" s="35">
        <v>177750.94742621819</v>
      </c>
      <c r="R120" s="35">
        <v>139984.2431969048</v>
      </c>
      <c r="S120" s="35">
        <v>180676.94286301007</v>
      </c>
      <c r="T120" s="35">
        <v>173796.13421273857</v>
      </c>
      <c r="U120" s="35">
        <v>172176.99268748288</v>
      </c>
      <c r="V120" s="35">
        <v>216727.56310685055</v>
      </c>
      <c r="W120" s="35">
        <v>206357.67482912971</v>
      </c>
      <c r="X120" s="35">
        <v>155688.40749014606</v>
      </c>
      <c r="Y120" s="35">
        <v>184417.7904510927</v>
      </c>
      <c r="Z120" s="35">
        <v>179775.16411531874</v>
      </c>
      <c r="AA120" s="35">
        <v>180843.19640690071</v>
      </c>
      <c r="AB120" s="35">
        <v>203028.33476079055</v>
      </c>
      <c r="AC120" s="35">
        <v>287986.44251001975</v>
      </c>
      <c r="AD120" s="35">
        <v>186483.84194219843</v>
      </c>
      <c r="AE120" s="35">
        <v>258999.81429046023</v>
      </c>
      <c r="AF120" s="35">
        <v>196074.67233336854</v>
      </c>
      <c r="AG120" s="35">
        <v>165495.11362255114</v>
      </c>
    </row>
    <row r="121" spans="1:33" x14ac:dyDescent="0.25">
      <c r="A121" s="10" t="s">
        <v>31</v>
      </c>
      <c r="B121" s="11" t="s">
        <v>4</v>
      </c>
      <c r="C121" s="12">
        <v>2619215.0098693389</v>
      </c>
      <c r="D121" s="35">
        <v>98293.79047579458</v>
      </c>
      <c r="E121" s="35">
        <v>83980.419600059991</v>
      </c>
      <c r="F121" s="35">
        <v>87736.818730786385</v>
      </c>
      <c r="G121" s="35">
        <v>87344.736563594313</v>
      </c>
      <c r="H121" s="35">
        <v>101789.00891895445</v>
      </c>
      <c r="I121" s="35">
        <v>98458.559856944223</v>
      </c>
      <c r="J121" s="35">
        <v>75172.194507661843</v>
      </c>
      <c r="K121" s="35">
        <v>88811.798166570574</v>
      </c>
      <c r="L121" s="35">
        <v>87803.28958811496</v>
      </c>
      <c r="M121" s="35">
        <v>80705.556741484877</v>
      </c>
      <c r="N121" s="35">
        <v>89473.54839906047</v>
      </c>
      <c r="O121" s="35">
        <v>86634.775577308406</v>
      </c>
      <c r="P121" s="35">
        <v>90153.120084551134</v>
      </c>
      <c r="Q121" s="35">
        <v>82590.111638971415</v>
      </c>
      <c r="R121" s="35">
        <v>77660.414146289462</v>
      </c>
      <c r="S121" s="35">
        <v>85994.468215000306</v>
      </c>
      <c r="T121" s="35">
        <v>85692.391016225985</v>
      </c>
      <c r="U121" s="35">
        <v>96630.417458080599</v>
      </c>
      <c r="V121" s="35">
        <v>83579.870457486919</v>
      </c>
      <c r="W121" s="35">
        <v>85674.283930320787</v>
      </c>
      <c r="X121" s="35">
        <v>81963.055603193367</v>
      </c>
      <c r="Y121" s="35">
        <v>73144.74154856411</v>
      </c>
      <c r="Z121" s="35">
        <v>83837.399124346892</v>
      </c>
      <c r="AA121" s="35">
        <v>80058.037148340183</v>
      </c>
      <c r="AB121" s="35">
        <v>90546.814037418153</v>
      </c>
      <c r="AC121" s="35">
        <v>97272.520227216475</v>
      </c>
      <c r="AD121" s="35">
        <v>89919.196937006418</v>
      </c>
      <c r="AE121" s="35">
        <v>97983.348313390801</v>
      </c>
      <c r="AF121" s="35">
        <v>88801.892825492294</v>
      </c>
      <c r="AG121" s="35">
        <v>81508.430031108524</v>
      </c>
    </row>
    <row r="122" spans="1:33" ht="15.75" thickBot="1" x14ac:dyDescent="0.3">
      <c r="A122" s="13" t="s">
        <v>31</v>
      </c>
      <c r="B122" s="14" t="s">
        <v>5</v>
      </c>
      <c r="C122" s="15">
        <v>8850050.7215821166</v>
      </c>
      <c r="D122" s="36">
        <v>310100.82892280672</v>
      </c>
      <c r="E122" s="36">
        <v>245709.06447701814</v>
      </c>
      <c r="F122" s="36">
        <v>294524.8011416028</v>
      </c>
      <c r="G122" s="36">
        <v>286560.41684098513</v>
      </c>
      <c r="H122" s="36">
        <v>309659.80669254536</v>
      </c>
      <c r="I122" s="36">
        <v>318006.46681639884</v>
      </c>
      <c r="J122" s="36">
        <v>259595.99968081873</v>
      </c>
      <c r="K122" s="36">
        <v>287175.80666345527</v>
      </c>
      <c r="L122" s="36">
        <v>301159.84792013717</v>
      </c>
      <c r="M122" s="36">
        <v>252587.96525595203</v>
      </c>
      <c r="N122" s="36">
        <v>295808.85224183433</v>
      </c>
      <c r="O122" s="36">
        <v>309682.76475692558</v>
      </c>
      <c r="P122" s="36">
        <v>269052.75437137153</v>
      </c>
      <c r="Q122" s="36">
        <v>243732.99172189771</v>
      </c>
      <c r="R122" s="36">
        <v>267354.37361706473</v>
      </c>
      <c r="S122" s="36">
        <v>295667.44805711089</v>
      </c>
      <c r="T122" s="36">
        <v>251027.69147102718</v>
      </c>
      <c r="U122" s="36">
        <v>316598.51213594852</v>
      </c>
      <c r="V122" s="36">
        <v>330949.44512624922</v>
      </c>
      <c r="W122" s="36">
        <v>331535.29119958548</v>
      </c>
      <c r="X122" s="36">
        <v>295997.6068877214</v>
      </c>
      <c r="Y122" s="36">
        <v>283203.63297514553</v>
      </c>
      <c r="Z122" s="36">
        <v>298961.4186588063</v>
      </c>
      <c r="AA122" s="36">
        <v>331338.30663423869</v>
      </c>
      <c r="AB122" s="36">
        <v>287883.19491610263</v>
      </c>
      <c r="AC122" s="36">
        <v>337751.23304665351</v>
      </c>
      <c r="AD122" s="36">
        <v>345238.27327267796</v>
      </c>
      <c r="AE122" s="36">
        <v>340769.3482926857</v>
      </c>
      <c r="AF122" s="36">
        <v>291416.56784019014</v>
      </c>
      <c r="AG122" s="36">
        <v>261000.00994716035</v>
      </c>
    </row>
    <row r="123" spans="1:33" x14ac:dyDescent="0.25">
      <c r="A123" s="8" t="s">
        <v>33</v>
      </c>
      <c r="B123" s="8" t="s">
        <v>2</v>
      </c>
      <c r="C123" s="9">
        <v>1977343.7090922976</v>
      </c>
      <c r="D123" s="34">
        <v>61545.037913572582</v>
      </c>
      <c r="E123" s="34">
        <v>62931.734114171122</v>
      </c>
      <c r="F123" s="34">
        <v>63556.057243273412</v>
      </c>
      <c r="G123" s="34">
        <v>65962.610638811529</v>
      </c>
      <c r="H123" s="34">
        <v>63728.125878871375</v>
      </c>
      <c r="I123" s="34">
        <v>86691.28632741468</v>
      </c>
      <c r="J123" s="34">
        <v>66212.3381950279</v>
      </c>
      <c r="K123" s="34">
        <v>58563.710170835322</v>
      </c>
      <c r="L123" s="34">
        <v>63978.158611503241</v>
      </c>
      <c r="M123" s="34">
        <v>58197.625629092414</v>
      </c>
      <c r="N123" s="34">
        <v>64562.986826168104</v>
      </c>
      <c r="O123" s="34">
        <v>66432.53145592341</v>
      </c>
      <c r="P123" s="34">
        <v>85949.673729294082</v>
      </c>
      <c r="Q123" s="34">
        <v>57448.197123886326</v>
      </c>
      <c r="R123" s="34">
        <v>63526.760307386794</v>
      </c>
      <c r="S123" s="34">
        <v>54537.18711355055</v>
      </c>
      <c r="T123" s="34">
        <v>58062.881764532867</v>
      </c>
      <c r="U123" s="34">
        <v>63930.907129838888</v>
      </c>
      <c r="V123" s="34">
        <v>53914.101644355505</v>
      </c>
      <c r="W123" s="34">
        <v>83971.198073455729</v>
      </c>
      <c r="X123" s="34">
        <v>68254.866989627626</v>
      </c>
      <c r="Y123" s="34">
        <v>61477.263317966826</v>
      </c>
      <c r="Z123" s="34">
        <v>53426.565366371979</v>
      </c>
      <c r="AA123" s="34">
        <v>56260.857416703744</v>
      </c>
      <c r="AB123" s="34">
        <v>60302.952948300939</v>
      </c>
      <c r="AC123" s="34">
        <v>64679.682896600738</v>
      </c>
      <c r="AD123" s="34">
        <v>90457.900804177552</v>
      </c>
      <c r="AE123" s="34">
        <v>68420.377774004446</v>
      </c>
      <c r="AF123" s="34">
        <v>88053.449735057235</v>
      </c>
      <c r="AG123" s="34">
        <v>62306.681952520732</v>
      </c>
    </row>
    <row r="124" spans="1:33" x14ac:dyDescent="0.25">
      <c r="A124" s="10" t="s">
        <v>33</v>
      </c>
      <c r="B124" s="11" t="s">
        <v>3</v>
      </c>
      <c r="C124" s="12">
        <v>2394513.4516168288</v>
      </c>
      <c r="D124" s="35">
        <v>76410.75005002688</v>
      </c>
      <c r="E124" s="35">
        <v>88049.756717601049</v>
      </c>
      <c r="F124" s="35">
        <v>101705.23156550886</v>
      </c>
      <c r="G124" s="35">
        <v>107263.37262892055</v>
      </c>
      <c r="H124" s="35">
        <v>107484.36783018515</v>
      </c>
      <c r="I124" s="35">
        <v>95142.170572190167</v>
      </c>
      <c r="J124" s="35">
        <v>67974.80036500594</v>
      </c>
      <c r="K124" s="35">
        <v>64751.056539131983</v>
      </c>
      <c r="L124" s="35">
        <v>67535.693324556094</v>
      </c>
      <c r="M124" s="35">
        <v>76275.820647633533</v>
      </c>
      <c r="N124" s="35">
        <v>76282.116272528656</v>
      </c>
      <c r="O124" s="35">
        <v>78370.523483676167</v>
      </c>
      <c r="P124" s="35">
        <v>79802.206593296869</v>
      </c>
      <c r="Q124" s="35">
        <v>57915.952892824498</v>
      </c>
      <c r="R124" s="35">
        <v>58543.681291074128</v>
      </c>
      <c r="S124" s="35">
        <v>52194.475339077995</v>
      </c>
      <c r="T124" s="35">
        <v>83380.467464417248</v>
      </c>
      <c r="U124" s="35">
        <v>70739.219493246492</v>
      </c>
      <c r="V124" s="35">
        <v>64308.699318350096</v>
      </c>
      <c r="W124" s="35">
        <v>92870.456602578459</v>
      </c>
      <c r="X124" s="35">
        <v>55873.312656693764</v>
      </c>
      <c r="Y124" s="35">
        <v>79288.31128258197</v>
      </c>
      <c r="Z124" s="35">
        <v>70838.780791554193</v>
      </c>
      <c r="AA124" s="35">
        <v>64995.877865507828</v>
      </c>
      <c r="AB124" s="35">
        <v>80332.59166406907</v>
      </c>
      <c r="AC124" s="35">
        <v>94277.170479044624</v>
      </c>
      <c r="AD124" s="35">
        <v>128167.70505086437</v>
      </c>
      <c r="AE124" s="35">
        <v>93979.459079024047</v>
      </c>
      <c r="AF124" s="35">
        <v>93896.071906463199</v>
      </c>
      <c r="AG124" s="35">
        <v>65863.351849194805</v>
      </c>
    </row>
    <row r="125" spans="1:33" x14ac:dyDescent="0.25">
      <c r="A125" s="10" t="s">
        <v>33</v>
      </c>
      <c r="B125" s="11" t="s">
        <v>4</v>
      </c>
      <c r="C125" s="12">
        <v>2148247.9797958964</v>
      </c>
      <c r="D125" s="35">
        <v>64040.535727677547</v>
      </c>
      <c r="E125" s="35">
        <v>66868.564614914096</v>
      </c>
      <c r="F125" s="35">
        <v>72802.117229011565</v>
      </c>
      <c r="G125" s="35">
        <v>75456.875220319183</v>
      </c>
      <c r="H125" s="35">
        <v>83773.267023506167</v>
      </c>
      <c r="I125" s="35">
        <v>82332.514869323277</v>
      </c>
      <c r="J125" s="35">
        <v>59357.341329478404</v>
      </c>
      <c r="K125" s="35">
        <v>53843.655869286544</v>
      </c>
      <c r="L125" s="35">
        <v>70717.93925425403</v>
      </c>
      <c r="M125" s="35">
        <v>69364.02471465322</v>
      </c>
      <c r="N125" s="35">
        <v>72571.064292843686</v>
      </c>
      <c r="O125" s="35">
        <v>75732.451827851022</v>
      </c>
      <c r="P125" s="35">
        <v>79526.235348900853</v>
      </c>
      <c r="Q125" s="35">
        <v>62618.759026253378</v>
      </c>
      <c r="R125" s="35">
        <v>67869.214147234583</v>
      </c>
      <c r="S125" s="35">
        <v>70862.681149355471</v>
      </c>
      <c r="T125" s="35">
        <v>66924.014686726805</v>
      </c>
      <c r="U125" s="35">
        <v>67218.848839972154</v>
      </c>
      <c r="V125" s="35">
        <v>75251.55856472638</v>
      </c>
      <c r="W125" s="35">
        <v>90773.808029791646</v>
      </c>
      <c r="X125" s="35">
        <v>65170.590701457542</v>
      </c>
      <c r="Y125" s="35">
        <v>69511.390074234179</v>
      </c>
      <c r="Z125" s="35">
        <v>63414.618476496689</v>
      </c>
      <c r="AA125" s="35">
        <v>60445.731173836284</v>
      </c>
      <c r="AB125" s="35">
        <v>66671.09954656288</v>
      </c>
      <c r="AC125" s="35">
        <v>71098.990417580906</v>
      </c>
      <c r="AD125" s="35">
        <v>89401.538641932668</v>
      </c>
      <c r="AE125" s="35">
        <v>78306.437203104491</v>
      </c>
      <c r="AF125" s="35">
        <v>88824.414068831538</v>
      </c>
      <c r="AG125" s="35">
        <v>67497.697725779522</v>
      </c>
    </row>
    <row r="126" spans="1:33" ht="15.75" thickBot="1" x14ac:dyDescent="0.3">
      <c r="A126" s="13" t="s">
        <v>33</v>
      </c>
      <c r="B126" s="14" t="s">
        <v>5</v>
      </c>
      <c r="C126" s="15">
        <v>4267561.9334498104</v>
      </c>
      <c r="D126" s="36">
        <v>132774.87110869473</v>
      </c>
      <c r="E126" s="36">
        <v>143380.16100582926</v>
      </c>
      <c r="F126" s="36">
        <v>146703.93633778431</v>
      </c>
      <c r="G126" s="36">
        <v>151498.06810904338</v>
      </c>
      <c r="H126" s="36">
        <v>142435.38165245028</v>
      </c>
      <c r="I126" s="36">
        <v>165322.73788955883</v>
      </c>
      <c r="J126" s="36">
        <v>132085.64798519338</v>
      </c>
      <c r="K126" s="36">
        <v>127577.43728310968</v>
      </c>
      <c r="L126" s="36">
        <v>128110.4098170012</v>
      </c>
      <c r="M126" s="36">
        <v>149342.70830184245</v>
      </c>
      <c r="N126" s="36">
        <v>136136.24359303241</v>
      </c>
      <c r="O126" s="36">
        <v>135476.14548372856</v>
      </c>
      <c r="P126" s="36">
        <v>142709.8724042539</v>
      </c>
      <c r="Q126" s="36">
        <v>120216.94368391154</v>
      </c>
      <c r="R126" s="36">
        <v>111793.40881782307</v>
      </c>
      <c r="S126" s="36">
        <v>127564.78889195522</v>
      </c>
      <c r="T126" s="36">
        <v>131234.77994533017</v>
      </c>
      <c r="U126" s="36">
        <v>129599.45063807939</v>
      </c>
      <c r="V126" s="36">
        <v>135298.1327009114</v>
      </c>
      <c r="W126" s="36">
        <v>174185.47535958712</v>
      </c>
      <c r="X126" s="36">
        <v>135241.99255031868</v>
      </c>
      <c r="Y126" s="36">
        <v>147149.0009218035</v>
      </c>
      <c r="Z126" s="36">
        <v>147217.62632866905</v>
      </c>
      <c r="AA126" s="36">
        <v>114334.9088898042</v>
      </c>
      <c r="AB126" s="36">
        <v>126392.64301624151</v>
      </c>
      <c r="AC126" s="36">
        <v>147688.12907856124</v>
      </c>
      <c r="AD126" s="36">
        <v>200133.731380418</v>
      </c>
      <c r="AE126" s="36">
        <v>145403.17492140617</v>
      </c>
      <c r="AF126" s="36">
        <v>198900.35554580519</v>
      </c>
      <c r="AG126" s="36">
        <v>141653.76980766156</v>
      </c>
    </row>
    <row r="127" spans="1:33" x14ac:dyDescent="0.25">
      <c r="A127" s="8" t="s">
        <v>32</v>
      </c>
      <c r="B127" s="8" t="s">
        <v>2</v>
      </c>
      <c r="C127" s="9">
        <v>867213.27549162018</v>
      </c>
      <c r="D127" s="34">
        <v>27854.506915373873</v>
      </c>
      <c r="E127" s="34">
        <v>33862.912479187144</v>
      </c>
      <c r="F127" s="34">
        <v>29719.507067794111</v>
      </c>
      <c r="G127" s="34">
        <v>34138.025215667381</v>
      </c>
      <c r="H127" s="34">
        <v>30603.402532685031</v>
      </c>
      <c r="I127" s="34">
        <v>22577.278810467935</v>
      </c>
      <c r="J127" s="34">
        <v>30341.642293960715</v>
      </c>
      <c r="K127" s="34">
        <v>30436.895176245111</v>
      </c>
      <c r="L127" s="34">
        <v>32091.883141343591</v>
      </c>
      <c r="M127" s="34">
        <v>31010.321326316334</v>
      </c>
      <c r="N127" s="34">
        <v>33781.923787250824</v>
      </c>
      <c r="O127" s="34">
        <v>28039.039194104502</v>
      </c>
      <c r="P127" s="34">
        <v>17819.848438259334</v>
      </c>
      <c r="Q127" s="34">
        <v>28975.214531076737</v>
      </c>
      <c r="R127" s="34">
        <v>29989.1971327106</v>
      </c>
      <c r="S127" s="34">
        <v>30837.194701785465</v>
      </c>
      <c r="T127" s="34">
        <v>33856.57811503124</v>
      </c>
      <c r="U127" s="34">
        <v>31703.445116299077</v>
      </c>
      <c r="V127" s="34">
        <v>27452.602430999421</v>
      </c>
      <c r="W127" s="34">
        <v>17277.647759469382</v>
      </c>
      <c r="X127" s="34">
        <v>31462.739278374804</v>
      </c>
      <c r="Y127" s="34">
        <v>26554.803654078154</v>
      </c>
      <c r="Z127" s="34">
        <v>36750.831720003909</v>
      </c>
      <c r="AA127" s="34">
        <v>29365.950781197309</v>
      </c>
      <c r="AB127" s="34">
        <v>32178.199536865315</v>
      </c>
      <c r="AC127" s="34">
        <v>28495.284355690455</v>
      </c>
      <c r="AD127" s="34">
        <v>19388.21611030537</v>
      </c>
      <c r="AE127" s="34">
        <v>31771.593776684251</v>
      </c>
      <c r="AF127" s="34">
        <v>19376.240648235515</v>
      </c>
      <c r="AG127" s="34">
        <v>29500.349464157312</v>
      </c>
    </row>
    <row r="128" spans="1:33" x14ac:dyDescent="0.25">
      <c r="A128" s="10" t="s">
        <v>32</v>
      </c>
      <c r="B128" s="11" t="s">
        <v>3</v>
      </c>
      <c r="C128" s="12">
        <v>1011650.9654219599</v>
      </c>
      <c r="D128" s="35">
        <v>30497.668586325864</v>
      </c>
      <c r="E128" s="35">
        <v>30875.888884622407</v>
      </c>
      <c r="F128" s="35">
        <v>35994.943246491363</v>
      </c>
      <c r="G128" s="35">
        <v>38044.860759998533</v>
      </c>
      <c r="H128" s="35">
        <v>45159.408779705976</v>
      </c>
      <c r="I128" s="35">
        <v>19260.166808213671</v>
      </c>
      <c r="J128" s="35">
        <v>44213.097549379403</v>
      </c>
      <c r="K128" s="35">
        <v>24147.792290486734</v>
      </c>
      <c r="L128" s="35">
        <v>30010.251648470508</v>
      </c>
      <c r="M128" s="35">
        <v>29185.501642370538</v>
      </c>
      <c r="N128" s="35">
        <v>36507.751422615285</v>
      </c>
      <c r="O128" s="35">
        <v>36595.063999874976</v>
      </c>
      <c r="P128" s="35">
        <v>16913.964500308328</v>
      </c>
      <c r="Q128" s="35">
        <v>33297.683360297713</v>
      </c>
      <c r="R128" s="35">
        <v>25873.662848796797</v>
      </c>
      <c r="S128" s="35">
        <v>31059.45196973738</v>
      </c>
      <c r="T128" s="35">
        <v>31346.423064686085</v>
      </c>
      <c r="U128" s="35">
        <v>37983.476233655798</v>
      </c>
      <c r="V128" s="35">
        <v>41278.700675762055</v>
      </c>
      <c r="W128" s="35">
        <v>28196.012781358935</v>
      </c>
      <c r="X128" s="35">
        <v>40182.04611637802</v>
      </c>
      <c r="Y128" s="35">
        <v>35565.761534108213</v>
      </c>
      <c r="Z128" s="35">
        <v>29796.993877022422</v>
      </c>
      <c r="AA128" s="35">
        <v>30303.932901524018</v>
      </c>
      <c r="AB128" s="35">
        <v>39974.084896394001</v>
      </c>
      <c r="AC128" s="35">
        <v>51158.31696603154</v>
      </c>
      <c r="AD128" s="35">
        <v>20869.522181191951</v>
      </c>
      <c r="AE128" s="35">
        <v>61750.337321971652</v>
      </c>
      <c r="AF128" s="35">
        <v>21720.701263347368</v>
      </c>
      <c r="AG128" s="35">
        <v>33887.497310832354</v>
      </c>
    </row>
    <row r="129" spans="1:33" x14ac:dyDescent="0.25">
      <c r="A129" s="10" t="s">
        <v>32</v>
      </c>
      <c r="B129" s="11" t="s">
        <v>4</v>
      </c>
      <c r="C129" s="12">
        <v>1647344.5207441095</v>
      </c>
      <c r="D129" s="35">
        <v>58710.935576748634</v>
      </c>
      <c r="E129" s="35">
        <v>56883.238576174124</v>
      </c>
      <c r="F129" s="35">
        <v>55177.573334833687</v>
      </c>
      <c r="G129" s="35">
        <v>66673.905770600555</v>
      </c>
      <c r="H129" s="35">
        <v>53970.930964619809</v>
      </c>
      <c r="I129" s="35">
        <v>41655.399669609411</v>
      </c>
      <c r="J129" s="35">
        <v>58927.355667049487</v>
      </c>
      <c r="K129" s="35">
        <v>56191.986583824641</v>
      </c>
      <c r="L129" s="35">
        <v>53554.117795937484</v>
      </c>
      <c r="M129" s="35">
        <v>60655.058049779087</v>
      </c>
      <c r="N129" s="35">
        <v>60116.173529441934</v>
      </c>
      <c r="O129" s="35">
        <v>56202.636945006248</v>
      </c>
      <c r="P129" s="35">
        <v>31125.700349473016</v>
      </c>
      <c r="Q129" s="35">
        <v>57771.122366933858</v>
      </c>
      <c r="R129" s="35">
        <v>56821.886160980706</v>
      </c>
      <c r="S129" s="35">
        <v>48459.143376337044</v>
      </c>
      <c r="T129" s="35">
        <v>61191.361144283364</v>
      </c>
      <c r="U129" s="35">
        <v>64625.774008261193</v>
      </c>
      <c r="V129" s="35">
        <v>54196.639436828489</v>
      </c>
      <c r="W129" s="35">
        <v>40830.048148181413</v>
      </c>
      <c r="X129" s="35">
        <v>67718.78142811617</v>
      </c>
      <c r="Y129" s="35">
        <v>65215.012169307527</v>
      </c>
      <c r="Z129" s="35">
        <v>49721.025091980606</v>
      </c>
      <c r="AA129" s="35">
        <v>60433.997727766393</v>
      </c>
      <c r="AB129" s="35">
        <v>64444.44072122853</v>
      </c>
      <c r="AC129" s="35">
        <v>57044.371810140387</v>
      </c>
      <c r="AD129" s="35">
        <v>34398.10894622808</v>
      </c>
      <c r="AE129" s="35">
        <v>54781.950029736487</v>
      </c>
      <c r="AF129" s="35">
        <v>37463.084932192418</v>
      </c>
      <c r="AG129" s="35">
        <v>62382.760432508687</v>
      </c>
    </row>
    <row r="130" spans="1:33" ht="15.75" thickBot="1" x14ac:dyDescent="0.3">
      <c r="A130" s="13" t="s">
        <v>32</v>
      </c>
      <c r="B130" s="14" t="s">
        <v>5</v>
      </c>
      <c r="C130" s="15">
        <v>1532195.8190734221</v>
      </c>
      <c r="D130" s="36">
        <v>46978.11409045507</v>
      </c>
      <c r="E130" s="36">
        <v>42307.788955818258</v>
      </c>
      <c r="F130" s="36">
        <v>40284.518909280931</v>
      </c>
      <c r="G130" s="36">
        <v>47004.867726821722</v>
      </c>
      <c r="H130" s="36">
        <v>53772.924909247464</v>
      </c>
      <c r="I130" s="36">
        <v>49724.116473670605</v>
      </c>
      <c r="J130" s="36">
        <v>44629.492386072205</v>
      </c>
      <c r="K130" s="36">
        <v>50919.82566168419</v>
      </c>
      <c r="L130" s="36">
        <v>46049.56625787176</v>
      </c>
      <c r="M130" s="36">
        <v>48644.367149539561</v>
      </c>
      <c r="N130" s="36">
        <v>61364.481885394627</v>
      </c>
      <c r="O130" s="36">
        <v>50185.312578462304</v>
      </c>
      <c r="P130" s="36">
        <v>37126.446500222519</v>
      </c>
      <c r="Q130" s="36">
        <v>48432.853357751927</v>
      </c>
      <c r="R130" s="36">
        <v>55490.87422568044</v>
      </c>
      <c r="S130" s="36">
        <v>43217.311980318613</v>
      </c>
      <c r="T130" s="36">
        <v>51734.590507463683</v>
      </c>
      <c r="U130" s="36">
        <v>53610.006696952485</v>
      </c>
      <c r="V130" s="36">
        <v>58982.621646120679</v>
      </c>
      <c r="W130" s="36">
        <v>45465.019882980698</v>
      </c>
      <c r="X130" s="36">
        <v>51453.5081145804</v>
      </c>
      <c r="Y130" s="36">
        <v>55402.436307721749</v>
      </c>
      <c r="Z130" s="36">
        <v>46281.129270485275</v>
      </c>
      <c r="AA130" s="36">
        <v>58064.546604525349</v>
      </c>
      <c r="AB130" s="36">
        <v>65094.377828938625</v>
      </c>
      <c r="AC130" s="36">
        <v>62270.392025667687</v>
      </c>
      <c r="AD130" s="36">
        <v>40102.795405919343</v>
      </c>
      <c r="AE130" s="36">
        <v>91615.262132472213</v>
      </c>
      <c r="AF130" s="36">
        <v>42589.31038273422</v>
      </c>
      <c r="AG130" s="36">
        <v>43396.959218567303</v>
      </c>
    </row>
    <row r="131" spans="1:33" x14ac:dyDescent="0.25">
      <c r="A131" s="8" t="s">
        <v>34</v>
      </c>
      <c r="B131" s="8" t="s">
        <v>2</v>
      </c>
      <c r="C131" s="9">
        <v>1314828.3226078229</v>
      </c>
      <c r="D131" s="34">
        <v>28888.687235167617</v>
      </c>
      <c r="E131" s="34">
        <v>37723.928506520773</v>
      </c>
      <c r="F131" s="34">
        <v>38457.237811710613</v>
      </c>
      <c r="G131" s="34">
        <v>42203.884819083622</v>
      </c>
      <c r="H131" s="34">
        <v>49469.351431935625</v>
      </c>
      <c r="I131" s="34">
        <v>61302.956029018838</v>
      </c>
      <c r="J131" s="34">
        <v>33457.771478427458</v>
      </c>
      <c r="K131" s="34">
        <v>36391.215909193081</v>
      </c>
      <c r="L131" s="34">
        <v>37653.50473238976</v>
      </c>
      <c r="M131" s="34">
        <v>36035.781678437685</v>
      </c>
      <c r="N131" s="34">
        <v>43269.068577315935</v>
      </c>
      <c r="O131" s="34">
        <v>47775.768794688054</v>
      </c>
      <c r="P131" s="34">
        <v>55485.286450976972</v>
      </c>
      <c r="Q131" s="34">
        <v>35560.18636504624</v>
      </c>
      <c r="R131" s="34">
        <v>39480.924312687217</v>
      </c>
      <c r="S131" s="34">
        <v>36325.627035208374</v>
      </c>
      <c r="T131" s="34">
        <v>37600.956274799653</v>
      </c>
      <c r="U131" s="34">
        <v>44642.663708880733</v>
      </c>
      <c r="V131" s="34">
        <v>49947.585219406908</v>
      </c>
      <c r="W131" s="34">
        <v>49805.922645120219</v>
      </c>
      <c r="X131" s="34">
        <v>47280.453995699892</v>
      </c>
      <c r="Y131" s="34">
        <v>43310.006367554706</v>
      </c>
      <c r="Z131" s="34">
        <v>47269.181771358803</v>
      </c>
      <c r="AA131" s="34">
        <v>41350.863386271318</v>
      </c>
      <c r="AB131" s="34">
        <v>37248.050006120757</v>
      </c>
      <c r="AC131" s="34">
        <v>54454.713670791978</v>
      </c>
      <c r="AD131" s="34">
        <v>50252.667418638652</v>
      </c>
      <c r="AE131" s="34">
        <v>56055.894659546488</v>
      </c>
      <c r="AF131" s="34">
        <v>56548.425737147409</v>
      </c>
      <c r="AG131" s="34">
        <v>39579.756578677872</v>
      </c>
    </row>
    <row r="132" spans="1:33" x14ac:dyDescent="0.25">
      <c r="A132" s="10" t="s">
        <v>34</v>
      </c>
      <c r="B132" s="11" t="s">
        <v>3</v>
      </c>
      <c r="C132" s="12">
        <v>1111144.5559443901</v>
      </c>
      <c r="D132" s="35">
        <v>17279.520033812438</v>
      </c>
      <c r="E132" s="35">
        <v>29042.309309811084</v>
      </c>
      <c r="F132" s="35">
        <v>27478.245465180251</v>
      </c>
      <c r="G132" s="35">
        <v>55867.818124508944</v>
      </c>
      <c r="H132" s="35">
        <v>55078.54750148848</v>
      </c>
      <c r="I132" s="35">
        <v>32746.207992322688</v>
      </c>
      <c r="J132" s="35">
        <v>29743.530731752937</v>
      </c>
      <c r="K132" s="35">
        <v>21378.77254722844</v>
      </c>
      <c r="L132" s="35">
        <v>53798.092434322672</v>
      </c>
      <c r="M132" s="35">
        <v>40890.854639885678</v>
      </c>
      <c r="N132" s="35">
        <v>44379.740215605023</v>
      </c>
      <c r="O132" s="35">
        <v>45863.528627496242</v>
      </c>
      <c r="P132" s="35">
        <v>47106.207919704982</v>
      </c>
      <c r="Q132" s="35">
        <v>34776.491554063294</v>
      </c>
      <c r="R132" s="35">
        <v>22301.672489916949</v>
      </c>
      <c r="S132" s="35">
        <v>26947.871138759532</v>
      </c>
      <c r="T132" s="35">
        <v>29877.580461704805</v>
      </c>
      <c r="U132" s="35">
        <v>36659.463352353348</v>
      </c>
      <c r="V132" s="35">
        <v>44677.788175363421</v>
      </c>
      <c r="W132" s="35">
        <v>43120.978319084323</v>
      </c>
      <c r="X132" s="35">
        <v>31016.357263223246</v>
      </c>
      <c r="Y132" s="35">
        <v>22326.079217848543</v>
      </c>
      <c r="Z132" s="35">
        <v>39908.753285411964</v>
      </c>
      <c r="AA132" s="35">
        <v>38466.791874849165</v>
      </c>
      <c r="AB132" s="35">
        <v>33815.135536140268</v>
      </c>
      <c r="AC132" s="35">
        <v>36007.942069782373</v>
      </c>
      <c r="AD132" s="35">
        <v>39435.845222877775</v>
      </c>
      <c r="AE132" s="35">
        <v>51057.399574982905</v>
      </c>
      <c r="AF132" s="35">
        <v>52465.628793136646</v>
      </c>
      <c r="AG132" s="35">
        <v>27629.402071771925</v>
      </c>
    </row>
    <row r="133" spans="1:33" x14ac:dyDescent="0.25">
      <c r="A133" s="10" t="s">
        <v>34</v>
      </c>
      <c r="B133" s="11" t="s">
        <v>4</v>
      </c>
      <c r="C133" s="12">
        <v>2049345.8603024641</v>
      </c>
      <c r="D133" s="35">
        <v>54398.205795804664</v>
      </c>
      <c r="E133" s="35">
        <v>72198.255690305101</v>
      </c>
      <c r="F133" s="35">
        <v>61150.750626842673</v>
      </c>
      <c r="G133" s="35">
        <v>68626.293932202025</v>
      </c>
      <c r="H133" s="35">
        <v>88885.765541973058</v>
      </c>
      <c r="I133" s="35">
        <v>65635.710805331866</v>
      </c>
      <c r="J133" s="35">
        <v>67512.175749510003</v>
      </c>
      <c r="K133" s="35">
        <v>56079.240374196197</v>
      </c>
      <c r="L133" s="35">
        <v>67253.360812543964</v>
      </c>
      <c r="M133" s="35">
        <v>64798.64114475235</v>
      </c>
      <c r="N133" s="35">
        <v>66388.305471788452</v>
      </c>
      <c r="O133" s="35">
        <v>77346.860098346777</v>
      </c>
      <c r="P133" s="35">
        <v>68208.337753194093</v>
      </c>
      <c r="Q133" s="35">
        <v>64300.021786359168</v>
      </c>
      <c r="R133" s="35">
        <v>71000.738885804603</v>
      </c>
      <c r="S133" s="35">
        <v>56835.24220414443</v>
      </c>
      <c r="T133" s="35">
        <v>68312.543542073865</v>
      </c>
      <c r="U133" s="35">
        <v>74455.529829104853</v>
      </c>
      <c r="V133" s="35">
        <v>78809.285887578633</v>
      </c>
      <c r="W133" s="35">
        <v>80591.475184454786</v>
      </c>
      <c r="X133" s="35">
        <v>64392.112316932536</v>
      </c>
      <c r="Y133" s="35">
        <v>61097.223360016731</v>
      </c>
      <c r="Z133" s="35">
        <v>52926.73200471139</v>
      </c>
      <c r="AA133" s="35">
        <v>52177.236966799457</v>
      </c>
      <c r="AB133" s="35">
        <v>61174.382259611302</v>
      </c>
      <c r="AC133" s="35">
        <v>87685.877481170784</v>
      </c>
      <c r="AD133" s="35">
        <v>72082.161247816752</v>
      </c>
      <c r="AE133" s="35">
        <v>89121.580102114269</v>
      </c>
      <c r="AF133" s="35">
        <v>81383.563812524706</v>
      </c>
      <c r="AG133" s="35">
        <v>54518.249634454354</v>
      </c>
    </row>
    <row r="134" spans="1:33" ht="15.75" thickBot="1" x14ac:dyDescent="0.3">
      <c r="A134" s="13" t="s">
        <v>34</v>
      </c>
      <c r="B134" s="14" t="s">
        <v>5</v>
      </c>
      <c r="C134" s="15">
        <v>1695931.9355301389</v>
      </c>
      <c r="D134" s="36">
        <v>43405.418846695706</v>
      </c>
      <c r="E134" s="36">
        <v>47690.659305978312</v>
      </c>
      <c r="F134" s="36">
        <v>45557.682270655641</v>
      </c>
      <c r="G134" s="36">
        <v>60480.800349038567</v>
      </c>
      <c r="H134" s="36">
        <v>65012.68007321297</v>
      </c>
      <c r="I134" s="36">
        <v>60031.600269410934</v>
      </c>
      <c r="J134" s="36">
        <v>56218.657262174522</v>
      </c>
      <c r="K134" s="36">
        <v>47194.950344021825</v>
      </c>
      <c r="L134" s="36">
        <v>46324.144683382568</v>
      </c>
      <c r="M134" s="36">
        <v>56424.822391289199</v>
      </c>
      <c r="N134" s="36">
        <v>61382.895757209772</v>
      </c>
      <c r="O134" s="36">
        <v>50013.648189919659</v>
      </c>
      <c r="P134" s="36">
        <v>68090.979488924684</v>
      </c>
      <c r="Q134" s="36">
        <v>63909.263866720685</v>
      </c>
      <c r="R134" s="36">
        <v>44518.813051938618</v>
      </c>
      <c r="S134" s="36">
        <v>47726.396579051121</v>
      </c>
      <c r="T134" s="36">
        <v>50519.021013135018</v>
      </c>
      <c r="U134" s="36">
        <v>47854.523341798158</v>
      </c>
      <c r="V134" s="36">
        <v>60398.917931785239</v>
      </c>
      <c r="W134" s="36">
        <v>75647.33364963498</v>
      </c>
      <c r="X134" s="36">
        <v>57014.888335631316</v>
      </c>
      <c r="Y134" s="36">
        <v>46910.135107108224</v>
      </c>
      <c r="Z134" s="36">
        <v>45202.731705324346</v>
      </c>
      <c r="AA134" s="36">
        <v>46689.4204520606</v>
      </c>
      <c r="AB134" s="36">
        <v>58363.249117915264</v>
      </c>
      <c r="AC134" s="36">
        <v>75787.364569963524</v>
      </c>
      <c r="AD134" s="36">
        <v>73017.217500090817</v>
      </c>
      <c r="AE134" s="36">
        <v>69542.997376704792</v>
      </c>
      <c r="AF134" s="36">
        <v>70717.764127701244</v>
      </c>
      <c r="AG134" s="36">
        <v>54282.9585716609</v>
      </c>
    </row>
    <row r="135" spans="1:33" x14ac:dyDescent="0.25">
      <c r="A135" s="8" t="s">
        <v>35</v>
      </c>
      <c r="B135" s="8" t="s">
        <v>2</v>
      </c>
      <c r="C135" s="9">
        <v>1900719.4687384837</v>
      </c>
      <c r="D135" s="34">
        <v>58512.103850815023</v>
      </c>
      <c r="E135" s="34">
        <v>66002.183244857311</v>
      </c>
      <c r="F135" s="34">
        <v>54070.25605131028</v>
      </c>
      <c r="G135" s="34">
        <v>65107.675087369775</v>
      </c>
      <c r="H135" s="34">
        <v>71044.483721760625</v>
      </c>
      <c r="I135" s="34">
        <v>66357.729736703404</v>
      </c>
      <c r="J135" s="34">
        <v>58114.760576819222</v>
      </c>
      <c r="K135" s="34">
        <v>57009.31784203156</v>
      </c>
      <c r="L135" s="34">
        <v>65513.301191646184</v>
      </c>
      <c r="M135" s="34">
        <v>56810.424879405691</v>
      </c>
      <c r="N135" s="34">
        <v>67654.180239710302</v>
      </c>
      <c r="O135" s="34">
        <v>68129.107524513893</v>
      </c>
      <c r="P135" s="34">
        <v>68722.77038180019</v>
      </c>
      <c r="Q135" s="34">
        <v>58766.005610195811</v>
      </c>
      <c r="R135" s="34">
        <v>57936.627207840502</v>
      </c>
      <c r="S135" s="34">
        <v>59483.708352472437</v>
      </c>
      <c r="T135" s="34">
        <v>56899.405284412962</v>
      </c>
      <c r="U135" s="34">
        <v>67293.524502011773</v>
      </c>
      <c r="V135" s="34">
        <v>70645.632432469181</v>
      </c>
      <c r="W135" s="34">
        <v>78397.123652115872</v>
      </c>
      <c r="X135" s="34">
        <v>74300.723893770904</v>
      </c>
      <c r="Y135" s="34">
        <v>77914.236147269068</v>
      </c>
      <c r="Z135" s="34">
        <v>58040.972863223396</v>
      </c>
      <c r="AA135" s="34">
        <v>57496.699382510698</v>
      </c>
      <c r="AB135" s="34">
        <v>53204.287645985278</v>
      </c>
      <c r="AC135" s="34">
        <v>70366.76964379166</v>
      </c>
      <c r="AD135" s="34">
        <v>62112.576648672155</v>
      </c>
      <c r="AE135" s="34">
        <v>60942.548634802195</v>
      </c>
      <c r="AF135" s="34">
        <v>59856.368192026937</v>
      </c>
      <c r="AG135" s="34">
        <v>54013.964316169506</v>
      </c>
    </row>
    <row r="136" spans="1:33" x14ac:dyDescent="0.25">
      <c r="A136" s="10" t="s">
        <v>35</v>
      </c>
      <c r="B136" s="11" t="s">
        <v>3</v>
      </c>
      <c r="C136" s="12">
        <v>2064383.5959271556</v>
      </c>
      <c r="D136" s="35">
        <v>76158.980744256041</v>
      </c>
      <c r="E136" s="35">
        <v>56451.949383048595</v>
      </c>
      <c r="F136" s="35">
        <v>56537.709811109766</v>
      </c>
      <c r="G136" s="35">
        <v>79819.243578690905</v>
      </c>
      <c r="H136" s="35">
        <v>69735.781082132773</v>
      </c>
      <c r="I136" s="35">
        <v>76293.068868032133</v>
      </c>
      <c r="J136" s="35">
        <v>81789.120897617933</v>
      </c>
      <c r="K136" s="35">
        <v>54192.720601944842</v>
      </c>
      <c r="L136" s="35">
        <v>65825.435565888693</v>
      </c>
      <c r="M136" s="35">
        <v>61351.512278594382</v>
      </c>
      <c r="N136" s="35">
        <v>67448.671871383936</v>
      </c>
      <c r="O136" s="35">
        <v>78994.809487221908</v>
      </c>
      <c r="P136" s="35">
        <v>57573.05486382774</v>
      </c>
      <c r="Q136" s="35">
        <v>73558.805125081723</v>
      </c>
      <c r="R136" s="35">
        <v>52409.893708307121</v>
      </c>
      <c r="S136" s="35">
        <v>61529.333933873517</v>
      </c>
      <c r="T136" s="35">
        <v>74759.451117937948</v>
      </c>
      <c r="U136" s="35">
        <v>86850.409697066658</v>
      </c>
      <c r="V136" s="35">
        <v>86383.147608120766</v>
      </c>
      <c r="W136" s="35">
        <v>86111.930153273395</v>
      </c>
      <c r="X136" s="35">
        <v>54998.341267433454</v>
      </c>
      <c r="Y136" s="35">
        <v>58236.539529852162</v>
      </c>
      <c r="Z136" s="35">
        <v>49063.870088302509</v>
      </c>
      <c r="AA136" s="35">
        <v>42325.290759013289</v>
      </c>
      <c r="AB136" s="35">
        <v>63388.50645426492</v>
      </c>
      <c r="AC136" s="35">
        <v>102113.83278412448</v>
      </c>
      <c r="AD136" s="35">
        <v>65949.688295859029</v>
      </c>
      <c r="AE136" s="35">
        <v>78050.684476725335</v>
      </c>
      <c r="AF136" s="35">
        <v>81067.198139285494</v>
      </c>
      <c r="AG136" s="35">
        <v>65414.613754884027</v>
      </c>
    </row>
    <row r="137" spans="1:33" x14ac:dyDescent="0.25">
      <c r="A137" s="10" t="s">
        <v>35</v>
      </c>
      <c r="B137" s="11" t="s">
        <v>4</v>
      </c>
      <c r="C137" s="12">
        <v>2486722.9961743304</v>
      </c>
      <c r="D137" s="35">
        <v>67488.664981499925</v>
      </c>
      <c r="E137" s="35">
        <v>93806.374029975457</v>
      </c>
      <c r="F137" s="35">
        <v>77696.867959293653</v>
      </c>
      <c r="G137" s="35">
        <v>94307.800045020165</v>
      </c>
      <c r="H137" s="35">
        <v>104752.72130422536</v>
      </c>
      <c r="I137" s="35">
        <v>78281.161965643361</v>
      </c>
      <c r="J137" s="35">
        <v>63138.195868159171</v>
      </c>
      <c r="K137" s="35">
        <v>69869.148243581381</v>
      </c>
      <c r="L137" s="35">
        <v>81675.369915541567</v>
      </c>
      <c r="M137" s="35">
        <v>75031.529797814306</v>
      </c>
      <c r="N137" s="35">
        <v>96364.164577067495</v>
      </c>
      <c r="O137" s="35">
        <v>86804.958835424171</v>
      </c>
      <c r="P137" s="35">
        <v>76364.194512024769</v>
      </c>
      <c r="Q137" s="35">
        <v>72786.295411414234</v>
      </c>
      <c r="R137" s="35">
        <v>72772.532111351335</v>
      </c>
      <c r="S137" s="35">
        <v>77374.434709533729</v>
      </c>
      <c r="T137" s="35">
        <v>87595.60627907452</v>
      </c>
      <c r="U137" s="35">
        <v>105729.1645656662</v>
      </c>
      <c r="V137" s="35">
        <v>102794.04476361418</v>
      </c>
      <c r="W137" s="35">
        <v>83807.83431862187</v>
      </c>
      <c r="X137" s="35">
        <v>79066.386180017667</v>
      </c>
      <c r="Y137" s="35">
        <v>96346.672261061191</v>
      </c>
      <c r="Z137" s="35">
        <v>65287.034755768596</v>
      </c>
      <c r="AA137" s="35">
        <v>75425.818652217247</v>
      </c>
      <c r="AB137" s="35">
        <v>86236.742389617459</v>
      </c>
      <c r="AC137" s="35">
        <v>80833.23235947323</v>
      </c>
      <c r="AD137" s="35">
        <v>89166.797017788471</v>
      </c>
      <c r="AE137" s="35">
        <v>93832.878862266603</v>
      </c>
      <c r="AF137" s="35">
        <v>78604.04933444089</v>
      </c>
      <c r="AG137" s="35">
        <v>73482.320167132275</v>
      </c>
    </row>
    <row r="138" spans="1:33" ht="15.75" thickBot="1" x14ac:dyDescent="0.3">
      <c r="A138" s="13" t="s">
        <v>35</v>
      </c>
      <c r="B138" s="14" t="s">
        <v>5</v>
      </c>
      <c r="C138" s="15">
        <v>2524007.6374238362</v>
      </c>
      <c r="D138" s="36">
        <v>61565.473694517757</v>
      </c>
      <c r="E138" s="36">
        <v>62263.638620343489</v>
      </c>
      <c r="F138" s="36">
        <v>70978.339763296157</v>
      </c>
      <c r="G138" s="36">
        <v>82898.387784498802</v>
      </c>
      <c r="H138" s="36">
        <v>90517.446468540351</v>
      </c>
      <c r="I138" s="36">
        <v>98539.647882690595</v>
      </c>
      <c r="J138" s="36">
        <v>72546.72713099356</v>
      </c>
      <c r="K138" s="36">
        <v>85378.39838873659</v>
      </c>
      <c r="L138" s="36">
        <v>80417.853855609326</v>
      </c>
      <c r="M138" s="36">
        <v>91255.95723299087</v>
      </c>
      <c r="N138" s="36">
        <v>98330.342942227624</v>
      </c>
      <c r="O138" s="36">
        <v>89998.565922998474</v>
      </c>
      <c r="P138" s="36">
        <v>78086.42591875502</v>
      </c>
      <c r="Q138" s="36">
        <v>77156.71890813885</v>
      </c>
      <c r="R138" s="36">
        <v>82665.408633601299</v>
      </c>
      <c r="S138" s="36">
        <v>83858.829734977378</v>
      </c>
      <c r="T138" s="36">
        <v>94774.717430432313</v>
      </c>
      <c r="U138" s="36">
        <v>122753.57216796822</v>
      </c>
      <c r="V138" s="36">
        <v>88123.834272277949</v>
      </c>
      <c r="W138" s="36">
        <v>87341.27286293816</v>
      </c>
      <c r="X138" s="36">
        <v>77492.942536752525</v>
      </c>
      <c r="Y138" s="36">
        <v>79223.161822936236</v>
      </c>
      <c r="Z138" s="36">
        <v>78646.051026465851</v>
      </c>
      <c r="AA138" s="36">
        <v>76390.45532366664</v>
      </c>
      <c r="AB138" s="36">
        <v>86776.098852571085</v>
      </c>
      <c r="AC138" s="36">
        <v>98724.755288067288</v>
      </c>
      <c r="AD138" s="36">
        <v>78786.02791068783</v>
      </c>
      <c r="AE138" s="36">
        <v>106017.42552425113</v>
      </c>
      <c r="AF138" s="36">
        <v>99216.580779789758</v>
      </c>
      <c r="AG138" s="36">
        <v>43282.578742114492</v>
      </c>
    </row>
    <row r="139" spans="1:33" x14ac:dyDescent="0.25">
      <c r="A139" s="8" t="s">
        <v>69</v>
      </c>
      <c r="B139" s="8" t="s">
        <v>2</v>
      </c>
      <c r="C139" s="9">
        <v>1541148.3716611448</v>
      </c>
      <c r="D139" s="34">
        <v>52580.629278969631</v>
      </c>
      <c r="E139" s="34">
        <v>49609.459386404866</v>
      </c>
      <c r="F139" s="34">
        <v>50740.270813070936</v>
      </c>
      <c r="G139" s="34">
        <v>52427.422307741785</v>
      </c>
      <c r="H139" s="34">
        <v>49272.480340720693</v>
      </c>
      <c r="I139" s="34">
        <v>53960.263046256739</v>
      </c>
      <c r="J139" s="34">
        <v>56389.020039467832</v>
      </c>
      <c r="K139" s="34">
        <v>48170.367322184182</v>
      </c>
      <c r="L139" s="34">
        <v>51779.565483495804</v>
      </c>
      <c r="M139" s="34">
        <v>48267.029664045898</v>
      </c>
      <c r="N139" s="34">
        <v>48127.61188835316</v>
      </c>
      <c r="O139" s="34">
        <v>52349.719095232627</v>
      </c>
      <c r="P139" s="34">
        <v>54584.932270947815</v>
      </c>
      <c r="Q139" s="34">
        <v>59976.467144844159</v>
      </c>
      <c r="R139" s="34">
        <v>48304.858646028893</v>
      </c>
      <c r="S139" s="34">
        <v>52695.723205916816</v>
      </c>
      <c r="T139" s="34">
        <v>55349.506235270484</v>
      </c>
      <c r="U139" s="34">
        <v>54197.698546774322</v>
      </c>
      <c r="V139" s="34">
        <v>52008.259981311043</v>
      </c>
      <c r="W139" s="34">
        <v>47308.952462555557</v>
      </c>
      <c r="X139" s="34">
        <v>49633.474824655816</v>
      </c>
      <c r="Y139" s="34">
        <v>46159.043933420915</v>
      </c>
      <c r="Z139" s="34">
        <v>48135.103016945795</v>
      </c>
      <c r="AA139" s="34">
        <v>47766.406386711205</v>
      </c>
      <c r="AB139" s="34">
        <v>51575.275995082608</v>
      </c>
      <c r="AC139" s="34">
        <v>46750.972949289979</v>
      </c>
      <c r="AD139" s="34">
        <v>52157.595589225028</v>
      </c>
      <c r="AE139" s="34">
        <v>56295.023768358864</v>
      </c>
      <c r="AF139" s="34">
        <v>49558.214547906558</v>
      </c>
      <c r="AG139" s="34">
        <v>55017.023489955027</v>
      </c>
    </row>
    <row r="140" spans="1:33" x14ac:dyDescent="0.25">
      <c r="A140" s="10" t="s">
        <v>69</v>
      </c>
      <c r="B140" s="11" t="s">
        <v>3</v>
      </c>
      <c r="C140" s="12">
        <v>1136072.0141462807</v>
      </c>
      <c r="D140" s="35">
        <v>41952.99625412505</v>
      </c>
      <c r="E140" s="35">
        <v>27781.664686829223</v>
      </c>
      <c r="F140" s="35">
        <v>33545.802463763102</v>
      </c>
      <c r="G140" s="35">
        <v>35740.502011755401</v>
      </c>
      <c r="H140" s="35">
        <v>55281.203653768964</v>
      </c>
      <c r="I140" s="35">
        <v>41488.046675903221</v>
      </c>
      <c r="J140" s="35">
        <v>29292.46546587328</v>
      </c>
      <c r="K140" s="35">
        <v>40729.357625592558</v>
      </c>
      <c r="L140" s="35">
        <v>29620.175876520676</v>
      </c>
      <c r="M140" s="35">
        <v>28149.488198592691</v>
      </c>
      <c r="N140" s="35">
        <v>41300.835558601219</v>
      </c>
      <c r="O140" s="35">
        <v>49710.305016623854</v>
      </c>
      <c r="P140" s="35">
        <v>45588.129227540747</v>
      </c>
      <c r="Q140" s="35">
        <v>42977.653070558903</v>
      </c>
      <c r="R140" s="35">
        <v>34824.906032928266</v>
      </c>
      <c r="S140" s="35">
        <v>26956.460510285884</v>
      </c>
      <c r="T140" s="35">
        <v>33596.316578826758</v>
      </c>
      <c r="U140" s="35">
        <v>41127.299848526585</v>
      </c>
      <c r="V140" s="35">
        <v>50470.135467642081</v>
      </c>
      <c r="W140" s="35">
        <v>37908.293038067131</v>
      </c>
      <c r="X140" s="35">
        <v>25959.076037008141</v>
      </c>
      <c r="Y140" s="35">
        <v>39522.518988724354</v>
      </c>
      <c r="Z140" s="35">
        <v>26501.426850710923</v>
      </c>
      <c r="AA140" s="35">
        <v>34333.162073096624</v>
      </c>
      <c r="AB140" s="35">
        <v>33823.062963136639</v>
      </c>
      <c r="AC140" s="35">
        <v>45367.232521857077</v>
      </c>
      <c r="AD140" s="35">
        <v>35105.426658072749</v>
      </c>
      <c r="AE140" s="35">
        <v>48151.544006599288</v>
      </c>
      <c r="AF140" s="35">
        <v>38997.831350970955</v>
      </c>
      <c r="AG140" s="35">
        <v>40268.69543377847</v>
      </c>
    </row>
    <row r="141" spans="1:33" x14ac:dyDescent="0.25">
      <c r="A141" s="10" t="s">
        <v>69</v>
      </c>
      <c r="B141" s="11" t="s">
        <v>4</v>
      </c>
      <c r="C141" s="12">
        <v>1378726.4225701585</v>
      </c>
      <c r="D141" s="35">
        <v>41102.152140678547</v>
      </c>
      <c r="E141" s="35">
        <v>49303.618283511096</v>
      </c>
      <c r="F141" s="35">
        <v>44644.918667626167</v>
      </c>
      <c r="G141" s="35">
        <v>48566.936100590523</v>
      </c>
      <c r="H141" s="35">
        <v>51038.522398312482</v>
      </c>
      <c r="I141" s="35">
        <v>51377.94465118771</v>
      </c>
      <c r="J141" s="35">
        <v>45755.544749482586</v>
      </c>
      <c r="K141" s="35">
        <v>47406.145751802273</v>
      </c>
      <c r="L141" s="35">
        <v>46573.911341390842</v>
      </c>
      <c r="M141" s="35">
        <v>45867.505198866165</v>
      </c>
      <c r="N141" s="35">
        <v>43355.002746551698</v>
      </c>
      <c r="O141" s="35">
        <v>47892.241500377088</v>
      </c>
      <c r="P141" s="35">
        <v>45770.995970098418</v>
      </c>
      <c r="Q141" s="35">
        <v>48367.427434395446</v>
      </c>
      <c r="R141" s="35">
        <v>40398.103701299653</v>
      </c>
      <c r="S141" s="35">
        <v>39998.625268294272</v>
      </c>
      <c r="T141" s="35">
        <v>41626.101639759843</v>
      </c>
      <c r="U141" s="35">
        <v>41218.645296109913</v>
      </c>
      <c r="V141" s="35">
        <v>44753.155512041521</v>
      </c>
      <c r="W141" s="35">
        <v>50481.660755318044</v>
      </c>
      <c r="X141" s="35">
        <v>44886.744190282647</v>
      </c>
      <c r="Y141" s="35">
        <v>43772.603303736585</v>
      </c>
      <c r="Z141" s="35">
        <v>34909.240277765995</v>
      </c>
      <c r="AA141" s="35">
        <v>44961.746990355372</v>
      </c>
      <c r="AB141" s="35">
        <v>48325.197578050123</v>
      </c>
      <c r="AC141" s="35">
        <v>46409.907422568082</v>
      </c>
      <c r="AD141" s="35">
        <v>49534.351291367348</v>
      </c>
      <c r="AE141" s="35">
        <v>53150.250115891977</v>
      </c>
      <c r="AF141" s="35">
        <v>51556.294889152094</v>
      </c>
      <c r="AG141" s="35">
        <v>45720.927403294278</v>
      </c>
    </row>
    <row r="142" spans="1:33" ht="15.75" thickBot="1" x14ac:dyDescent="0.3">
      <c r="A142" s="13" t="s">
        <v>69</v>
      </c>
      <c r="B142" s="14" t="s">
        <v>5</v>
      </c>
      <c r="C142" s="15">
        <v>2106844.5645863563</v>
      </c>
      <c r="D142" s="36">
        <v>74370.658848801264</v>
      </c>
      <c r="E142" s="36">
        <v>71070.558257776123</v>
      </c>
      <c r="F142" s="36">
        <v>52633.771223424672</v>
      </c>
      <c r="G142" s="36">
        <v>67161.55277765471</v>
      </c>
      <c r="H142" s="36">
        <v>74176.869965627833</v>
      </c>
      <c r="I142" s="36">
        <v>67119.108361031904</v>
      </c>
      <c r="J142" s="36">
        <v>62763.19217955957</v>
      </c>
      <c r="K142" s="36">
        <v>73152.943467815159</v>
      </c>
      <c r="L142" s="36">
        <v>75008.483609312578</v>
      </c>
      <c r="M142" s="36">
        <v>69242.127277643725</v>
      </c>
      <c r="N142" s="36">
        <v>60156.267438252537</v>
      </c>
      <c r="O142" s="36">
        <v>73594.679485942557</v>
      </c>
      <c r="P142" s="36">
        <v>75379.456048897409</v>
      </c>
      <c r="Q142" s="36">
        <v>70811.017429563479</v>
      </c>
      <c r="R142" s="36">
        <v>63457.312001341692</v>
      </c>
      <c r="S142" s="36">
        <v>57720.647881867502</v>
      </c>
      <c r="T142" s="36">
        <v>65831.204366305843</v>
      </c>
      <c r="U142" s="36">
        <v>60117.075434468417</v>
      </c>
      <c r="V142" s="36">
        <v>74528.422325387073</v>
      </c>
      <c r="W142" s="36">
        <v>63735.612128935121</v>
      </c>
      <c r="X142" s="36">
        <v>74758.81157995078</v>
      </c>
      <c r="Y142" s="36">
        <v>68062.076382010899</v>
      </c>
      <c r="Z142" s="36">
        <v>64709.37938389292</v>
      </c>
      <c r="AA142" s="36">
        <v>72763.263218234832</v>
      </c>
      <c r="AB142" s="36">
        <v>69637.04228139708</v>
      </c>
      <c r="AC142" s="36">
        <v>85920.019746722144</v>
      </c>
      <c r="AD142" s="36">
        <v>94451.639261086428</v>
      </c>
      <c r="AE142" s="36">
        <v>74717.577163882743</v>
      </c>
      <c r="AF142" s="36">
        <v>75898.537705322684</v>
      </c>
      <c r="AG142" s="36">
        <v>73895.257354246205</v>
      </c>
    </row>
    <row r="143" spans="1:33" x14ac:dyDescent="0.25">
      <c r="A143" s="8" t="s">
        <v>37</v>
      </c>
      <c r="B143" s="8" t="s">
        <v>2</v>
      </c>
      <c r="C143" s="9">
        <v>3393947.5047235652</v>
      </c>
      <c r="D143" s="34">
        <v>132584.58964577064</v>
      </c>
      <c r="E143" s="34">
        <v>129423.11276364578</v>
      </c>
      <c r="F143" s="34">
        <v>134439.05400816692</v>
      </c>
      <c r="G143" s="34">
        <v>134411.57735162004</v>
      </c>
      <c r="H143" s="34">
        <v>89899.576314812861</v>
      </c>
      <c r="I143" s="34">
        <v>53296.844970743085</v>
      </c>
      <c r="J143" s="34">
        <v>131332.04663089762</v>
      </c>
      <c r="K143" s="34">
        <v>125034.92640087641</v>
      </c>
      <c r="L143" s="34">
        <v>128331.96087427078</v>
      </c>
      <c r="M143" s="34">
        <v>132202.39939450653</v>
      </c>
      <c r="N143" s="34">
        <v>142851.1830295416</v>
      </c>
      <c r="O143" s="34">
        <v>95518.205697272497</v>
      </c>
      <c r="P143" s="34">
        <v>57268.043402927178</v>
      </c>
      <c r="Q143" s="34">
        <v>131441.79807331067</v>
      </c>
      <c r="R143" s="34">
        <v>125292.23935594074</v>
      </c>
      <c r="S143" s="34">
        <v>126916.60269455718</v>
      </c>
      <c r="T143" s="34">
        <v>133795.57992290231</v>
      </c>
      <c r="U143" s="34">
        <v>132573.38902863342</v>
      </c>
      <c r="V143" s="34">
        <v>92066.489514513712</v>
      </c>
      <c r="W143" s="34">
        <v>52559.931996304425</v>
      </c>
      <c r="X143" s="34">
        <v>125565.05243154215</v>
      </c>
      <c r="Y143" s="34">
        <v>138936.42584899519</v>
      </c>
      <c r="Z143" s="34">
        <v>147600.71937550316</v>
      </c>
      <c r="AA143" s="34">
        <v>128278.22164600118</v>
      </c>
      <c r="AB143" s="34">
        <v>118419.75246075337</v>
      </c>
      <c r="AC143" s="34">
        <v>104904.03987608459</v>
      </c>
      <c r="AD143" s="34">
        <v>65615.396891126889</v>
      </c>
      <c r="AE143" s="34">
        <v>98575.725060132783</v>
      </c>
      <c r="AF143" s="34">
        <v>55962.464050998562</v>
      </c>
      <c r="AG143" s="34">
        <v>128850.15601121333</v>
      </c>
    </row>
    <row r="144" spans="1:33" x14ac:dyDescent="0.25">
      <c r="A144" s="10" t="s">
        <v>37</v>
      </c>
      <c r="B144" s="11" t="s">
        <v>3</v>
      </c>
      <c r="C144" s="12">
        <v>650686.51629168913</v>
      </c>
      <c r="D144" s="35">
        <v>26920.536012225846</v>
      </c>
      <c r="E144" s="35">
        <v>19827.436787402174</v>
      </c>
      <c r="F144" s="35">
        <v>22129.777468012984</v>
      </c>
      <c r="G144" s="35">
        <v>28172.577823133648</v>
      </c>
      <c r="H144" s="35">
        <v>22274.891859885942</v>
      </c>
      <c r="I144" s="35">
        <v>12786.831594487094</v>
      </c>
      <c r="J144" s="35">
        <v>17439.932217555648</v>
      </c>
      <c r="K144" s="35">
        <v>14819.185897464709</v>
      </c>
      <c r="L144" s="35">
        <v>19967.460704066147</v>
      </c>
      <c r="M144" s="35">
        <v>21543.476608555931</v>
      </c>
      <c r="N144" s="35">
        <v>35673.082357288389</v>
      </c>
      <c r="O144" s="35">
        <v>25821.80593120358</v>
      </c>
      <c r="P144" s="35">
        <v>4884.1675693504494</v>
      </c>
      <c r="Q144" s="35">
        <v>11135.641559622416</v>
      </c>
      <c r="R144" s="35">
        <v>21185.90059880574</v>
      </c>
      <c r="S144" s="35">
        <v>26199.600448121837</v>
      </c>
      <c r="T144" s="35">
        <v>26163.895424825034</v>
      </c>
      <c r="U144" s="35">
        <v>32850.007571848888</v>
      </c>
      <c r="V144" s="35">
        <v>26248.007760496457</v>
      </c>
      <c r="W144" s="35">
        <v>11723.436103119666</v>
      </c>
      <c r="X144" s="35">
        <v>30145.913682315109</v>
      </c>
      <c r="Y144" s="35">
        <v>19962.418026746451</v>
      </c>
      <c r="Z144" s="35">
        <v>23523.958252185676</v>
      </c>
      <c r="AA144" s="35">
        <v>16924.945808913628</v>
      </c>
      <c r="AB144" s="35">
        <v>25045.018533468628</v>
      </c>
      <c r="AC144" s="35">
        <v>39456.368940598688</v>
      </c>
      <c r="AD144" s="35">
        <v>8973.3725935648636</v>
      </c>
      <c r="AE144" s="35">
        <v>25016.351749369223</v>
      </c>
      <c r="AF144" s="35">
        <v>17065.387957108858</v>
      </c>
      <c r="AG144" s="35">
        <v>16805.128449945405</v>
      </c>
    </row>
    <row r="145" spans="1:33" x14ac:dyDescent="0.25">
      <c r="A145" s="10" t="s">
        <v>37</v>
      </c>
      <c r="B145" s="11" t="s">
        <v>4</v>
      </c>
      <c r="C145" s="12">
        <v>2338093.9737157621</v>
      </c>
      <c r="D145" s="35">
        <v>86641.586101587265</v>
      </c>
      <c r="E145" s="35">
        <v>83060.94234944311</v>
      </c>
      <c r="F145" s="35">
        <v>93418.472224545141</v>
      </c>
      <c r="G145" s="35">
        <v>106733.0899053193</v>
      </c>
      <c r="H145" s="35">
        <v>76348.11696871715</v>
      </c>
      <c r="I145" s="35">
        <v>58875.634920824392</v>
      </c>
      <c r="J145" s="35">
        <v>85979.975913945062</v>
      </c>
      <c r="K145" s="35">
        <v>75910.068523961178</v>
      </c>
      <c r="L145" s="35">
        <v>80943.512789445274</v>
      </c>
      <c r="M145" s="35">
        <v>76947.909786423508</v>
      </c>
      <c r="N145" s="35">
        <v>104469.57341851968</v>
      </c>
      <c r="O145" s="35">
        <v>74305.429557315569</v>
      </c>
      <c r="P145" s="35">
        <v>51924.171966103255</v>
      </c>
      <c r="Q145" s="35">
        <v>78622.425645698226</v>
      </c>
      <c r="R145" s="35">
        <v>82433.739768991887</v>
      </c>
      <c r="S145" s="35">
        <v>71499.100062732512</v>
      </c>
      <c r="T145" s="35">
        <v>82076.757382391035</v>
      </c>
      <c r="U145" s="35">
        <v>85652.462022689957</v>
      </c>
      <c r="V145" s="35">
        <v>70434.301404778438</v>
      </c>
      <c r="W145" s="35">
        <v>60066.145515220574</v>
      </c>
      <c r="X145" s="35">
        <v>76799.302527782944</v>
      </c>
      <c r="Y145" s="35">
        <v>88801.704359103518</v>
      </c>
      <c r="Z145" s="35">
        <v>80597.405680888696</v>
      </c>
      <c r="AA145" s="35">
        <v>80931.575833153896</v>
      </c>
      <c r="AB145" s="35">
        <v>79640.685868490022</v>
      </c>
      <c r="AC145" s="35">
        <v>72501.148920290245</v>
      </c>
      <c r="AD145" s="35">
        <v>49033.415970913367</v>
      </c>
      <c r="AE145" s="35">
        <v>79441.94893261652</v>
      </c>
      <c r="AF145" s="35">
        <v>56478.633166416876</v>
      </c>
      <c r="AG145" s="35">
        <v>87524.736227453875</v>
      </c>
    </row>
    <row r="146" spans="1:33" ht="15.75" thickBot="1" x14ac:dyDescent="0.3">
      <c r="A146" s="13" t="s">
        <v>37</v>
      </c>
      <c r="B146" s="14" t="s">
        <v>5</v>
      </c>
      <c r="C146" s="15">
        <v>970058.68763213325</v>
      </c>
      <c r="D146" s="36">
        <v>31198.745497786069</v>
      </c>
      <c r="E146" s="36">
        <v>30331.218737113217</v>
      </c>
      <c r="F146" s="36">
        <v>34485.940698084494</v>
      </c>
      <c r="G146" s="36">
        <v>47164.811591927544</v>
      </c>
      <c r="H146" s="36">
        <v>29886.549207837121</v>
      </c>
      <c r="I146" s="36">
        <v>10844.453608490641</v>
      </c>
      <c r="J146" s="36">
        <v>35481.833387955514</v>
      </c>
      <c r="K146" s="36">
        <v>37522.016383669048</v>
      </c>
      <c r="L146" s="36">
        <v>35211.470107425965</v>
      </c>
      <c r="M146" s="36">
        <v>33529.37486331445</v>
      </c>
      <c r="N146" s="36">
        <v>36811.028506247152</v>
      </c>
      <c r="O146" s="36">
        <v>25814.080946889306</v>
      </c>
      <c r="P146" s="36">
        <v>12561.861112312252</v>
      </c>
      <c r="Q146" s="36">
        <v>32704.259218685173</v>
      </c>
      <c r="R146" s="36">
        <v>30238.630234849283</v>
      </c>
      <c r="S146" s="36">
        <v>32188.560676750501</v>
      </c>
      <c r="T146" s="36">
        <v>40620.586274582471</v>
      </c>
      <c r="U146" s="36">
        <v>42920.838197908917</v>
      </c>
      <c r="V146" s="36">
        <v>25887.263886042219</v>
      </c>
      <c r="W146" s="36">
        <v>14364.070623559086</v>
      </c>
      <c r="X146" s="36">
        <v>42773.329626204686</v>
      </c>
      <c r="Y146" s="36">
        <v>42173.223457752203</v>
      </c>
      <c r="Z146" s="36">
        <v>52312.584677770261</v>
      </c>
      <c r="AA146" s="36">
        <v>44222.66934862452</v>
      </c>
      <c r="AB146" s="36">
        <v>36727.814134782544</v>
      </c>
      <c r="AC146" s="36">
        <v>28171.295630509852</v>
      </c>
      <c r="AD146" s="36">
        <v>20661.868547755428</v>
      </c>
      <c r="AE146" s="36">
        <v>27923.422174033931</v>
      </c>
      <c r="AF146" s="36">
        <v>16160.536330821002</v>
      </c>
      <c r="AG146" s="36">
        <v>39164.349942448345</v>
      </c>
    </row>
    <row r="147" spans="1:33" x14ac:dyDescent="0.25">
      <c r="A147" s="8" t="s">
        <v>81</v>
      </c>
      <c r="B147" s="8" t="s">
        <v>2</v>
      </c>
      <c r="C147" s="9">
        <v>1017662.9069072374</v>
      </c>
      <c r="D147" s="34">
        <v>29312.478192392951</v>
      </c>
      <c r="E147" s="34">
        <v>35971.329252266754</v>
      </c>
      <c r="F147" s="34">
        <v>31377.461631599028</v>
      </c>
      <c r="G147" s="34">
        <v>35937.805130383487</v>
      </c>
      <c r="H147" s="34">
        <v>39257.014367702672</v>
      </c>
      <c r="I147" s="34">
        <v>38816.689097109083</v>
      </c>
      <c r="J147" s="34">
        <v>32086.041052663659</v>
      </c>
      <c r="K147" s="34">
        <v>33671.77636991076</v>
      </c>
      <c r="L147" s="34">
        <v>28224.282443168868</v>
      </c>
      <c r="M147" s="34">
        <v>35322.464673306691</v>
      </c>
      <c r="N147" s="34">
        <v>31690.488531528666</v>
      </c>
      <c r="O147" s="34">
        <v>33035.942152193646</v>
      </c>
      <c r="P147" s="34">
        <v>41236.574000896442</v>
      </c>
      <c r="Q147" s="34">
        <v>32614.420671680113</v>
      </c>
      <c r="R147" s="34">
        <v>33636.111108856116</v>
      </c>
      <c r="S147" s="34">
        <v>31396.663061810908</v>
      </c>
      <c r="T147" s="34">
        <v>29800.787921202216</v>
      </c>
      <c r="U147" s="34">
        <v>27902.767455809841</v>
      </c>
      <c r="V147" s="34">
        <v>35260.539869700238</v>
      </c>
      <c r="W147" s="34">
        <v>38969.635256275877</v>
      </c>
      <c r="X147" s="34">
        <v>34877.038903329856</v>
      </c>
      <c r="Y147" s="34">
        <v>31943.808236279358</v>
      </c>
      <c r="Z147" s="34">
        <v>30703.209259606934</v>
      </c>
      <c r="AA147" s="34">
        <v>28316.848477702846</v>
      </c>
      <c r="AB147" s="34">
        <v>26585.645694537536</v>
      </c>
      <c r="AC147" s="34">
        <v>34549.895778720354</v>
      </c>
      <c r="AD147" s="34">
        <v>37144.566461222545</v>
      </c>
      <c r="AE147" s="34">
        <v>40851.006758756419</v>
      </c>
      <c r="AF147" s="34">
        <v>40341.164893277979</v>
      </c>
      <c r="AG147" s="34">
        <v>36828.45020334563</v>
      </c>
    </row>
    <row r="148" spans="1:33" x14ac:dyDescent="0.25">
      <c r="A148" s="10" t="s">
        <v>81</v>
      </c>
      <c r="B148" s="11" t="s">
        <v>3</v>
      </c>
      <c r="C148" s="12">
        <v>316861.1731443124</v>
      </c>
      <c r="D148" s="35">
        <v>12544.554862134086</v>
      </c>
      <c r="E148" s="35">
        <v>8651.173361886511</v>
      </c>
      <c r="F148" s="35">
        <v>9798.8786241916005</v>
      </c>
      <c r="G148" s="35">
        <v>13979.802815101319</v>
      </c>
      <c r="H148" s="35">
        <v>6747.0347713054434</v>
      </c>
      <c r="I148" s="35">
        <v>16488.078104307046</v>
      </c>
      <c r="J148" s="35">
        <v>10450.453925810827</v>
      </c>
      <c r="K148" s="35">
        <v>10544.766740155073</v>
      </c>
      <c r="L148" s="35">
        <v>11395.542587598717</v>
      </c>
      <c r="M148" s="35">
        <v>11896.068862150072</v>
      </c>
      <c r="N148" s="35">
        <v>15410.595044556223</v>
      </c>
      <c r="O148" s="35">
        <v>9280.6779797080144</v>
      </c>
      <c r="P148" s="35">
        <v>13227.557866926925</v>
      </c>
      <c r="Q148" s="35">
        <v>8767.3192214411592</v>
      </c>
      <c r="R148" s="35">
        <v>13252.331689655461</v>
      </c>
      <c r="S148" s="35">
        <v>9243.9628179664451</v>
      </c>
      <c r="T148" s="35">
        <v>9758.925636697737</v>
      </c>
      <c r="U148" s="35">
        <v>6441.1939094193449</v>
      </c>
      <c r="V148" s="35">
        <v>8587.7832687178125</v>
      </c>
      <c r="W148" s="35">
        <v>16073.844341777747</v>
      </c>
      <c r="X148" s="35">
        <v>11246.632307816762</v>
      </c>
      <c r="Y148" s="35">
        <v>4458.2484223169267</v>
      </c>
      <c r="Z148" s="35">
        <v>7936.8911780371409</v>
      </c>
      <c r="AA148" s="35">
        <v>8241.6032566334507</v>
      </c>
      <c r="AB148" s="35">
        <v>8170.2522707893932</v>
      </c>
      <c r="AC148" s="35">
        <v>5990.2746899718923</v>
      </c>
      <c r="AD148" s="35">
        <v>10549.965084252788</v>
      </c>
      <c r="AE148" s="35">
        <v>18074.078036107992</v>
      </c>
      <c r="AF148" s="35">
        <v>11983.014880287274</v>
      </c>
      <c r="AG148" s="35">
        <v>7669.6665865912064</v>
      </c>
    </row>
    <row r="149" spans="1:33" x14ac:dyDescent="0.25">
      <c r="A149" s="10" t="s">
        <v>81</v>
      </c>
      <c r="B149" s="11" t="s">
        <v>4</v>
      </c>
      <c r="C149" s="12">
        <v>1869166.5616945222</v>
      </c>
      <c r="D149" s="35">
        <v>63792.106182727941</v>
      </c>
      <c r="E149" s="35">
        <v>69128.524722803573</v>
      </c>
      <c r="F149" s="35">
        <v>60386.11022106537</v>
      </c>
      <c r="G149" s="35">
        <v>67922.348708364094</v>
      </c>
      <c r="H149" s="35">
        <v>70081.320843974841</v>
      </c>
      <c r="I149" s="35">
        <v>78115.400665403911</v>
      </c>
      <c r="J149" s="35">
        <v>57709.088090498757</v>
      </c>
      <c r="K149" s="35">
        <v>57175.020620001131</v>
      </c>
      <c r="L149" s="35">
        <v>49363.690924970142</v>
      </c>
      <c r="M149" s="35">
        <v>64714.703026990363</v>
      </c>
      <c r="N149" s="35">
        <v>63550.5038450051</v>
      </c>
      <c r="O149" s="35">
        <v>66643.64731912117</v>
      </c>
      <c r="P149" s="35">
        <v>71379.95473067183</v>
      </c>
      <c r="Q149" s="35">
        <v>63289.829989750819</v>
      </c>
      <c r="R149" s="35">
        <v>53722.897252861076</v>
      </c>
      <c r="S149" s="35">
        <v>57121.972885334202</v>
      </c>
      <c r="T149" s="35">
        <v>59208.18409503065</v>
      </c>
      <c r="U149" s="35">
        <v>57689.512980937077</v>
      </c>
      <c r="V149" s="35">
        <v>55289.945691663917</v>
      </c>
      <c r="W149" s="35">
        <v>74775.984443607347</v>
      </c>
      <c r="X149" s="35">
        <v>58296.763744858217</v>
      </c>
      <c r="Y149" s="35">
        <v>61049.186598271743</v>
      </c>
      <c r="Z149" s="35">
        <v>49003.248990568107</v>
      </c>
      <c r="AA149" s="35">
        <v>48698.795118493304</v>
      </c>
      <c r="AB149" s="35">
        <v>52860.747697128943</v>
      </c>
      <c r="AC149" s="35">
        <v>62456.328322576373</v>
      </c>
      <c r="AD149" s="35">
        <v>69632.09238566464</v>
      </c>
      <c r="AE149" s="35">
        <v>71081.673922193237</v>
      </c>
      <c r="AF149" s="35">
        <v>78112.322256057902</v>
      </c>
      <c r="AG149" s="35">
        <v>56914.655417926653</v>
      </c>
    </row>
    <row r="150" spans="1:33" ht="15.75" thickBot="1" x14ac:dyDescent="0.3">
      <c r="A150" s="13" t="s">
        <v>81</v>
      </c>
      <c r="B150" s="14" t="s">
        <v>5</v>
      </c>
      <c r="C150" s="15">
        <v>1064123.5718767669</v>
      </c>
      <c r="D150" s="36">
        <v>27221.771034360576</v>
      </c>
      <c r="E150" s="36">
        <v>37010.858607006398</v>
      </c>
      <c r="F150" s="36">
        <v>40435.527040863461</v>
      </c>
      <c r="G150" s="36">
        <v>32429.329668073176</v>
      </c>
      <c r="H150" s="36">
        <v>35065.704899934128</v>
      </c>
      <c r="I150" s="36">
        <v>48592.463042563868</v>
      </c>
      <c r="J150" s="36">
        <v>41728.355687431809</v>
      </c>
      <c r="K150" s="36">
        <v>33709.75212211148</v>
      </c>
      <c r="L150" s="36">
        <v>32995.760488492037</v>
      </c>
      <c r="M150" s="36">
        <v>38560.183589298365</v>
      </c>
      <c r="N150" s="36">
        <v>45502.871971295928</v>
      </c>
      <c r="O150" s="36">
        <v>32868.800395264494</v>
      </c>
      <c r="P150" s="36">
        <v>35909.461578780742</v>
      </c>
      <c r="Q150" s="36">
        <v>45987.111766203248</v>
      </c>
      <c r="R150" s="36">
        <v>29779.785567911887</v>
      </c>
      <c r="S150" s="36">
        <v>26900.337093884413</v>
      </c>
      <c r="T150" s="36">
        <v>30044.112041543816</v>
      </c>
      <c r="U150" s="36">
        <v>35736.283333873645</v>
      </c>
      <c r="V150" s="36">
        <v>28854.719177777184</v>
      </c>
      <c r="W150" s="36">
        <v>44500.597370682241</v>
      </c>
      <c r="X150" s="36">
        <v>35589.519093144256</v>
      </c>
      <c r="Y150" s="36">
        <v>31637.765434440054</v>
      </c>
      <c r="Z150" s="36">
        <v>27257.582898863286</v>
      </c>
      <c r="AA150" s="36">
        <v>35431.052016428526</v>
      </c>
      <c r="AB150" s="36">
        <v>35483.922395660047</v>
      </c>
      <c r="AC150" s="36">
        <v>27138.868178130098</v>
      </c>
      <c r="AD150" s="36">
        <v>30390.315996203935</v>
      </c>
      <c r="AE150" s="36">
        <v>40650.220270199978</v>
      </c>
      <c r="AF150" s="36">
        <v>38091.663389434238</v>
      </c>
      <c r="AG150" s="36">
        <v>38618.875726909762</v>
      </c>
    </row>
    <row r="151" spans="1:33" x14ac:dyDescent="0.25">
      <c r="A151" s="8" t="s">
        <v>38</v>
      </c>
      <c r="B151" s="8" t="s">
        <v>2</v>
      </c>
      <c r="C151" s="9">
        <v>1567105.8938110885</v>
      </c>
      <c r="D151" s="34">
        <v>56042.340255408475</v>
      </c>
      <c r="E151" s="34">
        <v>57882.715352498613</v>
      </c>
      <c r="F151" s="34">
        <v>54385.540355638557</v>
      </c>
      <c r="G151" s="34">
        <v>51687.632354023364</v>
      </c>
      <c r="H151" s="34">
        <v>51580.847891072866</v>
      </c>
      <c r="I151" s="34">
        <v>44703.320681752288</v>
      </c>
      <c r="J151" s="34">
        <v>54418.274012537557</v>
      </c>
      <c r="K151" s="34">
        <v>58345.035823678714</v>
      </c>
      <c r="L151" s="34">
        <v>52996.243133001</v>
      </c>
      <c r="M151" s="34">
        <v>52946.26166775079</v>
      </c>
      <c r="N151" s="34">
        <v>58321.273613485377</v>
      </c>
      <c r="O151" s="34">
        <v>41208.982601823482</v>
      </c>
      <c r="P151" s="34">
        <v>43972.107363319672</v>
      </c>
      <c r="Q151" s="34">
        <v>50345.439267782684</v>
      </c>
      <c r="R151" s="34">
        <v>53394.04192936021</v>
      </c>
      <c r="S151" s="34">
        <v>47442.66706828629</v>
      </c>
      <c r="T151" s="34">
        <v>50533.403199842687</v>
      </c>
      <c r="U151" s="34">
        <v>53944.613956016889</v>
      </c>
      <c r="V151" s="34">
        <v>44792.097592216131</v>
      </c>
      <c r="W151" s="34">
        <v>49386.262296797926</v>
      </c>
      <c r="X151" s="34">
        <v>59459.669376588245</v>
      </c>
      <c r="Y151" s="34">
        <v>63690.256100443024</v>
      </c>
      <c r="Z151" s="34">
        <v>59105.652856629502</v>
      </c>
      <c r="AA151" s="34">
        <v>49981.263190608624</v>
      </c>
      <c r="AB151" s="34">
        <v>49516.954452861319</v>
      </c>
      <c r="AC151" s="34">
        <v>49220.670404811099</v>
      </c>
      <c r="AD151" s="34">
        <v>50387.28985430688</v>
      </c>
      <c r="AE151" s="34">
        <v>51376.675278579292</v>
      </c>
      <c r="AF151" s="34">
        <v>49450.331358091338</v>
      </c>
      <c r="AG151" s="34">
        <v>56588.030521875779</v>
      </c>
    </row>
    <row r="152" spans="1:33" x14ac:dyDescent="0.25">
      <c r="A152" s="10" t="s">
        <v>38</v>
      </c>
      <c r="B152" s="11" t="s">
        <v>3</v>
      </c>
      <c r="C152" s="12">
        <v>564938.57812607638</v>
      </c>
      <c r="D152" s="35">
        <v>16191.862504951991</v>
      </c>
      <c r="E152" s="35">
        <v>9723.2906403752022</v>
      </c>
      <c r="F152" s="35">
        <v>28049.589140605229</v>
      </c>
      <c r="G152" s="35">
        <v>19972.020737688894</v>
      </c>
      <c r="H152" s="35">
        <v>17205.16306711471</v>
      </c>
      <c r="I152" s="35">
        <v>27460.221284892043</v>
      </c>
      <c r="J152" s="35">
        <v>15750.116550314233</v>
      </c>
      <c r="K152" s="35">
        <v>19371.732765006804</v>
      </c>
      <c r="L152" s="35">
        <v>27399.456946349161</v>
      </c>
      <c r="M152" s="35">
        <v>18162.835752149844</v>
      </c>
      <c r="N152" s="35">
        <v>18164.202050886313</v>
      </c>
      <c r="O152" s="35">
        <v>22541.699927452937</v>
      </c>
      <c r="P152" s="35">
        <v>20172.640647647288</v>
      </c>
      <c r="Q152" s="35">
        <v>15077.055192300311</v>
      </c>
      <c r="R152" s="35">
        <v>15263.416285369856</v>
      </c>
      <c r="S152" s="35">
        <v>10679.360749448764</v>
      </c>
      <c r="T152" s="35">
        <v>16314.449293089297</v>
      </c>
      <c r="U152" s="35">
        <v>30767.331967126414</v>
      </c>
      <c r="V152" s="35">
        <v>34502.237974794618</v>
      </c>
      <c r="W152" s="35">
        <v>22184.982955083888</v>
      </c>
      <c r="X152" s="35">
        <v>21310.120300986058</v>
      </c>
      <c r="Y152" s="35">
        <v>9726.1567858449343</v>
      </c>
      <c r="Z152" s="35">
        <v>6293.4185303154027</v>
      </c>
      <c r="AA152" s="35">
        <v>17950.247887093828</v>
      </c>
      <c r="AB152" s="35">
        <v>13154.477684557318</v>
      </c>
      <c r="AC152" s="35">
        <v>18901.993095655715</v>
      </c>
      <c r="AD152" s="35">
        <v>14185.776407519215</v>
      </c>
      <c r="AE152" s="35">
        <v>21597.289585792081</v>
      </c>
      <c r="AF152" s="35">
        <v>14922.324428626118</v>
      </c>
      <c r="AG152" s="35">
        <v>21943.106987037885</v>
      </c>
    </row>
    <row r="153" spans="1:33" x14ac:dyDescent="0.25">
      <c r="A153" s="10" t="s">
        <v>38</v>
      </c>
      <c r="B153" s="11" t="s">
        <v>4</v>
      </c>
      <c r="C153" s="12">
        <v>2682069.2035822603</v>
      </c>
      <c r="D153" s="35">
        <v>82996.357525846339</v>
      </c>
      <c r="E153" s="35">
        <v>71368.537666672433</v>
      </c>
      <c r="F153" s="35">
        <v>85663.645955550892</v>
      </c>
      <c r="G153" s="35">
        <v>104020.20541900808</v>
      </c>
      <c r="H153" s="35">
        <v>86083.223555433186</v>
      </c>
      <c r="I153" s="35">
        <v>71938.227533413417</v>
      </c>
      <c r="J153" s="35">
        <v>102595.07297420531</v>
      </c>
      <c r="K153" s="35">
        <v>90816.675995695739</v>
      </c>
      <c r="L153" s="35">
        <v>100151.55400195712</v>
      </c>
      <c r="M153" s="35">
        <v>79419.203695067525</v>
      </c>
      <c r="N153" s="35">
        <v>116339.31353625975</v>
      </c>
      <c r="O153" s="35">
        <v>98757.785943148279</v>
      </c>
      <c r="P153" s="35">
        <v>73274.23109385639</v>
      </c>
      <c r="Q153" s="35">
        <v>99326.168960472845</v>
      </c>
      <c r="R153" s="35">
        <v>82145.352973319474</v>
      </c>
      <c r="S153" s="35">
        <v>77395.657008766982</v>
      </c>
      <c r="T153" s="35">
        <v>87138.500073787611</v>
      </c>
      <c r="U153" s="35">
        <v>107412.36550555183</v>
      </c>
      <c r="V153" s="35">
        <v>100404.91614351403</v>
      </c>
      <c r="W153" s="35">
        <v>79721.612158346543</v>
      </c>
      <c r="X153" s="35">
        <v>99824.683773427198</v>
      </c>
      <c r="Y153" s="35">
        <v>99149.814455668442</v>
      </c>
      <c r="Z153" s="35">
        <v>88993.28776934155</v>
      </c>
      <c r="AA153" s="35">
        <v>74016.083022307517</v>
      </c>
      <c r="AB153" s="35">
        <v>91959.721924184836</v>
      </c>
      <c r="AC153" s="35">
        <v>93264.457577449837</v>
      </c>
      <c r="AD153" s="35">
        <v>74537.252815413536</v>
      </c>
      <c r="AE153" s="35">
        <v>101590.21979340102</v>
      </c>
      <c r="AF153" s="35">
        <v>77833.205980825354</v>
      </c>
      <c r="AG153" s="35">
        <v>83931.868750367546</v>
      </c>
    </row>
    <row r="154" spans="1:33" ht="15.75" thickBot="1" x14ac:dyDescent="0.3">
      <c r="A154" s="13" t="s">
        <v>38</v>
      </c>
      <c r="B154" s="14" t="s">
        <v>5</v>
      </c>
      <c r="C154" s="15">
        <v>1981928.9047916562</v>
      </c>
      <c r="D154" s="36">
        <v>66618.531416226848</v>
      </c>
      <c r="E154" s="36">
        <v>67870.784557994732</v>
      </c>
      <c r="F154" s="36">
        <v>75442.558158378073</v>
      </c>
      <c r="G154" s="36">
        <v>85519.886668516512</v>
      </c>
      <c r="H154" s="36">
        <v>76187.897241058919</v>
      </c>
      <c r="I154" s="36">
        <v>71226.754969940986</v>
      </c>
      <c r="J154" s="36">
        <v>66463.97612850416</v>
      </c>
      <c r="K154" s="36">
        <v>65729.876689960438</v>
      </c>
      <c r="L154" s="36">
        <v>66742.340575965703</v>
      </c>
      <c r="M154" s="36">
        <v>52274.953669916271</v>
      </c>
      <c r="N154" s="36">
        <v>66464.586978728999</v>
      </c>
      <c r="O154" s="36">
        <v>63467.358722996723</v>
      </c>
      <c r="P154" s="36">
        <v>59498.308482885499</v>
      </c>
      <c r="Q154" s="36">
        <v>61462.884252681411</v>
      </c>
      <c r="R154" s="36">
        <v>71990.836973687488</v>
      </c>
      <c r="S154" s="36">
        <v>44077.048408230447</v>
      </c>
      <c r="T154" s="36">
        <v>70203.417949933486</v>
      </c>
      <c r="U154" s="36">
        <v>69585.766925919263</v>
      </c>
      <c r="V154" s="36">
        <v>59903.241096934784</v>
      </c>
      <c r="W154" s="36">
        <v>54814.980894026754</v>
      </c>
      <c r="X154" s="36">
        <v>60381.709897218243</v>
      </c>
      <c r="Y154" s="36">
        <v>84297.066326749031</v>
      </c>
      <c r="Z154" s="36">
        <v>66453.418600451434</v>
      </c>
      <c r="AA154" s="36">
        <v>64547.952770746291</v>
      </c>
      <c r="AB154" s="36">
        <v>57370.920766494426</v>
      </c>
      <c r="AC154" s="36">
        <v>64608.589836399173</v>
      </c>
      <c r="AD154" s="36">
        <v>58434.064859487597</v>
      </c>
      <c r="AE154" s="36">
        <v>90702.462146140504</v>
      </c>
      <c r="AF154" s="36">
        <v>62920.209995766607</v>
      </c>
      <c r="AG154" s="36">
        <v>56666.518829715227</v>
      </c>
    </row>
    <row r="155" spans="1:33" x14ac:dyDescent="0.25">
      <c r="A155" s="8" t="s">
        <v>36</v>
      </c>
      <c r="B155" s="8" t="s">
        <v>2</v>
      </c>
      <c r="C155" s="9">
        <v>1476015.8040675996</v>
      </c>
      <c r="D155" s="34">
        <v>51276.310627303807</v>
      </c>
      <c r="E155" s="34">
        <v>50388.861925692589</v>
      </c>
      <c r="F155" s="34">
        <v>47420.094428337208</v>
      </c>
      <c r="G155" s="34">
        <v>52040.521368275127</v>
      </c>
      <c r="H155" s="34">
        <v>55292.604550792748</v>
      </c>
      <c r="I155" s="34">
        <v>46269.637792172725</v>
      </c>
      <c r="J155" s="34">
        <v>46892.378725290801</v>
      </c>
      <c r="K155" s="34">
        <v>51884.918870275877</v>
      </c>
      <c r="L155" s="34">
        <v>48736.096838910227</v>
      </c>
      <c r="M155" s="34">
        <v>47305.062303221166</v>
      </c>
      <c r="N155" s="34">
        <v>54553.959011421342</v>
      </c>
      <c r="O155" s="34">
        <v>48012.606898604405</v>
      </c>
      <c r="P155" s="34">
        <v>40438.816266217444</v>
      </c>
      <c r="Q155" s="34">
        <v>45017.115905725463</v>
      </c>
      <c r="R155" s="34">
        <v>42321.93141601824</v>
      </c>
      <c r="S155" s="34">
        <v>44888.485109090536</v>
      </c>
      <c r="T155" s="34">
        <v>49189.17027638507</v>
      </c>
      <c r="U155" s="34">
        <v>48648.796075459075</v>
      </c>
      <c r="V155" s="34">
        <v>49906.5152417844</v>
      </c>
      <c r="W155" s="34">
        <v>41645.277165727952</v>
      </c>
      <c r="X155" s="34">
        <v>55373.188713764714</v>
      </c>
      <c r="Y155" s="34">
        <v>60201.05556547852</v>
      </c>
      <c r="Z155" s="34">
        <v>53557.713416269959</v>
      </c>
      <c r="AA155" s="34">
        <v>48023.024022527883</v>
      </c>
      <c r="AB155" s="34">
        <v>49744.775290267768</v>
      </c>
      <c r="AC155" s="34">
        <v>46790.388688899169</v>
      </c>
      <c r="AD155" s="34">
        <v>44500.396473564346</v>
      </c>
      <c r="AE155" s="34">
        <v>54375.99483691655</v>
      </c>
      <c r="AF155" s="34">
        <v>51347.87664472757</v>
      </c>
      <c r="AG155" s="34">
        <v>49972.229618477155</v>
      </c>
    </row>
    <row r="156" spans="1:33" x14ac:dyDescent="0.25">
      <c r="A156" s="10" t="s">
        <v>36</v>
      </c>
      <c r="B156" s="11" t="s">
        <v>3</v>
      </c>
      <c r="C156" s="12">
        <v>586581.69438502309</v>
      </c>
      <c r="D156" s="35">
        <v>13467.140378541682</v>
      </c>
      <c r="E156" s="35">
        <v>15695.604079261284</v>
      </c>
      <c r="F156" s="35">
        <v>20027.595362826683</v>
      </c>
      <c r="G156" s="35">
        <v>19044.874405091989</v>
      </c>
      <c r="H156" s="35">
        <v>18095.412261087564</v>
      </c>
      <c r="I156" s="35">
        <v>23404.835427148613</v>
      </c>
      <c r="J156" s="35">
        <v>13678.495520517856</v>
      </c>
      <c r="K156" s="35">
        <v>20781.43871098102</v>
      </c>
      <c r="L156" s="35">
        <v>24356.476331404352</v>
      </c>
      <c r="M156" s="35">
        <v>17524.738750032895</v>
      </c>
      <c r="N156" s="35">
        <v>25976.103572073691</v>
      </c>
      <c r="O156" s="35">
        <v>20443.869450418264</v>
      </c>
      <c r="P156" s="35">
        <v>19754.811499842683</v>
      </c>
      <c r="Q156" s="35">
        <v>16357.185014512019</v>
      </c>
      <c r="R156" s="35">
        <v>20343.715768053204</v>
      </c>
      <c r="S156" s="35">
        <v>20510.872102245703</v>
      </c>
      <c r="T156" s="35">
        <v>18029.410453191824</v>
      </c>
      <c r="U156" s="35">
        <v>27097.664679533311</v>
      </c>
      <c r="V156" s="35">
        <v>24418.320787583805</v>
      </c>
      <c r="W156" s="35">
        <v>22862.147052184111</v>
      </c>
      <c r="X156" s="35">
        <v>21779.472580870693</v>
      </c>
      <c r="Y156" s="35">
        <v>18592.439056368217</v>
      </c>
      <c r="Z156" s="35">
        <v>17316.416935049714</v>
      </c>
      <c r="AA156" s="35">
        <v>18638.755034007405</v>
      </c>
      <c r="AB156" s="35">
        <v>18117.561707175984</v>
      </c>
      <c r="AC156" s="35">
        <v>22944.200856984389</v>
      </c>
      <c r="AD156" s="35">
        <v>12259.56828335184</v>
      </c>
      <c r="AE156" s="35">
        <v>25755.409786334832</v>
      </c>
      <c r="AF156" s="35">
        <v>16791.358810882044</v>
      </c>
      <c r="AG156" s="35">
        <v>12515.799727465454</v>
      </c>
    </row>
    <row r="157" spans="1:33" x14ac:dyDescent="0.25">
      <c r="A157" s="10" t="s">
        <v>36</v>
      </c>
      <c r="B157" s="11" t="s">
        <v>4</v>
      </c>
      <c r="C157" s="12">
        <v>2615797.1262983731</v>
      </c>
      <c r="D157" s="35">
        <v>79806.43526802944</v>
      </c>
      <c r="E157" s="35">
        <v>91249.387664693422</v>
      </c>
      <c r="F157" s="35">
        <v>93875.567858272523</v>
      </c>
      <c r="G157" s="35">
        <v>99024.860467149236</v>
      </c>
      <c r="H157" s="35">
        <v>70687.721362040145</v>
      </c>
      <c r="I157" s="35">
        <v>57466.811704538552</v>
      </c>
      <c r="J157" s="35">
        <v>91832.806471398551</v>
      </c>
      <c r="K157" s="35">
        <v>89055.78237797461</v>
      </c>
      <c r="L157" s="35">
        <v>81189.657664435465</v>
      </c>
      <c r="M157" s="35">
        <v>78344.105093367805</v>
      </c>
      <c r="N157" s="35">
        <v>104121.29042672836</v>
      </c>
      <c r="O157" s="35">
        <v>92578.613310776258</v>
      </c>
      <c r="P157" s="35">
        <v>68124.060603357211</v>
      </c>
      <c r="Q157" s="35">
        <v>73175.532767055949</v>
      </c>
      <c r="R157" s="35">
        <v>89351.181841380603</v>
      </c>
      <c r="S157" s="35">
        <v>79171.973451731974</v>
      </c>
      <c r="T157" s="35">
        <v>91584.396029590425</v>
      </c>
      <c r="U157" s="35">
        <v>108450.92421451575</v>
      </c>
      <c r="V157" s="35">
        <v>112913.19704165502</v>
      </c>
      <c r="W157" s="35">
        <v>84436.461949111646</v>
      </c>
      <c r="X157" s="35">
        <v>97876.989423876003</v>
      </c>
      <c r="Y157" s="35">
        <v>97694.906965184302</v>
      </c>
      <c r="Z157" s="35">
        <v>89164.139806562031</v>
      </c>
      <c r="AA157" s="35">
        <v>74347.634640450691</v>
      </c>
      <c r="AB157" s="35">
        <v>94152.93172999534</v>
      </c>
      <c r="AC157" s="35">
        <v>94510.207406820278</v>
      </c>
      <c r="AD157" s="35">
        <v>68965.08961168259</v>
      </c>
      <c r="AE157" s="35">
        <v>106697.35858916894</v>
      </c>
      <c r="AF157" s="35">
        <v>66118.843038494786</v>
      </c>
      <c r="AG157" s="35">
        <v>89828.257518334809</v>
      </c>
    </row>
    <row r="158" spans="1:33" ht="15.75" thickBot="1" x14ac:dyDescent="0.3">
      <c r="A158" s="13" t="s">
        <v>36</v>
      </c>
      <c r="B158" s="14" t="s">
        <v>5</v>
      </c>
      <c r="C158" s="15">
        <v>1945853.2655043942</v>
      </c>
      <c r="D158" s="36">
        <v>65384.741085353409</v>
      </c>
      <c r="E158" s="36">
        <v>68225.951958121848</v>
      </c>
      <c r="F158" s="36">
        <v>75324.365479592656</v>
      </c>
      <c r="G158" s="36">
        <v>86709.454260879807</v>
      </c>
      <c r="H158" s="36">
        <v>62659.968039196072</v>
      </c>
      <c r="I158" s="36">
        <v>47969.305744811878</v>
      </c>
      <c r="J158" s="36">
        <v>46104.765677538242</v>
      </c>
      <c r="K158" s="36">
        <v>56628.187134019521</v>
      </c>
      <c r="L158" s="36">
        <v>55624.208940235949</v>
      </c>
      <c r="M158" s="36">
        <v>58014.24036481385</v>
      </c>
      <c r="N158" s="36">
        <v>60462.093288381278</v>
      </c>
      <c r="O158" s="36">
        <v>63333.863951656887</v>
      </c>
      <c r="P158" s="36">
        <v>50474.37719392385</v>
      </c>
      <c r="Q158" s="36">
        <v>52520.859930241015</v>
      </c>
      <c r="R158" s="36">
        <v>67978.458766839438</v>
      </c>
      <c r="S158" s="36">
        <v>66753.189318746445</v>
      </c>
      <c r="T158" s="36">
        <v>60983.354695609356</v>
      </c>
      <c r="U158" s="36">
        <v>68819.542770864238</v>
      </c>
      <c r="V158" s="36">
        <v>67390.979912198483</v>
      </c>
      <c r="W158" s="36">
        <v>96346.650928614021</v>
      </c>
      <c r="X158" s="36">
        <v>63583.814716525667</v>
      </c>
      <c r="Y158" s="36">
        <v>74302.362034188554</v>
      </c>
      <c r="Z158" s="36">
        <v>61696.745368716693</v>
      </c>
      <c r="AA158" s="36">
        <v>61494.265058698533</v>
      </c>
      <c r="AB158" s="36">
        <v>59078.351455792726</v>
      </c>
      <c r="AC158" s="36">
        <v>53593.4674652174</v>
      </c>
      <c r="AD158" s="36">
        <v>66523.739651007141</v>
      </c>
      <c r="AE158" s="36">
        <v>88345.458256542915</v>
      </c>
      <c r="AF158" s="36">
        <v>83780.666063207973</v>
      </c>
      <c r="AG158" s="36">
        <v>55745.83599285841</v>
      </c>
    </row>
    <row r="159" spans="1:33" x14ac:dyDescent="0.25">
      <c r="A159" s="8" t="s">
        <v>39</v>
      </c>
      <c r="B159" s="8" t="s">
        <v>2</v>
      </c>
      <c r="C159" s="9">
        <v>1243448.9611545159</v>
      </c>
      <c r="D159" s="34">
        <v>35215.355657512024</v>
      </c>
      <c r="E159" s="34">
        <v>36649.244314396441</v>
      </c>
      <c r="F159" s="34">
        <v>40868.303601737709</v>
      </c>
      <c r="G159" s="34">
        <v>40390.669413943971</v>
      </c>
      <c r="H159" s="34">
        <v>39705.676067908833</v>
      </c>
      <c r="I159" s="34">
        <v>53475.547862823514</v>
      </c>
      <c r="J159" s="34">
        <v>44091.144457303191</v>
      </c>
      <c r="K159" s="34">
        <v>40385.040140008336</v>
      </c>
      <c r="L159" s="34">
        <v>42200.942972938472</v>
      </c>
      <c r="M159" s="34">
        <v>34452.274576344942</v>
      </c>
      <c r="N159" s="34">
        <v>37468.94424458233</v>
      </c>
      <c r="O159" s="34">
        <v>36287.875985791899</v>
      </c>
      <c r="P159" s="34">
        <v>43696.994343103826</v>
      </c>
      <c r="Q159" s="34">
        <v>63089.416002991769</v>
      </c>
      <c r="R159" s="34">
        <v>32659.548822998066</v>
      </c>
      <c r="S159" s="34">
        <v>32220.985678575504</v>
      </c>
      <c r="T159" s="34">
        <v>37226.885465350111</v>
      </c>
      <c r="U159" s="34">
        <v>39616.34531393717</v>
      </c>
      <c r="V159" s="34">
        <v>39624.878516772013</v>
      </c>
      <c r="W159" s="34">
        <v>43308.644322187116</v>
      </c>
      <c r="X159" s="34">
        <v>39396.03494338593</v>
      </c>
      <c r="Y159" s="34">
        <v>41393.712855084479</v>
      </c>
      <c r="Z159" s="34">
        <v>41683.701990185196</v>
      </c>
      <c r="AA159" s="34">
        <v>31423.647553816681</v>
      </c>
      <c r="AB159" s="34">
        <v>44758.030952555018</v>
      </c>
      <c r="AC159" s="34">
        <v>45219.018018530827</v>
      </c>
      <c r="AD159" s="34">
        <v>43008.468142391852</v>
      </c>
      <c r="AE159" s="34">
        <v>53197.151452588427</v>
      </c>
      <c r="AF159" s="34">
        <v>50818.243278121146</v>
      </c>
      <c r="AG159" s="34">
        <v>39916.234206648827</v>
      </c>
    </row>
    <row r="160" spans="1:33" x14ac:dyDescent="0.25">
      <c r="A160" s="10" t="s">
        <v>39</v>
      </c>
      <c r="B160" s="11" t="s">
        <v>3</v>
      </c>
      <c r="C160" s="12">
        <v>2615904.8227359676</v>
      </c>
      <c r="D160" s="35">
        <v>67247.0848270688</v>
      </c>
      <c r="E160" s="35">
        <v>79228.073237687771</v>
      </c>
      <c r="F160" s="35">
        <v>83211.034967998654</v>
      </c>
      <c r="G160" s="35">
        <v>114957.35112347442</v>
      </c>
      <c r="H160" s="35">
        <v>88007.881533218053</v>
      </c>
      <c r="I160" s="35">
        <v>57170.525489455133</v>
      </c>
      <c r="J160" s="35">
        <v>115409.53411460915</v>
      </c>
      <c r="K160" s="35">
        <v>51062.996996708847</v>
      </c>
      <c r="L160" s="35">
        <v>88897.778328008208</v>
      </c>
      <c r="M160" s="35">
        <v>57420.334758340883</v>
      </c>
      <c r="N160" s="35">
        <v>98013.886179864683</v>
      </c>
      <c r="O160" s="35">
        <v>69992.07252896305</v>
      </c>
      <c r="P160" s="35">
        <v>68023.845383646854</v>
      </c>
      <c r="Q160" s="35">
        <v>141659.89785748525</v>
      </c>
      <c r="R160" s="35">
        <v>41806.707869876525</v>
      </c>
      <c r="S160" s="35">
        <v>200866.09602491348</v>
      </c>
      <c r="T160" s="35">
        <v>96609.391200996688</v>
      </c>
      <c r="U160" s="35">
        <v>79503.516820760706</v>
      </c>
      <c r="V160" s="35">
        <v>86388.446263886231</v>
      </c>
      <c r="W160" s="35">
        <v>56449.599847486126</v>
      </c>
      <c r="X160" s="35">
        <v>62869.71476377498</v>
      </c>
      <c r="Y160" s="35">
        <v>86814.261736336746</v>
      </c>
      <c r="Z160" s="35">
        <v>48557.098928332431</v>
      </c>
      <c r="AA160" s="35">
        <v>74698.103828316525</v>
      </c>
      <c r="AB160" s="35">
        <v>70011.210094442402</v>
      </c>
      <c r="AC160" s="35">
        <v>80125.691882370651</v>
      </c>
      <c r="AD160" s="35">
        <v>70021.76267055783</v>
      </c>
      <c r="AE160" s="35">
        <v>112238.83303202983</v>
      </c>
      <c r="AF160" s="35">
        <v>80981.202314357201</v>
      </c>
      <c r="AG160" s="35">
        <v>187660.88813099932</v>
      </c>
    </row>
    <row r="161" spans="1:33" x14ac:dyDescent="0.25">
      <c r="A161" s="10" t="s">
        <v>39</v>
      </c>
      <c r="B161" s="11" t="s">
        <v>4</v>
      </c>
      <c r="C161" s="12">
        <v>1839159.2470397318</v>
      </c>
      <c r="D161" s="35">
        <v>55320.269614756842</v>
      </c>
      <c r="E161" s="35">
        <v>58793.580596734617</v>
      </c>
      <c r="F161" s="35">
        <v>58937.06519308759</v>
      </c>
      <c r="G161" s="35">
        <v>68725.422079539319</v>
      </c>
      <c r="H161" s="35">
        <v>83954.674500711888</v>
      </c>
      <c r="I161" s="35">
        <v>72630.448068827027</v>
      </c>
      <c r="J161" s="35">
        <v>58644.605496929056</v>
      </c>
      <c r="K161" s="35">
        <v>50535.905444643657</v>
      </c>
      <c r="L161" s="35">
        <v>64021.052779024874</v>
      </c>
      <c r="M161" s="35">
        <v>53942.640919213125</v>
      </c>
      <c r="N161" s="35">
        <v>60312.003289695873</v>
      </c>
      <c r="O161" s="35">
        <v>76729.441016993514</v>
      </c>
      <c r="P161" s="35">
        <v>59125.903197745756</v>
      </c>
      <c r="Q161" s="35">
        <v>50686.44445508044</v>
      </c>
      <c r="R161" s="35">
        <v>45685.293683867421</v>
      </c>
      <c r="S161" s="35">
        <v>50248.86898696432</v>
      </c>
      <c r="T161" s="35">
        <v>53135.755522845509</v>
      </c>
      <c r="U161" s="35">
        <v>70116.94099208714</v>
      </c>
      <c r="V161" s="35">
        <v>59206.59594144336</v>
      </c>
      <c r="W161" s="35">
        <v>79709.161624268381</v>
      </c>
      <c r="X161" s="35">
        <v>59825.837286430404</v>
      </c>
      <c r="Y161" s="35">
        <v>49289.905893893731</v>
      </c>
      <c r="Z161" s="35">
        <v>45717.505197997409</v>
      </c>
      <c r="AA161" s="35">
        <v>45732.353940872265</v>
      </c>
      <c r="AB161" s="35">
        <v>53163.216448230152</v>
      </c>
      <c r="AC161" s="35">
        <v>66859.575799041893</v>
      </c>
      <c r="AD161" s="35">
        <v>63313.870889457939</v>
      </c>
      <c r="AE161" s="35">
        <v>83705.045776356565</v>
      </c>
      <c r="AF161" s="35">
        <v>81439.494207759053</v>
      </c>
      <c r="AG161" s="35">
        <v>59650.368195232608</v>
      </c>
    </row>
    <row r="162" spans="1:33" ht="15.75" thickBot="1" x14ac:dyDescent="0.3">
      <c r="A162" s="13" t="s">
        <v>39</v>
      </c>
      <c r="B162" s="14" t="s">
        <v>5</v>
      </c>
      <c r="C162" s="15">
        <v>2519764.6106884312</v>
      </c>
      <c r="D162" s="36">
        <v>92423.611641906449</v>
      </c>
      <c r="E162" s="36">
        <v>81057.871357185111</v>
      </c>
      <c r="F162" s="36">
        <v>83267.326854157829</v>
      </c>
      <c r="G162" s="36">
        <v>78501.018034503621</v>
      </c>
      <c r="H162" s="36">
        <v>73306.000416189199</v>
      </c>
      <c r="I162" s="36">
        <v>97652.747738555685</v>
      </c>
      <c r="J162" s="36">
        <v>80110.551036906021</v>
      </c>
      <c r="K162" s="36">
        <v>76475.52184605517</v>
      </c>
      <c r="L162" s="36">
        <v>94887.331459601701</v>
      </c>
      <c r="M162" s="36">
        <v>81058.048872681131</v>
      </c>
      <c r="N162" s="36">
        <v>88497.510292233579</v>
      </c>
      <c r="O162" s="36">
        <v>67312.189693114604</v>
      </c>
      <c r="P162" s="36">
        <v>78023.962890502691</v>
      </c>
      <c r="Q162" s="36">
        <v>82043.233248261036</v>
      </c>
      <c r="R162" s="36">
        <v>66423.20096482728</v>
      </c>
      <c r="S162" s="36">
        <v>76274.201522020245</v>
      </c>
      <c r="T162" s="36">
        <v>65307.516072349157</v>
      </c>
      <c r="U162" s="36">
        <v>76828.040993824092</v>
      </c>
      <c r="V162" s="36">
        <v>71410.658589421728</v>
      </c>
      <c r="W162" s="36">
        <v>91352.847045695889</v>
      </c>
      <c r="X162" s="36">
        <v>104146.05156432795</v>
      </c>
      <c r="Y162" s="36">
        <v>89843.787814040115</v>
      </c>
      <c r="Z162" s="36">
        <v>81400.884550142233</v>
      </c>
      <c r="AA162" s="36">
        <v>67510.900539358045</v>
      </c>
      <c r="AB162" s="36">
        <v>83594.434658671671</v>
      </c>
      <c r="AC162" s="36">
        <v>93100.22083075688</v>
      </c>
      <c r="AD162" s="36">
        <v>113735.22564066798</v>
      </c>
      <c r="AE162" s="36">
        <v>92770.095262810733</v>
      </c>
      <c r="AF162" s="36">
        <v>114630.96883357884</v>
      </c>
      <c r="AG162" s="36">
        <v>76818.650424084684</v>
      </c>
    </row>
    <row r="163" spans="1:33" x14ac:dyDescent="0.25">
      <c r="A163" s="8" t="s">
        <v>40</v>
      </c>
      <c r="B163" s="8" t="s">
        <v>2</v>
      </c>
      <c r="C163" s="9">
        <v>1755654.3921248731</v>
      </c>
      <c r="D163" s="34">
        <v>56837.813842538657</v>
      </c>
      <c r="E163" s="34">
        <v>66121.634907056228</v>
      </c>
      <c r="F163" s="34">
        <v>57615.113364946868</v>
      </c>
      <c r="G163" s="34">
        <v>66240.4663776339</v>
      </c>
      <c r="H163" s="34">
        <v>64879.187662055127</v>
      </c>
      <c r="I163" s="34">
        <v>54910.52462389518</v>
      </c>
      <c r="J163" s="34">
        <v>55246.313307022276</v>
      </c>
      <c r="K163" s="34">
        <v>54041.848132932748</v>
      </c>
      <c r="L163" s="34">
        <v>56497.288723992948</v>
      </c>
      <c r="M163" s="34">
        <v>55774.089388108012</v>
      </c>
      <c r="N163" s="34">
        <v>61075.292966071465</v>
      </c>
      <c r="O163" s="34">
        <v>64683.848524278386</v>
      </c>
      <c r="P163" s="34">
        <v>44191.893625086901</v>
      </c>
      <c r="Q163" s="34">
        <v>57009.438450521367</v>
      </c>
      <c r="R163" s="34">
        <v>58730.925667901902</v>
      </c>
      <c r="S163" s="34">
        <v>60395.498013776793</v>
      </c>
      <c r="T163" s="34">
        <v>57548.712681523612</v>
      </c>
      <c r="U163" s="34">
        <v>61250.334019274167</v>
      </c>
      <c r="V163" s="34">
        <v>62824.577624105514</v>
      </c>
      <c r="W163" s="34">
        <v>50999.73013344303</v>
      </c>
      <c r="X163" s="34">
        <v>56710.991254827102</v>
      </c>
      <c r="Y163" s="34">
        <v>74045.30960052814</v>
      </c>
      <c r="Z163" s="34">
        <v>68717.583278328471</v>
      </c>
      <c r="AA163" s="34">
        <v>59895.053494450927</v>
      </c>
      <c r="AB163" s="34">
        <v>48269.628052424669</v>
      </c>
      <c r="AC163" s="34">
        <v>62952.008442594866</v>
      </c>
      <c r="AD163" s="34">
        <v>45873.06937708769</v>
      </c>
      <c r="AE163" s="34">
        <v>70864.539312931054</v>
      </c>
      <c r="AF163" s="34">
        <v>47306.895789269627</v>
      </c>
      <c r="AG163" s="34">
        <v>54144.781486265165</v>
      </c>
    </row>
    <row r="164" spans="1:33" x14ac:dyDescent="0.25">
      <c r="A164" s="10" t="s">
        <v>40</v>
      </c>
      <c r="B164" s="11" t="s">
        <v>3</v>
      </c>
      <c r="C164" s="12">
        <v>516854.3208446966</v>
      </c>
      <c r="D164" s="35">
        <v>9911.0471692916017</v>
      </c>
      <c r="E164" s="35">
        <v>15429.490492812174</v>
      </c>
      <c r="F164" s="35">
        <v>15436.604608793668</v>
      </c>
      <c r="G164" s="35">
        <v>15935.54441718586</v>
      </c>
      <c r="H164" s="35">
        <v>24095.454293300183</v>
      </c>
      <c r="I164" s="35">
        <v>16672.896626324768</v>
      </c>
      <c r="J164" s="35">
        <v>21001.774953707925</v>
      </c>
      <c r="K164" s="35">
        <v>17378.437900955694</v>
      </c>
      <c r="L164" s="35">
        <v>12037.197312730463</v>
      </c>
      <c r="M164" s="35">
        <v>14377.703779961394</v>
      </c>
      <c r="N164" s="35">
        <v>14646.183921233867</v>
      </c>
      <c r="O164" s="35">
        <v>25997.721793400891</v>
      </c>
      <c r="P164" s="35">
        <v>15232.019593972207</v>
      </c>
      <c r="Q164" s="35">
        <v>13110.976537767745</v>
      </c>
      <c r="R164" s="35">
        <v>11403.18352739162</v>
      </c>
      <c r="S164" s="35">
        <v>14890.108584032469</v>
      </c>
      <c r="T164" s="35">
        <v>17782.915440851884</v>
      </c>
      <c r="U164" s="35">
        <v>14033.908235986823</v>
      </c>
      <c r="V164" s="35">
        <v>23403.500509060399</v>
      </c>
      <c r="W164" s="35">
        <v>28982.974467299038</v>
      </c>
      <c r="X164" s="35">
        <v>14526.987143530683</v>
      </c>
      <c r="Y164" s="35">
        <v>18429.630985585503</v>
      </c>
      <c r="Z164" s="35">
        <v>11166.693351360434</v>
      </c>
      <c r="AA164" s="35">
        <v>17702.068930757552</v>
      </c>
      <c r="AB164" s="35">
        <v>15844.643918015696</v>
      </c>
      <c r="AC164" s="35">
        <v>23722.872491943541</v>
      </c>
      <c r="AD164" s="35">
        <v>19205.08847290873</v>
      </c>
      <c r="AE164" s="35">
        <v>27673.666178588341</v>
      </c>
      <c r="AF164" s="35">
        <v>15012.92366708253</v>
      </c>
      <c r="AG164" s="35">
        <v>11810.10153886292</v>
      </c>
    </row>
    <row r="165" spans="1:33" x14ac:dyDescent="0.25">
      <c r="A165" s="10" t="s">
        <v>40</v>
      </c>
      <c r="B165" s="11" t="s">
        <v>4</v>
      </c>
      <c r="C165" s="12">
        <v>5806577.3352949051</v>
      </c>
      <c r="D165" s="35">
        <v>176953.97486413867</v>
      </c>
      <c r="E165" s="35">
        <v>178895.57091223114</v>
      </c>
      <c r="F165" s="35">
        <v>182861.48145432913</v>
      </c>
      <c r="G165" s="35">
        <v>225069.45717930509</v>
      </c>
      <c r="H165" s="35">
        <v>239083.10872354472</v>
      </c>
      <c r="I165" s="35">
        <v>183929.23254474549</v>
      </c>
      <c r="J165" s="35">
        <v>177717.10353121336</v>
      </c>
      <c r="K165" s="35">
        <v>163898.48637953313</v>
      </c>
      <c r="L165" s="35">
        <v>173609.72775454083</v>
      </c>
      <c r="M165" s="35">
        <v>173238.57664090896</v>
      </c>
      <c r="N165" s="35">
        <v>200866.82350475175</v>
      </c>
      <c r="O165" s="35">
        <v>253549.4552006684</v>
      </c>
      <c r="P165" s="35">
        <v>191935.92835077</v>
      </c>
      <c r="Q165" s="35">
        <v>164933.07745019862</v>
      </c>
      <c r="R165" s="35">
        <v>157537.43479769083</v>
      </c>
      <c r="S165" s="35">
        <v>166972.70845763842</v>
      </c>
      <c r="T165" s="35">
        <v>185241.67691537426</v>
      </c>
      <c r="U165" s="35">
        <v>209144.68805770189</v>
      </c>
      <c r="V165" s="35">
        <v>257961.58477340126</v>
      </c>
      <c r="W165" s="35">
        <v>201554.38194736972</v>
      </c>
      <c r="X165" s="35">
        <v>164680.77228011101</v>
      </c>
      <c r="Y165" s="35">
        <v>200974.22456615878</v>
      </c>
      <c r="Z165" s="35">
        <v>180994.11872008585</v>
      </c>
      <c r="AA165" s="35">
        <v>169918.04617093247</v>
      </c>
      <c r="AB165" s="35">
        <v>172023.13170349222</v>
      </c>
      <c r="AC165" s="35">
        <v>239852.92967146399</v>
      </c>
      <c r="AD165" s="35">
        <v>183867.91239635978</v>
      </c>
      <c r="AE165" s="35">
        <v>254350.72059518899</v>
      </c>
      <c r="AF165" s="35">
        <v>194250.61519204627</v>
      </c>
      <c r="AG165" s="35">
        <v>180710.38455901088</v>
      </c>
    </row>
    <row r="166" spans="1:33" ht="15.75" thickBot="1" x14ac:dyDescent="0.3">
      <c r="A166" s="13" t="s">
        <v>40</v>
      </c>
      <c r="B166" s="14" t="s">
        <v>5</v>
      </c>
      <c r="C166" s="15">
        <v>28847.260985582667</v>
      </c>
      <c r="D166" s="36">
        <v>1357.5288045000061</v>
      </c>
      <c r="E166" s="36">
        <v>1251.540619354809</v>
      </c>
      <c r="F166" s="36">
        <v>1148.9189615085922</v>
      </c>
      <c r="G166" s="36">
        <v>1626.1170280425006</v>
      </c>
      <c r="H166" s="36">
        <v>2244.5010763325895</v>
      </c>
      <c r="I166" s="36">
        <v>1206.7798035667108</v>
      </c>
      <c r="J166" s="36">
        <v>1377.1250081806393</v>
      </c>
      <c r="K166" s="36">
        <v>1029.2242009318313</v>
      </c>
      <c r="L166" s="36">
        <v>391.84870359850618</v>
      </c>
      <c r="M166" s="36">
        <v>457.09221799564705</v>
      </c>
      <c r="N166" s="36">
        <v>1491.1418943576268</v>
      </c>
      <c r="O166" s="36">
        <v>1285.7245098229757</v>
      </c>
      <c r="P166" s="36">
        <v>1076.4112133661033</v>
      </c>
      <c r="Q166" s="36">
        <v>789.21377442359346</v>
      </c>
      <c r="R166" s="36">
        <v>467.27793705162446</v>
      </c>
      <c r="S166" s="36">
        <v>246.30561721443394</v>
      </c>
      <c r="T166" s="36">
        <v>226.92834547968334</v>
      </c>
      <c r="U166" s="36">
        <v>1010.1250804398004</v>
      </c>
      <c r="V166" s="36">
        <v>938.25438836934654</v>
      </c>
      <c r="W166" s="36">
        <v>766.74633210843535</v>
      </c>
      <c r="X166" s="36">
        <v>1025.4000699754733</v>
      </c>
      <c r="Y166" s="36">
        <v>1392.7858204078266</v>
      </c>
      <c r="Z166" s="36">
        <v>1599.7141942738967</v>
      </c>
      <c r="AA166" s="36">
        <v>668.24310717861556</v>
      </c>
      <c r="AB166" s="36">
        <v>380.97747631853588</v>
      </c>
      <c r="AC166" s="36">
        <v>327.59756105442295</v>
      </c>
      <c r="AD166" s="36">
        <v>360.6885863173236</v>
      </c>
      <c r="AE166" s="36">
        <v>1382.171210080817</v>
      </c>
      <c r="AF166" s="36">
        <v>796.51210412772662</v>
      </c>
      <c r="AG166" s="36">
        <v>524.36533920256784</v>
      </c>
    </row>
    <row r="167" spans="1:33" x14ac:dyDescent="0.25">
      <c r="A167" s="8" t="s">
        <v>41</v>
      </c>
      <c r="B167" s="8" t="s">
        <v>2</v>
      </c>
      <c r="C167" s="9">
        <v>846314.2221789558</v>
      </c>
      <c r="D167" s="34">
        <v>31046.216280802379</v>
      </c>
      <c r="E167" s="34">
        <v>25238.20027251268</v>
      </c>
      <c r="F167" s="34">
        <v>25802.033071831342</v>
      </c>
      <c r="G167" s="34">
        <v>30148.197682890735</v>
      </c>
      <c r="H167" s="34">
        <v>27428.209883235977</v>
      </c>
      <c r="I167" s="34">
        <v>33487.865940108015</v>
      </c>
      <c r="J167" s="34">
        <v>21821.119040459427</v>
      </c>
      <c r="K167" s="34">
        <v>25555.774776323939</v>
      </c>
      <c r="L167" s="34">
        <v>24836.107347634832</v>
      </c>
      <c r="M167" s="34">
        <v>25900.966674918345</v>
      </c>
      <c r="N167" s="34">
        <v>24145.212826548046</v>
      </c>
      <c r="O167" s="34">
        <v>27820.713966929292</v>
      </c>
      <c r="P167" s="34">
        <v>33023.956271428695</v>
      </c>
      <c r="Q167" s="34">
        <v>28827.267777209927</v>
      </c>
      <c r="R167" s="34">
        <v>27645.835720213003</v>
      </c>
      <c r="S167" s="34">
        <v>32775.776377255155</v>
      </c>
      <c r="T167" s="34">
        <v>32398.204583528961</v>
      </c>
      <c r="U167" s="34">
        <v>24733.707206090305</v>
      </c>
      <c r="V167" s="34">
        <v>34327.221514288198</v>
      </c>
      <c r="W167" s="34">
        <v>28454.535092417074</v>
      </c>
      <c r="X167" s="34">
        <v>31465.903643965561</v>
      </c>
      <c r="Y167" s="34">
        <v>25710.351748095618</v>
      </c>
      <c r="Z167" s="34">
        <v>22694.361145270432</v>
      </c>
      <c r="AA167" s="34">
        <v>19516.522139176108</v>
      </c>
      <c r="AB167" s="34">
        <v>26100.793784050849</v>
      </c>
      <c r="AC167" s="34">
        <v>29963.813587623335</v>
      </c>
      <c r="AD167" s="34">
        <v>29875.98184526862</v>
      </c>
      <c r="AE167" s="34">
        <v>27655.255160664619</v>
      </c>
      <c r="AF167" s="34">
        <v>34297.778281569786</v>
      </c>
      <c r="AG167" s="34">
        <v>33616.338536644304</v>
      </c>
    </row>
    <row r="168" spans="1:33" x14ac:dyDescent="0.25">
      <c r="A168" s="10" t="s">
        <v>41</v>
      </c>
      <c r="B168" s="11" t="s">
        <v>3</v>
      </c>
      <c r="C168" s="12">
        <v>1223870.0378598364</v>
      </c>
      <c r="D168" s="35">
        <v>36074.089429575892</v>
      </c>
      <c r="E168" s="35">
        <v>44623.536551077283</v>
      </c>
      <c r="F168" s="35">
        <v>28792.673445529781</v>
      </c>
      <c r="G168" s="35">
        <v>41453.159685805957</v>
      </c>
      <c r="H168" s="35">
        <v>46339.980529575791</v>
      </c>
      <c r="I168" s="35">
        <v>54522.587911552087</v>
      </c>
      <c r="J168" s="35">
        <v>38442.460372626585</v>
      </c>
      <c r="K168" s="35">
        <v>35397.373571637152</v>
      </c>
      <c r="L168" s="35">
        <v>31692.286222000992</v>
      </c>
      <c r="M168" s="35">
        <v>43574.329444747265</v>
      </c>
      <c r="N168" s="35">
        <v>25496.46827703694</v>
      </c>
      <c r="O168" s="35">
        <v>47330.968123935207</v>
      </c>
      <c r="P168" s="35">
        <v>40630.3119557561</v>
      </c>
      <c r="Q168" s="35">
        <v>37401.326850391109</v>
      </c>
      <c r="R168" s="35">
        <v>37802.583979889583</v>
      </c>
      <c r="S168" s="35">
        <v>38817.792326532603</v>
      </c>
      <c r="T168" s="35">
        <v>40790.97627923738</v>
      </c>
      <c r="U168" s="35">
        <v>57173.713710891439</v>
      </c>
      <c r="V168" s="35">
        <v>57843.671679921426</v>
      </c>
      <c r="W168" s="35">
        <v>36509.584536067865</v>
      </c>
      <c r="X168" s="35">
        <v>32429.045623872436</v>
      </c>
      <c r="Y168" s="35">
        <v>31245.547902103295</v>
      </c>
      <c r="Z168" s="35">
        <v>31061.051554461472</v>
      </c>
      <c r="AA168" s="35">
        <v>27805.842251870887</v>
      </c>
      <c r="AB168" s="35">
        <v>32732.791798806898</v>
      </c>
      <c r="AC168" s="35">
        <v>48865.397634346882</v>
      </c>
      <c r="AD168" s="35">
        <v>59159.037941901333</v>
      </c>
      <c r="AE168" s="35">
        <v>56329.39622758278</v>
      </c>
      <c r="AF168" s="35">
        <v>39110.833527000977</v>
      </c>
      <c r="AG168" s="35">
        <v>44421.218514100859</v>
      </c>
    </row>
    <row r="169" spans="1:33" x14ac:dyDescent="0.25">
      <c r="A169" s="10" t="s">
        <v>41</v>
      </c>
      <c r="B169" s="11" t="s">
        <v>4</v>
      </c>
      <c r="C169" s="12">
        <v>1051005.2700351975</v>
      </c>
      <c r="D169" s="35">
        <v>49427.714832259648</v>
      </c>
      <c r="E169" s="35">
        <v>27312.152601731636</v>
      </c>
      <c r="F169" s="35">
        <v>40620.846249976988</v>
      </c>
      <c r="G169" s="35">
        <v>43470.067719232298</v>
      </c>
      <c r="H169" s="35">
        <v>40673.351551738815</v>
      </c>
      <c r="I169" s="35">
        <v>31553.047121339652</v>
      </c>
      <c r="J169" s="35">
        <v>28961.477333941042</v>
      </c>
      <c r="K169" s="35">
        <v>36923.063342608642</v>
      </c>
      <c r="L169" s="35">
        <v>27737.088472690681</v>
      </c>
      <c r="M169" s="35">
        <v>26427.983191968411</v>
      </c>
      <c r="N169" s="35">
        <v>29284.718725698222</v>
      </c>
      <c r="O169" s="35">
        <v>34894.824831853781</v>
      </c>
      <c r="P169" s="35">
        <v>37094.613781540706</v>
      </c>
      <c r="Q169" s="35">
        <v>36694.971120998693</v>
      </c>
      <c r="R169" s="35">
        <v>34916.410689798686</v>
      </c>
      <c r="S169" s="35">
        <v>48235.81032742752</v>
      </c>
      <c r="T169" s="35">
        <v>35641.263302790787</v>
      </c>
      <c r="U169" s="35">
        <v>33368.910846174585</v>
      </c>
      <c r="V169" s="35">
        <v>41652.11123429166</v>
      </c>
      <c r="W169" s="35">
        <v>38750.595602276277</v>
      </c>
      <c r="X169" s="35">
        <v>37072.984453801328</v>
      </c>
      <c r="Y169" s="35">
        <v>24080.955838405316</v>
      </c>
      <c r="Z169" s="35">
        <v>26665.179230536716</v>
      </c>
      <c r="AA169" s="35">
        <v>22712.619857718018</v>
      </c>
      <c r="AB169" s="35">
        <v>28095.124329944196</v>
      </c>
      <c r="AC169" s="35">
        <v>33122.182502673772</v>
      </c>
      <c r="AD169" s="35">
        <v>32666.196778514353</v>
      </c>
      <c r="AE169" s="35">
        <v>38537.103021641138</v>
      </c>
      <c r="AF169" s="35">
        <v>41511.144900761967</v>
      </c>
      <c r="AG169" s="35">
        <v>42900.756240862152</v>
      </c>
    </row>
    <row r="170" spans="1:33" ht="15.75" thickBot="1" x14ac:dyDescent="0.3">
      <c r="A170" s="13" t="s">
        <v>41</v>
      </c>
      <c r="B170" s="14" t="s">
        <v>5</v>
      </c>
      <c r="C170" s="15">
        <v>2674487.3489808501</v>
      </c>
      <c r="D170" s="36">
        <v>96750.056368323101</v>
      </c>
      <c r="E170" s="36">
        <v>77139.914705483883</v>
      </c>
      <c r="F170" s="36">
        <v>65103.371365588064</v>
      </c>
      <c r="G170" s="36">
        <v>97253.153823222281</v>
      </c>
      <c r="H170" s="36">
        <v>99503.425571370768</v>
      </c>
      <c r="I170" s="36">
        <v>89411.478106034177</v>
      </c>
      <c r="J170" s="36">
        <v>85057.599426522022</v>
      </c>
      <c r="K170" s="36">
        <v>83464.492963709141</v>
      </c>
      <c r="L170" s="36">
        <v>81052.884398343842</v>
      </c>
      <c r="M170" s="36">
        <v>98508.930419036726</v>
      </c>
      <c r="N170" s="36">
        <v>79283.942564421377</v>
      </c>
      <c r="O170" s="36">
        <v>108633.02068166577</v>
      </c>
      <c r="P170" s="36">
        <v>84279.778421352254</v>
      </c>
      <c r="Q170" s="36">
        <v>71189.216230432648</v>
      </c>
      <c r="R170" s="36">
        <v>94570.085656097319</v>
      </c>
      <c r="S170" s="36">
        <v>78217.191160631482</v>
      </c>
      <c r="T170" s="36">
        <v>89450.022657410896</v>
      </c>
      <c r="U170" s="36">
        <v>96040.525996007709</v>
      </c>
      <c r="V170" s="36">
        <v>97009.12242646153</v>
      </c>
      <c r="W170" s="36">
        <v>88091.810112314881</v>
      </c>
      <c r="X170" s="36">
        <v>79828.769679872188</v>
      </c>
      <c r="Y170" s="36">
        <v>77685.175437282771</v>
      </c>
      <c r="Z170" s="36">
        <v>77068.565106392198</v>
      </c>
      <c r="AA170" s="36">
        <v>81550.329072850902</v>
      </c>
      <c r="AB170" s="36">
        <v>87113.555863199494</v>
      </c>
      <c r="AC170" s="36">
        <v>92499.819879933508</v>
      </c>
      <c r="AD170" s="36">
        <v>104481.44373836274</v>
      </c>
      <c r="AE170" s="36">
        <v>133490.72431739149</v>
      </c>
      <c r="AF170" s="36">
        <v>96163.034440238174</v>
      </c>
      <c r="AG170" s="36">
        <v>84595.908390896817</v>
      </c>
    </row>
    <row r="171" spans="1:33" x14ac:dyDescent="0.25">
      <c r="A171" s="8" t="s">
        <v>42</v>
      </c>
      <c r="B171" s="8" t="s">
        <v>2</v>
      </c>
      <c r="C171" s="9">
        <v>829258.02263389761</v>
      </c>
      <c r="D171" s="34">
        <v>31123.584146728484</v>
      </c>
      <c r="E171" s="34">
        <v>30024.183302890557</v>
      </c>
      <c r="F171" s="34">
        <v>30846.512278912454</v>
      </c>
      <c r="G171" s="34">
        <v>31694.344934552333</v>
      </c>
      <c r="H171" s="34">
        <v>29798.206181720889</v>
      </c>
      <c r="I171" s="34">
        <v>21494.842665147309</v>
      </c>
      <c r="J171" s="34">
        <v>28513.846522730408</v>
      </c>
      <c r="K171" s="34">
        <v>29114.191310026774</v>
      </c>
      <c r="L171" s="34">
        <v>30040.262586403001</v>
      </c>
      <c r="M171" s="34">
        <v>26895.014911512204</v>
      </c>
      <c r="N171" s="34">
        <v>28404.370263832549</v>
      </c>
      <c r="O171" s="34">
        <v>27938.588644325522</v>
      </c>
      <c r="P171" s="34">
        <v>20763.598259189635</v>
      </c>
      <c r="Q171" s="34">
        <v>26937.290251817289</v>
      </c>
      <c r="R171" s="34">
        <v>26306.205262387804</v>
      </c>
      <c r="S171" s="34">
        <v>24837.632942287357</v>
      </c>
      <c r="T171" s="34">
        <v>27408.086564259214</v>
      </c>
      <c r="U171" s="34">
        <v>28618.550084599065</v>
      </c>
      <c r="V171" s="34">
        <v>24252.533897050449</v>
      </c>
      <c r="W171" s="34">
        <v>22404.532163128959</v>
      </c>
      <c r="X171" s="34">
        <v>29090.005163673191</v>
      </c>
      <c r="Y171" s="34">
        <v>32007.99179467238</v>
      </c>
      <c r="Z171" s="34">
        <v>25411.210293569286</v>
      </c>
      <c r="AA171" s="34">
        <v>27211.942160576262</v>
      </c>
      <c r="AB171" s="34">
        <v>28054.182021950939</v>
      </c>
      <c r="AC171" s="34">
        <v>26978.879937056208</v>
      </c>
      <c r="AD171" s="34">
        <v>24080.427753334261</v>
      </c>
      <c r="AE171" s="34">
        <v>34019.184166705782</v>
      </c>
      <c r="AF171" s="34">
        <v>24113.930742057513</v>
      </c>
      <c r="AG171" s="34">
        <v>30873.891426799652</v>
      </c>
    </row>
    <row r="172" spans="1:33" x14ac:dyDescent="0.25">
      <c r="A172" s="10" t="s">
        <v>42</v>
      </c>
      <c r="B172" s="11" t="s">
        <v>3</v>
      </c>
      <c r="C172" s="12">
        <v>1131814.0721519662</v>
      </c>
      <c r="D172" s="35">
        <v>36416.933626708553</v>
      </c>
      <c r="E172" s="35">
        <v>36049.000618669546</v>
      </c>
      <c r="F172" s="35">
        <v>25908.710824809019</v>
      </c>
      <c r="G172" s="35">
        <v>36952.716762531134</v>
      </c>
      <c r="H172" s="35">
        <v>36121.758029671517</v>
      </c>
      <c r="I172" s="35">
        <v>28447.863175581035</v>
      </c>
      <c r="J172" s="35">
        <v>31013.933736093863</v>
      </c>
      <c r="K172" s="35">
        <v>38663.8064505742</v>
      </c>
      <c r="L172" s="35">
        <v>33674.934426995009</v>
      </c>
      <c r="M172" s="35">
        <v>64680.972561364222</v>
      </c>
      <c r="N172" s="35">
        <v>79342.9322160054</v>
      </c>
      <c r="O172" s="35">
        <v>35762.370968930372</v>
      </c>
      <c r="P172" s="35">
        <v>19622.379059392788</v>
      </c>
      <c r="Q172" s="35">
        <v>29167.440067380241</v>
      </c>
      <c r="R172" s="35">
        <v>26616.317293401476</v>
      </c>
      <c r="S172" s="35">
        <v>32866.89021394118</v>
      </c>
      <c r="T172" s="35">
        <v>25940.872445733767</v>
      </c>
      <c r="U172" s="35">
        <v>40686.594577873453</v>
      </c>
      <c r="V172" s="35">
        <v>36854.56538922555</v>
      </c>
      <c r="W172" s="35">
        <v>31088.84541680706</v>
      </c>
      <c r="X172" s="35">
        <v>31830.219046958115</v>
      </c>
      <c r="Y172" s="35">
        <v>103135.92662809436</v>
      </c>
      <c r="Z172" s="35">
        <v>29450.53346306513</v>
      </c>
      <c r="AA172" s="35">
        <v>18823.175481474671</v>
      </c>
      <c r="AB172" s="35">
        <v>32187.075856953517</v>
      </c>
      <c r="AC172" s="35">
        <v>42975.302913065236</v>
      </c>
      <c r="AD172" s="35">
        <v>33371.659995241702</v>
      </c>
      <c r="AE172" s="35">
        <v>51671.967797511592</v>
      </c>
      <c r="AF172" s="35">
        <v>33779.833135622568</v>
      </c>
      <c r="AG172" s="35">
        <v>28708.539972289618</v>
      </c>
    </row>
    <row r="173" spans="1:33" x14ac:dyDescent="0.25">
      <c r="A173" s="10" t="s">
        <v>42</v>
      </c>
      <c r="B173" s="11" t="s">
        <v>4</v>
      </c>
      <c r="C173" s="12">
        <v>1727729.1185480547</v>
      </c>
      <c r="D173" s="35">
        <v>57444.602985674057</v>
      </c>
      <c r="E173" s="35">
        <v>58279.727651484442</v>
      </c>
      <c r="F173" s="35">
        <v>62951.870283452605</v>
      </c>
      <c r="G173" s="35">
        <v>70009.199343770044</v>
      </c>
      <c r="H173" s="35">
        <v>65013.862496878675</v>
      </c>
      <c r="I173" s="35">
        <v>42475.427651636841</v>
      </c>
      <c r="J173" s="35">
        <v>54845.658641345988</v>
      </c>
      <c r="K173" s="35">
        <v>57259.311331404613</v>
      </c>
      <c r="L173" s="35">
        <v>55110.190586198703</v>
      </c>
      <c r="M173" s="35">
        <v>55942.258372150318</v>
      </c>
      <c r="N173" s="35">
        <v>64605.776491535697</v>
      </c>
      <c r="O173" s="35">
        <v>60130.206146096345</v>
      </c>
      <c r="P173" s="35">
        <v>48847.911242323462</v>
      </c>
      <c r="Q173" s="35">
        <v>60199.00831033256</v>
      </c>
      <c r="R173" s="35">
        <v>50926.582090491233</v>
      </c>
      <c r="S173" s="35">
        <v>55594.020109798679</v>
      </c>
      <c r="T173" s="35">
        <v>55793.246662741454</v>
      </c>
      <c r="U173" s="35">
        <v>70849.88603976251</v>
      </c>
      <c r="V173" s="35">
        <v>65542.657977620896</v>
      </c>
      <c r="W173" s="35">
        <v>54747.502974660922</v>
      </c>
      <c r="X173" s="35">
        <v>68532.845664850494</v>
      </c>
      <c r="Y173" s="35">
        <v>52580.33172667912</v>
      </c>
      <c r="Z173" s="35">
        <v>47307.534569873744</v>
      </c>
      <c r="AA173" s="35">
        <v>50629.893260685021</v>
      </c>
      <c r="AB173" s="35">
        <v>67875.273528203645</v>
      </c>
      <c r="AC173" s="35">
        <v>63037.537477543861</v>
      </c>
      <c r="AD173" s="35">
        <v>44964.123014326316</v>
      </c>
      <c r="AE173" s="35">
        <v>58211.34301230211</v>
      </c>
      <c r="AF173" s="35">
        <v>42978.030891052469</v>
      </c>
      <c r="AG173" s="35">
        <v>65043.298013177395</v>
      </c>
    </row>
    <row r="174" spans="1:33" ht="15.75" thickBot="1" x14ac:dyDescent="0.3">
      <c r="A174" s="13" t="s">
        <v>42</v>
      </c>
      <c r="B174" s="14" t="s">
        <v>5</v>
      </c>
      <c r="C174" s="15">
        <v>2274216.5454152981</v>
      </c>
      <c r="D174" s="36">
        <v>74724.056895165995</v>
      </c>
      <c r="E174" s="36">
        <v>72930.488601664547</v>
      </c>
      <c r="F174" s="36">
        <v>91770.874608640064</v>
      </c>
      <c r="G174" s="36">
        <v>77427.052309115781</v>
      </c>
      <c r="H174" s="36">
        <v>67374.83008729323</v>
      </c>
      <c r="I174" s="36">
        <v>73263.766126457078</v>
      </c>
      <c r="J174" s="36">
        <v>64615.924330695954</v>
      </c>
      <c r="K174" s="36">
        <v>69993.857587376799</v>
      </c>
      <c r="L174" s="36">
        <v>77824.882727690332</v>
      </c>
      <c r="M174" s="36">
        <v>77027.255812558025</v>
      </c>
      <c r="N174" s="36">
        <v>89844.971517553538</v>
      </c>
      <c r="O174" s="36">
        <v>73556.800492530805</v>
      </c>
      <c r="P174" s="36">
        <v>81784.49551927601</v>
      </c>
      <c r="Q174" s="36">
        <v>67489.763729394967</v>
      </c>
      <c r="R174" s="36">
        <v>82978.10965487361</v>
      </c>
      <c r="S174" s="36">
        <v>68678.578723248836</v>
      </c>
      <c r="T174" s="36">
        <v>58591.622457056263</v>
      </c>
      <c r="U174" s="36">
        <v>71525.405029657719</v>
      </c>
      <c r="V174" s="36">
        <v>59601.804247484353</v>
      </c>
      <c r="W174" s="36">
        <v>75365.230424120615</v>
      </c>
      <c r="X174" s="36">
        <v>82270.055341191575</v>
      </c>
      <c r="Y174" s="36">
        <v>86684.159826562347</v>
      </c>
      <c r="Z174" s="36">
        <v>70398.603412190889</v>
      </c>
      <c r="AA174" s="36">
        <v>70008.630478889521</v>
      </c>
      <c r="AB174" s="36">
        <v>77849.963875295565</v>
      </c>
      <c r="AC174" s="36">
        <v>59182.353797754178</v>
      </c>
      <c r="AD174" s="36">
        <v>84130.470286122145</v>
      </c>
      <c r="AE174" s="36">
        <v>84724.485250118392</v>
      </c>
      <c r="AF174" s="36">
        <v>102506.1655697747</v>
      </c>
      <c r="AG174" s="36">
        <v>80091.88669554425</v>
      </c>
    </row>
    <row r="175" spans="1:33" x14ac:dyDescent="0.25">
      <c r="A175" s="8" t="s">
        <v>43</v>
      </c>
      <c r="B175" s="8" t="s">
        <v>2</v>
      </c>
      <c r="C175" s="9">
        <v>1804717.9453567178</v>
      </c>
      <c r="D175" s="34">
        <v>58432.774519703344</v>
      </c>
      <c r="E175" s="34">
        <v>51648.022745121511</v>
      </c>
      <c r="F175" s="34">
        <v>57278.077499089268</v>
      </c>
      <c r="G175" s="34">
        <v>62443.709912221238</v>
      </c>
      <c r="H175" s="34">
        <v>65029.083309965281</v>
      </c>
      <c r="I175" s="34">
        <v>62291.894707772153</v>
      </c>
      <c r="J175" s="34">
        <v>52296.927079787762</v>
      </c>
      <c r="K175" s="34">
        <v>52708.505861680016</v>
      </c>
      <c r="L175" s="34">
        <v>55532.024327471743</v>
      </c>
      <c r="M175" s="34">
        <v>57059.798088323922</v>
      </c>
      <c r="N175" s="34">
        <v>62718.126119233617</v>
      </c>
      <c r="O175" s="34">
        <v>65128.206717558547</v>
      </c>
      <c r="P175" s="34">
        <v>47895.940357520471</v>
      </c>
      <c r="Q175" s="34">
        <v>55573.212558078507</v>
      </c>
      <c r="R175" s="34">
        <v>59440.717601493758</v>
      </c>
      <c r="S175" s="34">
        <v>69736.439746814052</v>
      </c>
      <c r="T175" s="34">
        <v>72056.874479923717</v>
      </c>
      <c r="U175" s="34">
        <v>69828.066107274033</v>
      </c>
      <c r="V175" s="34">
        <v>73414.204240059393</v>
      </c>
      <c r="W175" s="34">
        <v>68605.197556856845</v>
      </c>
      <c r="X175" s="34">
        <v>65330.884985706434</v>
      </c>
      <c r="Y175" s="34">
        <v>60493.832668693532</v>
      </c>
      <c r="Z175" s="34">
        <v>58459.241827801437</v>
      </c>
      <c r="AA175" s="34">
        <v>54738.999126203722</v>
      </c>
      <c r="AB175" s="34">
        <v>56518.515838163155</v>
      </c>
      <c r="AC175" s="34">
        <v>58823.850243544846</v>
      </c>
      <c r="AD175" s="34">
        <v>48904.710542688947</v>
      </c>
      <c r="AE175" s="34">
        <v>69494.599787921514</v>
      </c>
      <c r="AF175" s="34">
        <v>55119.519796844412</v>
      </c>
      <c r="AG175" s="34">
        <v>57715.987003200658</v>
      </c>
    </row>
    <row r="176" spans="1:33" x14ac:dyDescent="0.25">
      <c r="A176" s="10" t="s">
        <v>43</v>
      </c>
      <c r="B176" s="11" t="s">
        <v>3</v>
      </c>
      <c r="C176" s="12">
        <v>904122.40340675728</v>
      </c>
      <c r="D176" s="35">
        <v>42607.604518202046</v>
      </c>
      <c r="E176" s="35">
        <v>27763.05974445528</v>
      </c>
      <c r="F176" s="35">
        <v>31790.57135644216</v>
      </c>
      <c r="G176" s="35">
        <v>36158.284521745176</v>
      </c>
      <c r="H176" s="35">
        <v>32441.706370102776</v>
      </c>
      <c r="I176" s="35">
        <v>19943.277127692141</v>
      </c>
      <c r="J176" s="35">
        <v>52674.654361057139</v>
      </c>
      <c r="K176" s="35">
        <v>39898.338345333483</v>
      </c>
      <c r="L176" s="35">
        <v>32058.566894834043</v>
      </c>
      <c r="M176" s="35">
        <v>18866.968448346157</v>
      </c>
      <c r="N176" s="35">
        <v>35129.994585742927</v>
      </c>
      <c r="O176" s="35">
        <v>29509.318131801065</v>
      </c>
      <c r="P176" s="35">
        <v>22371.013137118473</v>
      </c>
      <c r="Q176" s="35">
        <v>36929.010969998977</v>
      </c>
      <c r="R176" s="35">
        <v>24939.055246501594</v>
      </c>
      <c r="S176" s="35">
        <v>27784.542937424274</v>
      </c>
      <c r="T176" s="35">
        <v>25396.891335415734</v>
      </c>
      <c r="U176" s="35">
        <v>44165.232074404426</v>
      </c>
      <c r="V176" s="35">
        <v>36232.966903397886</v>
      </c>
      <c r="W176" s="35">
        <v>24878.740061471733</v>
      </c>
      <c r="X176" s="35">
        <v>25103.071846283718</v>
      </c>
      <c r="Y176" s="35">
        <v>29350.908937139699</v>
      </c>
      <c r="Z176" s="35">
        <v>19420.343904203539</v>
      </c>
      <c r="AA176" s="35">
        <v>19816.3206368807</v>
      </c>
      <c r="AB176" s="35">
        <v>41743.85064971519</v>
      </c>
      <c r="AC176" s="35">
        <v>28280.307286863321</v>
      </c>
      <c r="AD176" s="35">
        <v>16438.200619449635</v>
      </c>
      <c r="AE176" s="35">
        <v>33337.169118308018</v>
      </c>
      <c r="AF176" s="35">
        <v>20442.065775578296</v>
      </c>
      <c r="AG176" s="35">
        <v>28650.367560847852</v>
      </c>
    </row>
    <row r="177" spans="1:33" x14ac:dyDescent="0.25">
      <c r="A177" s="10" t="s">
        <v>43</v>
      </c>
      <c r="B177" s="11" t="s">
        <v>4</v>
      </c>
      <c r="C177" s="12">
        <v>1945826.3691573744</v>
      </c>
      <c r="D177" s="35">
        <v>51756.866860133276</v>
      </c>
      <c r="E177" s="35">
        <v>60292.915273840437</v>
      </c>
      <c r="F177" s="35">
        <v>57494.556896775997</v>
      </c>
      <c r="G177" s="35">
        <v>66838.436284029623</v>
      </c>
      <c r="H177" s="35">
        <v>63618.209515645634</v>
      </c>
      <c r="I177" s="35">
        <v>48123.638033976953</v>
      </c>
      <c r="J177" s="35">
        <v>48060.358840944107</v>
      </c>
      <c r="K177" s="35">
        <v>51046.110871834448</v>
      </c>
      <c r="L177" s="35">
        <v>64052.340159931904</v>
      </c>
      <c r="M177" s="35">
        <v>57519.379788934602</v>
      </c>
      <c r="N177" s="35">
        <v>77154.685334696173</v>
      </c>
      <c r="O177" s="35">
        <v>75304.491814638139</v>
      </c>
      <c r="P177" s="35">
        <v>61714.931665247263</v>
      </c>
      <c r="Q177" s="35">
        <v>65296.617823226501</v>
      </c>
      <c r="R177" s="35">
        <v>62465.429856962022</v>
      </c>
      <c r="S177" s="35">
        <v>70443.957817850911</v>
      </c>
      <c r="T177" s="35">
        <v>70886.784289270028</v>
      </c>
      <c r="U177" s="35">
        <v>80967.7273836729</v>
      </c>
      <c r="V177" s="35">
        <v>81413.885834606146</v>
      </c>
      <c r="W177" s="35">
        <v>75113.361228563983</v>
      </c>
      <c r="X177" s="35">
        <v>73595.506023413691</v>
      </c>
      <c r="Y177" s="35">
        <v>63443.539902992052</v>
      </c>
      <c r="Z177" s="35">
        <v>61743.356505409422</v>
      </c>
      <c r="AA177" s="35">
        <v>60171.976495015006</v>
      </c>
      <c r="AB177" s="35">
        <v>77706.032034427481</v>
      </c>
      <c r="AC177" s="35">
        <v>58782.590768658134</v>
      </c>
      <c r="AD177" s="35">
        <v>58139.618184505067</v>
      </c>
      <c r="AE177" s="35">
        <v>84206.347531506981</v>
      </c>
      <c r="AF177" s="35">
        <v>58593.541781726068</v>
      </c>
      <c r="AG177" s="35">
        <v>59879.174354939161</v>
      </c>
    </row>
    <row r="178" spans="1:33" ht="15.75" thickBot="1" x14ac:dyDescent="0.3">
      <c r="A178" s="13" t="s">
        <v>43</v>
      </c>
      <c r="B178" s="14" t="s">
        <v>5</v>
      </c>
      <c r="C178" s="15">
        <v>2036540.7179805511</v>
      </c>
      <c r="D178" s="36">
        <v>50855.900012860846</v>
      </c>
      <c r="E178" s="36">
        <v>68699.701586737603</v>
      </c>
      <c r="F178" s="36">
        <v>104007.22600497644</v>
      </c>
      <c r="G178" s="36">
        <v>75878.81289248752</v>
      </c>
      <c r="H178" s="36">
        <v>102830.09736541219</v>
      </c>
      <c r="I178" s="36">
        <v>70405.720581530564</v>
      </c>
      <c r="J178" s="36">
        <v>77965.915900974418</v>
      </c>
      <c r="K178" s="36">
        <v>52597.747040131238</v>
      </c>
      <c r="L178" s="36">
        <v>70063.088687693773</v>
      </c>
      <c r="M178" s="36">
        <v>85843.60361797786</v>
      </c>
      <c r="N178" s="36">
        <v>71402.762908891804</v>
      </c>
      <c r="O178" s="36">
        <v>79391.401475386956</v>
      </c>
      <c r="P178" s="36">
        <v>63240.298880927789</v>
      </c>
      <c r="Q178" s="36">
        <v>43632.290098587262</v>
      </c>
      <c r="R178" s="36">
        <v>45888.110837896871</v>
      </c>
      <c r="S178" s="36">
        <v>53256.540808349127</v>
      </c>
      <c r="T178" s="36">
        <v>72789.27154597122</v>
      </c>
      <c r="U178" s="36">
        <v>57583.047378482683</v>
      </c>
      <c r="V178" s="36">
        <v>77911.63794708917</v>
      </c>
      <c r="W178" s="36">
        <v>51192.655429326158</v>
      </c>
      <c r="X178" s="36">
        <v>60542.175278124727</v>
      </c>
      <c r="Y178" s="36">
        <v>64980.231433180306</v>
      </c>
      <c r="Z178" s="36">
        <v>67946.610684144893</v>
      </c>
      <c r="AA178" s="36">
        <v>68975.888631401758</v>
      </c>
      <c r="AB178" s="36">
        <v>57736.981518433742</v>
      </c>
      <c r="AC178" s="36">
        <v>79295.308134721228</v>
      </c>
      <c r="AD178" s="36">
        <v>63054.823949852071</v>
      </c>
      <c r="AE178" s="36">
        <v>88590.586988611714</v>
      </c>
      <c r="AF178" s="36">
        <v>69750.578360257961</v>
      </c>
      <c r="AG178" s="36">
        <v>40231.702000131452</v>
      </c>
    </row>
    <row r="179" spans="1:33" x14ac:dyDescent="0.25">
      <c r="A179" s="8" t="s">
        <v>44</v>
      </c>
      <c r="B179" s="8" t="s">
        <v>2</v>
      </c>
      <c r="C179" s="9">
        <v>2895413.3686065562</v>
      </c>
      <c r="D179" s="34">
        <v>97509.153914260271</v>
      </c>
      <c r="E179" s="34">
        <v>109406.51552079454</v>
      </c>
      <c r="F179" s="34">
        <v>124398.77581113574</v>
      </c>
      <c r="G179" s="34">
        <v>132907.23410281909</v>
      </c>
      <c r="H179" s="34">
        <v>78637.302005328325</v>
      </c>
      <c r="I179" s="34">
        <v>70334.847014532192</v>
      </c>
      <c r="J179" s="34">
        <v>97420.477487361713</v>
      </c>
      <c r="K179" s="34">
        <v>94421.541335532282</v>
      </c>
      <c r="L179" s="34">
        <v>95377.807637372694</v>
      </c>
      <c r="M179" s="34">
        <v>109947.04572300658</v>
      </c>
      <c r="N179" s="34">
        <v>120072.09725885943</v>
      </c>
      <c r="O179" s="34">
        <v>83748.154820501484</v>
      </c>
      <c r="P179" s="34">
        <v>69854.211065935146</v>
      </c>
      <c r="Q179" s="34">
        <v>101826.77629073225</v>
      </c>
      <c r="R179" s="34">
        <v>88410.866892440972</v>
      </c>
      <c r="S179" s="34">
        <v>90522.775322897622</v>
      </c>
      <c r="T179" s="34">
        <v>109640.60943244938</v>
      </c>
      <c r="U179" s="34">
        <v>112919.2990877616</v>
      </c>
      <c r="V179" s="34">
        <v>83780.518299671312</v>
      </c>
      <c r="W179" s="34">
        <v>66349.866208240303</v>
      </c>
      <c r="X179" s="34">
        <v>89823.350399755102</v>
      </c>
      <c r="Y179" s="34">
        <v>91091.256176796654</v>
      </c>
      <c r="Z179" s="34">
        <v>101466.49691857475</v>
      </c>
      <c r="AA179" s="34">
        <v>115766.47843177174</v>
      </c>
      <c r="AB179" s="34">
        <v>127596.80787157979</v>
      </c>
      <c r="AC179" s="34">
        <v>66457.107795537755</v>
      </c>
      <c r="AD179" s="34">
        <v>76370.220118908037</v>
      </c>
      <c r="AE179" s="34">
        <v>102782.36823679072</v>
      </c>
      <c r="AF179" s="34">
        <v>78906.904359023189</v>
      </c>
      <c r="AG179" s="34">
        <v>107666.50306618621</v>
      </c>
    </row>
    <row r="180" spans="1:33" x14ac:dyDescent="0.25">
      <c r="A180" s="10" t="s">
        <v>44</v>
      </c>
      <c r="B180" s="11" t="s">
        <v>3</v>
      </c>
      <c r="C180" s="12">
        <v>1510187.5078404965</v>
      </c>
      <c r="D180" s="35">
        <v>63749.901903933685</v>
      </c>
      <c r="E180" s="35">
        <v>51813.987519629736</v>
      </c>
      <c r="F180" s="35">
        <v>60920.147507795227</v>
      </c>
      <c r="G180" s="35">
        <v>48267.308846309221</v>
      </c>
      <c r="H180" s="35">
        <v>49955.677626512443</v>
      </c>
      <c r="I180" s="35">
        <v>50202.123191586892</v>
      </c>
      <c r="J180" s="35">
        <v>55479.146136413758</v>
      </c>
      <c r="K180" s="35">
        <v>64349.693531669356</v>
      </c>
      <c r="L180" s="35">
        <v>41401.780738627916</v>
      </c>
      <c r="M180" s="35">
        <v>55200.884405192184</v>
      </c>
      <c r="N180" s="35">
        <v>52316.819494823736</v>
      </c>
      <c r="O180" s="35">
        <v>38127.255456762243</v>
      </c>
      <c r="P180" s="35">
        <v>41003.345843083509</v>
      </c>
      <c r="Q180" s="35">
        <v>60828.212897803831</v>
      </c>
      <c r="R180" s="35">
        <v>26979.189455635293</v>
      </c>
      <c r="S180" s="35">
        <v>42060.807786426354</v>
      </c>
      <c r="T180" s="35">
        <v>46896.482700596491</v>
      </c>
      <c r="U180" s="35">
        <v>56378.382962788564</v>
      </c>
      <c r="V180" s="35">
        <v>40000.649580868318</v>
      </c>
      <c r="W180" s="35">
        <v>46804.029200341763</v>
      </c>
      <c r="X180" s="35">
        <v>50939.684735909308</v>
      </c>
      <c r="Y180" s="35">
        <v>45204.727478674598</v>
      </c>
      <c r="Z180" s="35">
        <v>53580.781556301503</v>
      </c>
      <c r="AA180" s="35">
        <v>46509.627250928803</v>
      </c>
      <c r="AB180" s="35">
        <v>57907.707325607938</v>
      </c>
      <c r="AC180" s="35">
        <v>29712.712466268364</v>
      </c>
      <c r="AD180" s="35">
        <v>75896.167118326848</v>
      </c>
      <c r="AE180" s="35">
        <v>51803.418544265842</v>
      </c>
      <c r="AF180" s="35">
        <v>51635.552992405144</v>
      </c>
      <c r="AG180" s="35">
        <v>54261.301585007917</v>
      </c>
    </row>
    <row r="181" spans="1:33" x14ac:dyDescent="0.25">
      <c r="A181" s="10" t="s">
        <v>44</v>
      </c>
      <c r="B181" s="11" t="s">
        <v>4</v>
      </c>
      <c r="C181" s="12">
        <v>2091816.5204973756</v>
      </c>
      <c r="D181" s="35">
        <v>43217.655432144988</v>
      </c>
      <c r="E181" s="35">
        <v>37662.601196598443</v>
      </c>
      <c r="F181" s="35">
        <v>46692.303968422464</v>
      </c>
      <c r="G181" s="35">
        <v>45852.365108426297</v>
      </c>
      <c r="H181" s="35">
        <v>43133.554174175675</v>
      </c>
      <c r="I181" s="35">
        <v>174206.3900962155</v>
      </c>
      <c r="J181" s="35">
        <v>132574.59321287382</v>
      </c>
      <c r="K181" s="35">
        <v>262027.8934441462</v>
      </c>
      <c r="L181" s="35">
        <v>206194.31145235768</v>
      </c>
      <c r="M181" s="35">
        <v>256178.10060742687</v>
      </c>
      <c r="N181" s="35">
        <v>92666.66093606691</v>
      </c>
      <c r="O181" s="35">
        <v>47307.214588044648</v>
      </c>
      <c r="P181" s="35">
        <v>27698.03460161739</v>
      </c>
      <c r="Q181" s="35">
        <v>39017.075695068081</v>
      </c>
      <c r="R181" s="35">
        <v>42306.352377693591</v>
      </c>
      <c r="S181" s="35">
        <v>40660.207775573734</v>
      </c>
      <c r="T181" s="35">
        <v>45542.095737039788</v>
      </c>
      <c r="U181" s="35">
        <v>48982.899203628032</v>
      </c>
      <c r="V181" s="35">
        <v>34031.047100435586</v>
      </c>
      <c r="W181" s="35">
        <v>30696.251826865835</v>
      </c>
      <c r="X181" s="35">
        <v>42112.594315223723</v>
      </c>
      <c r="Y181" s="35">
        <v>42350.904112038683</v>
      </c>
      <c r="Z181" s="35">
        <v>41752.226505844359</v>
      </c>
      <c r="AA181" s="35">
        <v>46349.553304023415</v>
      </c>
      <c r="AB181" s="35">
        <v>48237.06093432397</v>
      </c>
      <c r="AC181" s="35">
        <v>27672.835265412152</v>
      </c>
      <c r="AD181" s="35">
        <v>35564.24249689882</v>
      </c>
      <c r="AE181" s="35">
        <v>36021.94732221798</v>
      </c>
      <c r="AF181" s="35">
        <v>34802.461271146654</v>
      </c>
      <c r="AG181" s="35">
        <v>40305.086435424499</v>
      </c>
    </row>
    <row r="182" spans="1:33" ht="15.75" thickBot="1" x14ac:dyDescent="0.3">
      <c r="A182" s="13" t="s">
        <v>44</v>
      </c>
      <c r="B182" s="14" t="s">
        <v>5</v>
      </c>
      <c r="C182" s="15">
        <v>2564340.7578108418</v>
      </c>
      <c r="D182" s="36">
        <v>69129.848273006282</v>
      </c>
      <c r="E182" s="36">
        <v>73694.085550837641</v>
      </c>
      <c r="F182" s="36">
        <v>79159.134159250723</v>
      </c>
      <c r="G182" s="36">
        <v>103251.97578874903</v>
      </c>
      <c r="H182" s="36">
        <v>73420.294919706299</v>
      </c>
      <c r="I182" s="36">
        <v>88339.125826828589</v>
      </c>
      <c r="J182" s="36">
        <v>94856.432746372477</v>
      </c>
      <c r="K182" s="36">
        <v>90969.113616325936</v>
      </c>
      <c r="L182" s="36">
        <v>88338.046051108089</v>
      </c>
      <c r="M182" s="36">
        <v>90322.361702732844</v>
      </c>
      <c r="N182" s="36">
        <v>96792.470613243582</v>
      </c>
      <c r="O182" s="36">
        <v>98571.03837562463</v>
      </c>
      <c r="P182" s="36">
        <v>79972.24745553243</v>
      </c>
      <c r="Q182" s="36">
        <v>75218.433617021539</v>
      </c>
      <c r="R182" s="36">
        <v>74437.030296781959</v>
      </c>
      <c r="S182" s="36">
        <v>82805.578946145775</v>
      </c>
      <c r="T182" s="36">
        <v>87544.275924569534</v>
      </c>
      <c r="U182" s="36">
        <v>105011.57999003865</v>
      </c>
      <c r="V182" s="36">
        <v>80593.99581259751</v>
      </c>
      <c r="W182" s="36">
        <v>80460.373567184637</v>
      </c>
      <c r="X182" s="36">
        <v>96797.144017533894</v>
      </c>
      <c r="Y182" s="36">
        <v>84174.346515350539</v>
      </c>
      <c r="Z182" s="36">
        <v>80842.006798401722</v>
      </c>
      <c r="AA182" s="36">
        <v>87657.702989709796</v>
      </c>
      <c r="AB182" s="36">
        <v>93876.958067402171</v>
      </c>
      <c r="AC182" s="36">
        <v>61264.416059164527</v>
      </c>
      <c r="AD182" s="36">
        <v>87994.635193247421</v>
      </c>
      <c r="AE182" s="36">
        <v>92010.742885208005</v>
      </c>
      <c r="AF182" s="36">
        <v>78392.333118481416</v>
      </c>
      <c r="AG182" s="36">
        <v>88443.028932684058</v>
      </c>
    </row>
    <row r="183" spans="1:33" x14ac:dyDescent="0.25">
      <c r="A183" s="8" t="s">
        <v>45</v>
      </c>
      <c r="B183" s="8" t="s">
        <v>2</v>
      </c>
      <c r="C183" s="9">
        <v>1490818.1814733122</v>
      </c>
      <c r="D183" s="34">
        <v>60480.895348370635</v>
      </c>
      <c r="E183" s="34">
        <v>56659.672735312757</v>
      </c>
      <c r="F183" s="34">
        <v>50876.6483445017</v>
      </c>
      <c r="G183" s="34">
        <v>52869.032133305038</v>
      </c>
      <c r="H183" s="34">
        <v>51837.113590480287</v>
      </c>
      <c r="I183" s="34">
        <v>38745.852645062478</v>
      </c>
      <c r="J183" s="34">
        <v>54989.314000053848</v>
      </c>
      <c r="K183" s="34">
        <v>50534.616367840339</v>
      </c>
      <c r="L183" s="34">
        <v>52947.637406654125</v>
      </c>
      <c r="M183" s="34">
        <v>47415.33100254419</v>
      </c>
      <c r="N183" s="34">
        <v>53442.592732202887</v>
      </c>
      <c r="O183" s="34">
        <v>48854.466869208925</v>
      </c>
      <c r="P183" s="34">
        <v>36662.00863629605</v>
      </c>
      <c r="Q183" s="34">
        <v>49880.994842383239</v>
      </c>
      <c r="R183" s="34">
        <v>56806.587360446771</v>
      </c>
      <c r="S183" s="34">
        <v>57287.178911624869</v>
      </c>
      <c r="T183" s="34">
        <v>47222.533390607481</v>
      </c>
      <c r="U183" s="34">
        <v>46706.886519655724</v>
      </c>
      <c r="V183" s="34">
        <v>53319.101494797789</v>
      </c>
      <c r="W183" s="34">
        <v>44018.733730483524</v>
      </c>
      <c r="X183" s="34">
        <v>56462.946853754082</v>
      </c>
      <c r="Y183" s="34">
        <v>56831.878504121159</v>
      </c>
      <c r="Z183" s="34">
        <v>50263.306538010904</v>
      </c>
      <c r="AA183" s="34">
        <v>44378.020847480933</v>
      </c>
      <c r="AB183" s="34">
        <v>49666.216202291151</v>
      </c>
      <c r="AC183" s="34">
        <v>48641.662334155284</v>
      </c>
      <c r="AD183" s="34">
        <v>32949.295332169662</v>
      </c>
      <c r="AE183" s="34">
        <v>50700.287283991915</v>
      </c>
      <c r="AF183" s="34">
        <v>36658.093660310704</v>
      </c>
      <c r="AG183" s="34">
        <v>52709.275855193649</v>
      </c>
    </row>
    <row r="184" spans="1:33" x14ac:dyDescent="0.25">
      <c r="A184" s="10" t="s">
        <v>45</v>
      </c>
      <c r="B184" s="11" t="s">
        <v>3</v>
      </c>
      <c r="C184" s="12">
        <v>822266.4985794198</v>
      </c>
      <c r="D184" s="35">
        <v>28215.793390519604</v>
      </c>
      <c r="E184" s="35">
        <v>25565.094182858971</v>
      </c>
      <c r="F184" s="35">
        <v>21963.778495578536</v>
      </c>
      <c r="G184" s="35">
        <v>29587.434533624768</v>
      </c>
      <c r="H184" s="35">
        <v>35491.868471786482</v>
      </c>
      <c r="I184" s="35">
        <v>22578.937004489155</v>
      </c>
      <c r="J184" s="35">
        <v>31348.505845696767</v>
      </c>
      <c r="K184" s="35">
        <v>23121.938836036843</v>
      </c>
      <c r="L184" s="35">
        <v>16889.852137375521</v>
      </c>
      <c r="M184" s="35">
        <v>23027.238386632434</v>
      </c>
      <c r="N184" s="35">
        <v>23331.350965276579</v>
      </c>
      <c r="O184" s="35">
        <v>36159.380013007038</v>
      </c>
      <c r="P184" s="35">
        <v>20863.783578011753</v>
      </c>
      <c r="Q184" s="35">
        <v>18717.516838682364</v>
      </c>
      <c r="R184" s="35">
        <v>18552.818599845319</v>
      </c>
      <c r="S184" s="35">
        <v>35790.915967209527</v>
      </c>
      <c r="T184" s="35">
        <v>12006.323087795316</v>
      </c>
      <c r="U184" s="35">
        <v>23223.655671214747</v>
      </c>
      <c r="V184" s="35">
        <v>39828.991289621212</v>
      </c>
      <c r="W184" s="35">
        <v>22632.635190047975</v>
      </c>
      <c r="X184" s="35">
        <v>32069.242277814501</v>
      </c>
      <c r="Y184" s="35">
        <v>26637.355693936424</v>
      </c>
      <c r="Z184" s="35">
        <v>18902.516927479403</v>
      </c>
      <c r="AA184" s="35">
        <v>24454.138757338325</v>
      </c>
      <c r="AB184" s="35">
        <v>24665.502189130457</v>
      </c>
      <c r="AC184" s="35">
        <v>27735.233240648478</v>
      </c>
      <c r="AD184" s="35">
        <v>54005.328883979295</v>
      </c>
      <c r="AE184" s="35">
        <v>44066.639194359508</v>
      </c>
      <c r="AF184" s="35">
        <v>18233.759873991359</v>
      </c>
      <c r="AG184" s="35">
        <v>42598.969055431284</v>
      </c>
    </row>
    <row r="185" spans="1:33" x14ac:dyDescent="0.25">
      <c r="A185" s="10" t="s">
        <v>45</v>
      </c>
      <c r="B185" s="11" t="s">
        <v>4</v>
      </c>
      <c r="C185" s="12">
        <v>2447113.9468776705</v>
      </c>
      <c r="D185" s="35">
        <v>80433.718698956509</v>
      </c>
      <c r="E185" s="35">
        <v>83785.722748480475</v>
      </c>
      <c r="F185" s="35">
        <v>91174.898217013702</v>
      </c>
      <c r="G185" s="35">
        <v>89353.357518353689</v>
      </c>
      <c r="H185" s="35">
        <v>90554.3345456932</v>
      </c>
      <c r="I185" s="35">
        <v>70060.144256889864</v>
      </c>
      <c r="J185" s="35">
        <v>77380.462183443815</v>
      </c>
      <c r="K185" s="35">
        <v>76881.419138051337</v>
      </c>
      <c r="L185" s="35">
        <v>88717.718821585397</v>
      </c>
      <c r="M185" s="35">
        <v>74513.603631099759</v>
      </c>
      <c r="N185" s="35">
        <v>78318.554979886263</v>
      </c>
      <c r="O185" s="35">
        <v>86110.493999601793</v>
      </c>
      <c r="P185" s="35">
        <v>70247.71969729368</v>
      </c>
      <c r="Q185" s="35">
        <v>72035.146724505874</v>
      </c>
      <c r="R185" s="35">
        <v>88719.062140684706</v>
      </c>
      <c r="S185" s="35">
        <v>76505.356126991086</v>
      </c>
      <c r="T185" s="35">
        <v>85543.115814101999</v>
      </c>
      <c r="U185" s="35">
        <v>82528.135600826339</v>
      </c>
      <c r="V185" s="35">
        <v>86093.27961410697</v>
      </c>
      <c r="W185" s="35">
        <v>74941.185417246394</v>
      </c>
      <c r="X185" s="35">
        <v>86709.058747647854</v>
      </c>
      <c r="Y185" s="35">
        <v>80387.747334224667</v>
      </c>
      <c r="Z185" s="35">
        <v>74499.556825209467</v>
      </c>
      <c r="AA185" s="35">
        <v>80598.772814213924</v>
      </c>
      <c r="AB185" s="35">
        <v>80020.208594979777</v>
      </c>
      <c r="AC185" s="35">
        <v>84180.260543202807</v>
      </c>
      <c r="AD185" s="35">
        <v>71732.377525289907</v>
      </c>
      <c r="AE185" s="35">
        <v>88566.844185709546</v>
      </c>
      <c r="AF185" s="35">
        <v>84703.010683070082</v>
      </c>
      <c r="AG185" s="35">
        <v>91818.679749309886</v>
      </c>
    </row>
    <row r="186" spans="1:33" ht="15.75" thickBot="1" x14ac:dyDescent="0.3">
      <c r="A186" s="13" t="s">
        <v>45</v>
      </c>
      <c r="B186" s="14" t="s">
        <v>5</v>
      </c>
      <c r="C186" s="15">
        <v>3056796.5952733955</v>
      </c>
      <c r="D186" s="36">
        <v>124040.24463351238</v>
      </c>
      <c r="E186" s="36">
        <v>101862.83915535966</v>
      </c>
      <c r="F186" s="36">
        <v>71977.732521946193</v>
      </c>
      <c r="G186" s="36">
        <v>95605.224472296715</v>
      </c>
      <c r="H186" s="36">
        <v>97666.556478014943</v>
      </c>
      <c r="I186" s="36">
        <v>90406.183491063683</v>
      </c>
      <c r="J186" s="36">
        <v>99052.515616438119</v>
      </c>
      <c r="K186" s="36">
        <v>97797.310342486904</v>
      </c>
      <c r="L186" s="36">
        <v>96210.675987483148</v>
      </c>
      <c r="M186" s="36">
        <v>92108.941580238767</v>
      </c>
      <c r="N186" s="36">
        <v>115242.92170079335</v>
      </c>
      <c r="O186" s="36">
        <v>120022.66857657705</v>
      </c>
      <c r="P186" s="36">
        <v>122020.51910839962</v>
      </c>
      <c r="Q186" s="36">
        <v>97718.477996106856</v>
      </c>
      <c r="R186" s="36">
        <v>98366.28481494679</v>
      </c>
      <c r="S186" s="36">
        <v>111790.31391301101</v>
      </c>
      <c r="T186" s="36">
        <v>97752.212474420056</v>
      </c>
      <c r="U186" s="36">
        <v>118552.68213187823</v>
      </c>
      <c r="V186" s="36">
        <v>95973.139956363899</v>
      </c>
      <c r="W186" s="36">
        <v>92488.108130602399</v>
      </c>
      <c r="X186" s="36">
        <v>116895.81753525854</v>
      </c>
      <c r="Y186" s="36">
        <v>94952.194612696854</v>
      </c>
      <c r="Z186" s="36">
        <v>88439.240630548054</v>
      </c>
      <c r="AA186" s="36">
        <v>108517.25517156706</v>
      </c>
      <c r="AB186" s="36">
        <v>106996.63892853416</v>
      </c>
      <c r="AC186" s="36">
        <v>124341.11237391773</v>
      </c>
      <c r="AD186" s="36">
        <v>93725.734783501408</v>
      </c>
      <c r="AE186" s="36">
        <v>100500.62706784674</v>
      </c>
      <c r="AF186" s="36">
        <v>93531.171835050263</v>
      </c>
      <c r="AG186" s="36">
        <v>92241.249252535345</v>
      </c>
    </row>
    <row r="187" spans="1:33" x14ac:dyDescent="0.25">
      <c r="A187" s="8" t="s">
        <v>82</v>
      </c>
      <c r="B187" s="8" t="s">
        <v>2</v>
      </c>
      <c r="C187" s="9">
        <v>2039590.6905115158</v>
      </c>
      <c r="D187" s="34">
        <v>64115.191180900874</v>
      </c>
      <c r="E187" s="34">
        <v>58703.405916717224</v>
      </c>
      <c r="F187" s="34">
        <v>57210.760346323783</v>
      </c>
      <c r="G187" s="34">
        <v>67454.664909861953</v>
      </c>
      <c r="H187" s="34">
        <v>71548.633621304311</v>
      </c>
      <c r="I187" s="34">
        <v>100381.58996104794</v>
      </c>
      <c r="J187" s="34">
        <v>58823.232877983472</v>
      </c>
      <c r="K187" s="34">
        <v>59410.938398482082</v>
      </c>
      <c r="L187" s="34">
        <v>71112.714322327258</v>
      </c>
      <c r="M187" s="34">
        <v>59968.254251170474</v>
      </c>
      <c r="N187" s="34">
        <v>60370.246772601888</v>
      </c>
      <c r="O187" s="34">
        <v>69657.709494701674</v>
      </c>
      <c r="P187" s="34">
        <v>82209.224449633155</v>
      </c>
      <c r="Q187" s="34">
        <v>52495.011957264847</v>
      </c>
      <c r="R187" s="34">
        <v>55006.647259584824</v>
      </c>
      <c r="S187" s="34">
        <v>51047.818246971663</v>
      </c>
      <c r="T187" s="34">
        <v>57947.297127919148</v>
      </c>
      <c r="U187" s="34">
        <v>62220.936275964028</v>
      </c>
      <c r="V187" s="34">
        <v>67178.195570166543</v>
      </c>
      <c r="W187" s="34">
        <v>90608.916842012171</v>
      </c>
      <c r="X187" s="34">
        <v>63058.531230292036</v>
      </c>
      <c r="Y187" s="34">
        <v>81451.907148342143</v>
      </c>
      <c r="Z187" s="34">
        <v>61803.969989985984</v>
      </c>
      <c r="AA187" s="34">
        <v>58346.541020326993</v>
      </c>
      <c r="AB187" s="34">
        <v>59438.122560594566</v>
      </c>
      <c r="AC187" s="34">
        <v>74517.455094885605</v>
      </c>
      <c r="AD187" s="34">
        <v>94808.21036480552</v>
      </c>
      <c r="AE187" s="34">
        <v>78318.631663170789</v>
      </c>
      <c r="AF187" s="34">
        <v>94047.245419099854</v>
      </c>
      <c r="AG187" s="34">
        <v>56328.686237072776</v>
      </c>
    </row>
    <row r="188" spans="1:33" x14ac:dyDescent="0.25">
      <c r="A188" s="10" t="s">
        <v>82</v>
      </c>
      <c r="B188" s="11" t="s">
        <v>3</v>
      </c>
      <c r="C188" s="12">
        <v>2198050.1504384056</v>
      </c>
      <c r="D188" s="35">
        <v>71453.831906666484</v>
      </c>
      <c r="E188" s="35">
        <v>58633.172812515615</v>
      </c>
      <c r="F188" s="35">
        <v>64541.80884067119</v>
      </c>
      <c r="G188" s="35">
        <v>61162.97483763635</v>
      </c>
      <c r="H188" s="35">
        <v>83859.745872360669</v>
      </c>
      <c r="I188" s="35">
        <v>92008.714763158292</v>
      </c>
      <c r="J188" s="35">
        <v>68336.480219023026</v>
      </c>
      <c r="K188" s="35">
        <v>58529.061108164191</v>
      </c>
      <c r="L188" s="35">
        <v>41137.388477784159</v>
      </c>
      <c r="M188" s="35">
        <v>48380.211960638808</v>
      </c>
      <c r="N188" s="35">
        <v>58491.014509196779</v>
      </c>
      <c r="O188" s="35">
        <v>78711.242425488876</v>
      </c>
      <c r="P188" s="35">
        <v>86448.473824111818</v>
      </c>
      <c r="Q188" s="35">
        <v>49610.058180849126</v>
      </c>
      <c r="R188" s="35">
        <v>58969.941012945063</v>
      </c>
      <c r="S188" s="35">
        <v>38068.863390729413</v>
      </c>
      <c r="T188" s="35">
        <v>61329.89865128784</v>
      </c>
      <c r="U188" s="35">
        <v>95262.193651891925</v>
      </c>
      <c r="V188" s="35">
        <v>87887.129150616762</v>
      </c>
      <c r="W188" s="35">
        <v>91379.667634776168</v>
      </c>
      <c r="X188" s="35">
        <v>59423.041418829678</v>
      </c>
      <c r="Y188" s="35">
        <v>60143.948091130202</v>
      </c>
      <c r="Z188" s="35">
        <v>104712.73297339346</v>
      </c>
      <c r="AA188" s="35">
        <v>76080.95368921975</v>
      </c>
      <c r="AB188" s="35">
        <v>72714.957544209698</v>
      </c>
      <c r="AC188" s="35">
        <v>128205.79154344423</v>
      </c>
      <c r="AD188" s="35">
        <v>90494.488617651718</v>
      </c>
      <c r="AE188" s="35">
        <v>97393.103957695101</v>
      </c>
      <c r="AF188" s="35">
        <v>104937.05515103739</v>
      </c>
      <c r="AG188" s="35">
        <v>49742.204221281805</v>
      </c>
    </row>
    <row r="189" spans="1:33" x14ac:dyDescent="0.25">
      <c r="A189" s="10" t="s">
        <v>82</v>
      </c>
      <c r="B189" s="11" t="s">
        <v>4</v>
      </c>
      <c r="C189" s="12">
        <v>2552248.9457455506</v>
      </c>
      <c r="D189" s="35">
        <v>73855.816603817133</v>
      </c>
      <c r="E189" s="35">
        <v>74787.043003602477</v>
      </c>
      <c r="F189" s="35">
        <v>81028.150832505606</v>
      </c>
      <c r="G189" s="35">
        <v>95614.128287054802</v>
      </c>
      <c r="H189" s="35">
        <v>115749.56774125191</v>
      </c>
      <c r="I189" s="35">
        <v>109422.46853711814</v>
      </c>
      <c r="J189" s="35">
        <v>70359.046123162698</v>
      </c>
      <c r="K189" s="35">
        <v>78484.138991994259</v>
      </c>
      <c r="L189" s="35">
        <v>79714.64117499486</v>
      </c>
      <c r="M189" s="35">
        <v>77188.188773305621</v>
      </c>
      <c r="N189" s="35">
        <v>75116.923117262326</v>
      </c>
      <c r="O189" s="35">
        <v>66671.85634119749</v>
      </c>
      <c r="P189" s="35">
        <v>107097.4079362191</v>
      </c>
      <c r="Q189" s="35">
        <v>89397.570995780028</v>
      </c>
      <c r="R189" s="35">
        <v>76781.354977951865</v>
      </c>
      <c r="S189" s="35">
        <v>73148.700926157937</v>
      </c>
      <c r="T189" s="35">
        <v>77926.674104648962</v>
      </c>
      <c r="U189" s="35">
        <v>89661.280746199889</v>
      </c>
      <c r="V189" s="35">
        <v>100414.66560240636</v>
      </c>
      <c r="W189" s="35">
        <v>109500.45411531483</v>
      </c>
      <c r="X189" s="35">
        <v>85230.695525365649</v>
      </c>
      <c r="Y189" s="35">
        <v>77574.848992030253</v>
      </c>
      <c r="Z189" s="35">
        <v>60805.172158323687</v>
      </c>
      <c r="AA189" s="35">
        <v>63966.868646254348</v>
      </c>
      <c r="AB189" s="35">
        <v>77620.519011415265</v>
      </c>
      <c r="AC189" s="35">
        <v>87252.051787225078</v>
      </c>
      <c r="AD189" s="35">
        <v>98685.31885255521</v>
      </c>
      <c r="AE189" s="35">
        <v>106681.15808527758</v>
      </c>
      <c r="AF189" s="35">
        <v>96731.749591790125</v>
      </c>
      <c r="AG189" s="35">
        <v>75780.484163367204</v>
      </c>
    </row>
    <row r="190" spans="1:33" ht="15.75" thickBot="1" x14ac:dyDescent="0.3">
      <c r="A190" s="13" t="s">
        <v>82</v>
      </c>
      <c r="B190" s="14" t="s">
        <v>5</v>
      </c>
      <c r="C190" s="15">
        <v>4723893.3796195965</v>
      </c>
      <c r="D190" s="36">
        <v>132030.2654335741</v>
      </c>
      <c r="E190" s="36">
        <v>138244.07452966145</v>
      </c>
      <c r="F190" s="36">
        <v>131139.32636439687</v>
      </c>
      <c r="G190" s="36">
        <v>154730.93646995415</v>
      </c>
      <c r="H190" s="36">
        <v>179900.3478906606</v>
      </c>
      <c r="I190" s="36">
        <v>183886.50727812049</v>
      </c>
      <c r="J190" s="36">
        <v>151148.63602972223</v>
      </c>
      <c r="K190" s="36">
        <v>137635.9567103225</v>
      </c>
      <c r="L190" s="36">
        <v>180384.15940725885</v>
      </c>
      <c r="M190" s="36">
        <v>130826.12777216999</v>
      </c>
      <c r="N190" s="36">
        <v>160485.02242963747</v>
      </c>
      <c r="O190" s="36">
        <v>144775.21141815322</v>
      </c>
      <c r="P190" s="36">
        <v>189374.97560954708</v>
      </c>
      <c r="Q190" s="36">
        <v>122036.03703823355</v>
      </c>
      <c r="R190" s="36">
        <v>133557.65575176571</v>
      </c>
      <c r="S190" s="36">
        <v>125981.83121834631</v>
      </c>
      <c r="T190" s="36">
        <v>133731.39660733377</v>
      </c>
      <c r="U190" s="36">
        <v>161642.50592150012</v>
      </c>
      <c r="V190" s="36">
        <v>180930.44679828745</v>
      </c>
      <c r="W190" s="36">
        <v>164979.08998884019</v>
      </c>
      <c r="X190" s="36">
        <v>155879.77263879962</v>
      </c>
      <c r="Y190" s="36">
        <v>157061.44381025957</v>
      </c>
      <c r="Z190" s="36">
        <v>157227.5137869406</v>
      </c>
      <c r="AA190" s="36">
        <v>133915.99419763725</v>
      </c>
      <c r="AB190" s="36">
        <v>155511.7773259797</v>
      </c>
      <c r="AC190" s="36">
        <v>219086.94579795442</v>
      </c>
      <c r="AD190" s="36">
        <v>197489.06083224705</v>
      </c>
      <c r="AE190" s="36">
        <v>200929.26382668861</v>
      </c>
      <c r="AF190" s="36">
        <v>182993.64014553369</v>
      </c>
      <c r="AG190" s="36">
        <v>126377.45659006991</v>
      </c>
    </row>
    <row r="191" spans="1:33" x14ac:dyDescent="0.25">
      <c r="A191" s="8" t="s">
        <v>47</v>
      </c>
      <c r="B191" s="8" t="s">
        <v>2</v>
      </c>
      <c r="C191" s="9">
        <v>917504.25926231954</v>
      </c>
      <c r="D191" s="34">
        <v>25806.354227589884</v>
      </c>
      <c r="E191" s="34">
        <v>27033.305764406701</v>
      </c>
      <c r="F191" s="34">
        <v>27867.324903221986</v>
      </c>
      <c r="G191" s="34">
        <v>32649.185413488605</v>
      </c>
      <c r="H191" s="34">
        <v>39373.925047807468</v>
      </c>
      <c r="I191" s="34">
        <v>31222.192602274095</v>
      </c>
      <c r="J191" s="34">
        <v>25920.091813143947</v>
      </c>
      <c r="K191" s="34">
        <v>23690.483168970859</v>
      </c>
      <c r="L191" s="34">
        <v>58389.285053275788</v>
      </c>
      <c r="M191" s="34">
        <v>25372.111295649007</v>
      </c>
      <c r="N191" s="34">
        <v>28138.098571799204</v>
      </c>
      <c r="O191" s="34">
        <v>36033.61836687156</v>
      </c>
      <c r="P191" s="34">
        <v>26790.122422457011</v>
      </c>
      <c r="Q191" s="34">
        <v>25712.026987581954</v>
      </c>
      <c r="R191" s="34">
        <v>24932.712694357226</v>
      </c>
      <c r="S191" s="34">
        <v>24323.242183617756</v>
      </c>
      <c r="T191" s="34">
        <v>27132.899478290139</v>
      </c>
      <c r="U191" s="34">
        <v>29496.112307488282</v>
      </c>
      <c r="V191" s="34">
        <v>30129.34061188647</v>
      </c>
      <c r="W191" s="34">
        <v>32147.462526061121</v>
      </c>
      <c r="X191" s="34">
        <v>35167.302968089491</v>
      </c>
      <c r="Y191" s="34">
        <v>37831.643387694377</v>
      </c>
      <c r="Z191" s="34">
        <v>34948.522693206527</v>
      </c>
      <c r="AA191" s="34">
        <v>25051.00630124666</v>
      </c>
      <c r="AB191" s="34">
        <v>30232.773376651934</v>
      </c>
      <c r="AC191" s="34">
        <v>32084.655914347717</v>
      </c>
      <c r="AD191" s="34">
        <v>24713.319735632311</v>
      </c>
      <c r="AE191" s="34">
        <v>32801.61221730752</v>
      </c>
      <c r="AF191" s="34">
        <v>31242.991263334443</v>
      </c>
      <c r="AG191" s="34">
        <v>31270.535964569484</v>
      </c>
    </row>
    <row r="192" spans="1:33" x14ac:dyDescent="0.25">
      <c r="A192" s="10" t="s">
        <v>47</v>
      </c>
      <c r="B192" s="11" t="s">
        <v>3</v>
      </c>
      <c r="C192" s="12">
        <v>527751.95581173711</v>
      </c>
      <c r="D192" s="35">
        <v>17912.965417001116</v>
      </c>
      <c r="E192" s="35">
        <v>11558.293450437675</v>
      </c>
      <c r="F192" s="35">
        <v>18194.962476465986</v>
      </c>
      <c r="G192" s="35">
        <v>19616.059181021516</v>
      </c>
      <c r="H192" s="35">
        <v>24399.508948907958</v>
      </c>
      <c r="I192" s="35">
        <v>13242.617845980754</v>
      </c>
      <c r="J192" s="35">
        <v>16702.536280957218</v>
      </c>
      <c r="K192" s="35">
        <v>15445.894294162566</v>
      </c>
      <c r="L192" s="35">
        <v>18350.67680961228</v>
      </c>
      <c r="M192" s="35">
        <v>15784.987345456841</v>
      </c>
      <c r="N192" s="35">
        <v>24890.398991634152</v>
      </c>
      <c r="O192" s="35">
        <v>25466.226133374039</v>
      </c>
      <c r="P192" s="35">
        <v>23062.119651512174</v>
      </c>
      <c r="Q192" s="35">
        <v>13036.795410642162</v>
      </c>
      <c r="R192" s="35">
        <v>12686.767674299314</v>
      </c>
      <c r="S192" s="35">
        <v>12697.613998256587</v>
      </c>
      <c r="T192" s="35">
        <v>18512.178794238829</v>
      </c>
      <c r="U192" s="35">
        <v>13551.484040625593</v>
      </c>
      <c r="V192" s="35">
        <v>22002.964703776663</v>
      </c>
      <c r="W192" s="35">
        <v>23689.903114937413</v>
      </c>
      <c r="X192" s="35">
        <v>13939.993032230303</v>
      </c>
      <c r="Y192" s="35">
        <v>13204.283859204397</v>
      </c>
      <c r="Z192" s="35">
        <v>13424.376610788202</v>
      </c>
      <c r="AA192" s="35">
        <v>11586.414367744419</v>
      </c>
      <c r="AB192" s="35">
        <v>17611.764547026694</v>
      </c>
      <c r="AC192" s="35">
        <v>24474.998774576652</v>
      </c>
      <c r="AD192" s="35">
        <v>12587.111090159628</v>
      </c>
      <c r="AE192" s="35">
        <v>24867.366200501529</v>
      </c>
      <c r="AF192" s="35">
        <v>18106.498297224505</v>
      </c>
      <c r="AG192" s="35">
        <v>17144.194468979855</v>
      </c>
    </row>
    <row r="193" spans="1:33" x14ac:dyDescent="0.25">
      <c r="A193" s="10" t="s">
        <v>47</v>
      </c>
      <c r="B193" s="11" t="s">
        <v>4</v>
      </c>
      <c r="C193" s="12">
        <v>1867737.5573608887</v>
      </c>
      <c r="D193" s="35">
        <v>49907.589247881631</v>
      </c>
      <c r="E193" s="35">
        <v>52804.511773703416</v>
      </c>
      <c r="F193" s="35">
        <v>59706.424487683791</v>
      </c>
      <c r="G193" s="35">
        <v>86069.766980398228</v>
      </c>
      <c r="H193" s="35">
        <v>104698.23978192364</v>
      </c>
      <c r="I193" s="35">
        <v>56379.029842783399</v>
      </c>
      <c r="J193" s="35">
        <v>50794.702159310982</v>
      </c>
      <c r="K193" s="35">
        <v>49569.689814743317</v>
      </c>
      <c r="L193" s="35">
        <v>56479.840950005011</v>
      </c>
      <c r="M193" s="35">
        <v>52983.500240317939</v>
      </c>
      <c r="N193" s="35">
        <v>76040.555390882859</v>
      </c>
      <c r="O193" s="35">
        <v>93574.976071240671</v>
      </c>
      <c r="P193" s="35">
        <v>53643.742513217607</v>
      </c>
      <c r="Q193" s="35">
        <v>53968.904529055726</v>
      </c>
      <c r="R193" s="35">
        <v>48503.245169146074</v>
      </c>
      <c r="S193" s="35">
        <v>46635.796643065143</v>
      </c>
      <c r="T193" s="35">
        <v>59314.29608467513</v>
      </c>
      <c r="U193" s="35">
        <v>75442.955794694033</v>
      </c>
      <c r="V193" s="35">
        <v>92184.567194459683</v>
      </c>
      <c r="W193" s="35">
        <v>69283.121799054046</v>
      </c>
      <c r="X193" s="35">
        <v>54280.591467532118</v>
      </c>
      <c r="Y193" s="35">
        <v>51451.774685015524</v>
      </c>
      <c r="Z193" s="35">
        <v>49113.501843420461</v>
      </c>
      <c r="AA193" s="35">
        <v>44389.059381185245</v>
      </c>
      <c r="AB193" s="35">
        <v>67132.506755687791</v>
      </c>
      <c r="AC193" s="35">
        <v>72571.676085466839</v>
      </c>
      <c r="AD193" s="35">
        <v>35446.45758013743</v>
      </c>
      <c r="AE193" s="35">
        <v>95918.061962148131</v>
      </c>
      <c r="AF193" s="35">
        <v>59085.636072728856</v>
      </c>
      <c r="AG193" s="35">
        <v>50362.835059323908</v>
      </c>
    </row>
    <row r="194" spans="1:33" ht="15.75" thickBot="1" x14ac:dyDescent="0.3">
      <c r="A194" s="13" t="s">
        <v>47</v>
      </c>
      <c r="B194" s="14" t="s">
        <v>5</v>
      </c>
      <c r="C194" s="15">
        <v>430836.08518262999</v>
      </c>
      <c r="D194" s="36">
        <v>10771.126016111786</v>
      </c>
      <c r="E194" s="36">
        <v>9401.5924110372416</v>
      </c>
      <c r="F194" s="36">
        <v>10122.45343904244</v>
      </c>
      <c r="G194" s="36">
        <v>18959.373028918653</v>
      </c>
      <c r="H194" s="36">
        <v>18550.483974389597</v>
      </c>
      <c r="I194" s="36">
        <v>14163.017505916634</v>
      </c>
      <c r="J194" s="36">
        <v>12490.970876002177</v>
      </c>
      <c r="K194" s="36">
        <v>10099.83780268705</v>
      </c>
      <c r="L194" s="36">
        <v>13390.635747206932</v>
      </c>
      <c r="M194" s="36">
        <v>15771.921939437394</v>
      </c>
      <c r="N194" s="36">
        <v>21024.651099432904</v>
      </c>
      <c r="O194" s="36">
        <v>23993.985106312881</v>
      </c>
      <c r="P194" s="36">
        <v>16978.325823005405</v>
      </c>
      <c r="Q194" s="36">
        <v>13658.812623419682</v>
      </c>
      <c r="R194" s="36">
        <v>7369.511453450501</v>
      </c>
      <c r="S194" s="36">
        <v>14110.250439048019</v>
      </c>
      <c r="T194" s="36">
        <v>12085.25956599751</v>
      </c>
      <c r="U194" s="36">
        <v>13472.547270999223</v>
      </c>
      <c r="V194" s="36">
        <v>21317.688667872819</v>
      </c>
      <c r="W194" s="36">
        <v>15103.827978300809</v>
      </c>
      <c r="X194" s="36">
        <v>13764.099140700464</v>
      </c>
      <c r="Y194" s="36">
        <v>12606.723315508736</v>
      </c>
      <c r="Z194" s="36">
        <v>11607.277266238178</v>
      </c>
      <c r="AA194" s="36">
        <v>8315.4640942468704</v>
      </c>
      <c r="AB194" s="36">
        <v>14700.642356151893</v>
      </c>
      <c r="AC194" s="36">
        <v>20908.510727477911</v>
      </c>
      <c r="AD194" s="36">
        <v>11380.939317282897</v>
      </c>
      <c r="AE194" s="36">
        <v>18594.9889054948</v>
      </c>
      <c r="AF194" s="36">
        <v>13529.523817627416</v>
      </c>
      <c r="AG194" s="36">
        <v>12591.643473311182</v>
      </c>
    </row>
    <row r="195" spans="1:33" x14ac:dyDescent="0.25">
      <c r="A195" s="8" t="s">
        <v>48</v>
      </c>
      <c r="B195" s="8" t="s">
        <v>2</v>
      </c>
      <c r="C195" s="9">
        <v>873624.61338974012</v>
      </c>
      <c r="D195" s="34">
        <v>29447.677487623529</v>
      </c>
      <c r="E195" s="34">
        <v>25913.818261409357</v>
      </c>
      <c r="F195" s="34">
        <v>26594.680918820686</v>
      </c>
      <c r="G195" s="34">
        <v>30778.22507963737</v>
      </c>
      <c r="H195" s="34">
        <v>37988.804799121892</v>
      </c>
      <c r="I195" s="34">
        <v>29207.342260730918</v>
      </c>
      <c r="J195" s="34">
        <v>23964.573996476349</v>
      </c>
      <c r="K195" s="34">
        <v>26218.585427854858</v>
      </c>
      <c r="L195" s="34">
        <v>22995.419712091167</v>
      </c>
      <c r="M195" s="34">
        <v>28359.973587803634</v>
      </c>
      <c r="N195" s="34">
        <v>30184.120460805378</v>
      </c>
      <c r="O195" s="34">
        <v>32075.298680001582</v>
      </c>
      <c r="P195" s="34">
        <v>25660.728511549507</v>
      </c>
      <c r="Q195" s="34">
        <v>24798.172634803821</v>
      </c>
      <c r="R195" s="34">
        <v>27133.023339201703</v>
      </c>
      <c r="S195" s="34">
        <v>23735.462446657119</v>
      </c>
      <c r="T195" s="34">
        <v>27656.155820429271</v>
      </c>
      <c r="U195" s="34">
        <v>24317.668906809031</v>
      </c>
      <c r="V195" s="34">
        <v>31543.610134347389</v>
      </c>
      <c r="W195" s="34">
        <v>31297.181837659376</v>
      </c>
      <c r="X195" s="34">
        <v>32813.196714627105</v>
      </c>
      <c r="Y195" s="34">
        <v>33929.782068415021</v>
      </c>
      <c r="Z195" s="34">
        <v>32885.752747240542</v>
      </c>
      <c r="AA195" s="34">
        <v>26724.567888004061</v>
      </c>
      <c r="AB195" s="34">
        <v>29644.095625630107</v>
      </c>
      <c r="AC195" s="34">
        <v>33193.467928798498</v>
      </c>
      <c r="AD195" s="34">
        <v>30470.54021185949</v>
      </c>
      <c r="AE195" s="34">
        <v>35726.018407510819</v>
      </c>
      <c r="AF195" s="34">
        <v>29426.101654653983</v>
      </c>
      <c r="AG195" s="34">
        <v>28940.565839166469</v>
      </c>
    </row>
    <row r="196" spans="1:33" x14ac:dyDescent="0.25">
      <c r="A196" s="10" t="s">
        <v>48</v>
      </c>
      <c r="B196" s="11" t="s">
        <v>3</v>
      </c>
      <c r="C196" s="12">
        <v>617568.44188459194</v>
      </c>
      <c r="D196" s="35">
        <v>12328.637552125418</v>
      </c>
      <c r="E196" s="35">
        <v>10573.156683118879</v>
      </c>
      <c r="F196" s="35">
        <v>13602.344202969787</v>
      </c>
      <c r="G196" s="35">
        <v>10900.112957893145</v>
      </c>
      <c r="H196" s="35">
        <v>10886.553329653098</v>
      </c>
      <c r="I196" s="35">
        <v>11817.02274993575</v>
      </c>
      <c r="J196" s="35">
        <v>9549.4622070471814</v>
      </c>
      <c r="K196" s="35">
        <v>45748.164273549017</v>
      </c>
      <c r="L196" s="35">
        <v>22046.529563574975</v>
      </c>
      <c r="M196" s="35">
        <v>8570.6879169787226</v>
      </c>
      <c r="N196" s="35">
        <v>14428.677140886561</v>
      </c>
      <c r="O196" s="35">
        <v>14167.32000750935</v>
      </c>
      <c r="P196" s="35">
        <v>57376.088710243464</v>
      </c>
      <c r="Q196" s="35">
        <v>9606.0929810759153</v>
      </c>
      <c r="R196" s="35">
        <v>14069.122391595294</v>
      </c>
      <c r="S196" s="35">
        <v>11657.718011224963</v>
      </c>
      <c r="T196" s="35">
        <v>11669.224891430213</v>
      </c>
      <c r="U196" s="35">
        <v>8385.8047886333043</v>
      </c>
      <c r="V196" s="35">
        <v>20438.84655307397</v>
      </c>
      <c r="W196" s="35">
        <v>17298.544252194359</v>
      </c>
      <c r="X196" s="35">
        <v>15946.295178451071</v>
      </c>
      <c r="Y196" s="35">
        <v>13942.745193880372</v>
      </c>
      <c r="Z196" s="35">
        <v>96780.979499281297</v>
      </c>
      <c r="AA196" s="35">
        <v>12159.946583850933</v>
      </c>
      <c r="AB196" s="35">
        <v>8567.788997998281</v>
      </c>
      <c r="AC196" s="35">
        <v>9900.8529736962319</v>
      </c>
      <c r="AD196" s="35">
        <v>10976.404148214458</v>
      </c>
      <c r="AE196" s="35">
        <v>12913.853556753647</v>
      </c>
      <c r="AF196" s="35">
        <v>10048.217300174065</v>
      </c>
      <c r="AG196" s="35">
        <v>91211.247287578182</v>
      </c>
    </row>
    <row r="197" spans="1:33" x14ac:dyDescent="0.25">
      <c r="A197" s="10" t="s">
        <v>48</v>
      </c>
      <c r="B197" s="11" t="s">
        <v>4</v>
      </c>
      <c r="C197" s="12">
        <v>1154228.5780563336</v>
      </c>
      <c r="D197" s="35">
        <v>43033.680862811118</v>
      </c>
      <c r="E197" s="35">
        <v>32335.655057652191</v>
      </c>
      <c r="F197" s="35">
        <v>34975.815601398157</v>
      </c>
      <c r="G197" s="35">
        <v>47853.634250118987</v>
      </c>
      <c r="H197" s="35">
        <v>58233.511377175928</v>
      </c>
      <c r="I197" s="35">
        <v>32559.947773369786</v>
      </c>
      <c r="J197" s="35">
        <v>39448.233193437518</v>
      </c>
      <c r="K197" s="35">
        <v>36138.311456490177</v>
      </c>
      <c r="L197" s="35">
        <v>27033.24107367768</v>
      </c>
      <c r="M197" s="35">
        <v>36633.669478451367</v>
      </c>
      <c r="N197" s="35">
        <v>41668.016281977194</v>
      </c>
      <c r="O197" s="35">
        <v>58844.324664123211</v>
      </c>
      <c r="P197" s="35">
        <v>35326.468350618081</v>
      </c>
      <c r="Q197" s="35">
        <v>27571.815982097127</v>
      </c>
      <c r="R197" s="35">
        <v>37601.031219306729</v>
      </c>
      <c r="S197" s="35">
        <v>31561.946649390895</v>
      </c>
      <c r="T197" s="35">
        <v>34309.747221675876</v>
      </c>
      <c r="U197" s="35">
        <v>40560.519582092311</v>
      </c>
      <c r="V197" s="35">
        <v>46321.857047117977</v>
      </c>
      <c r="W197" s="35">
        <v>44068.756371619689</v>
      </c>
      <c r="X197" s="35">
        <v>35625.083507916075</v>
      </c>
      <c r="Y197" s="35">
        <v>33168.210825265924</v>
      </c>
      <c r="Z197" s="35">
        <v>36483.068501021946</v>
      </c>
      <c r="AA197" s="35">
        <v>35830.5556717687</v>
      </c>
      <c r="AB197" s="35">
        <v>37463.007745212031</v>
      </c>
      <c r="AC197" s="35">
        <v>33362.430876760234</v>
      </c>
      <c r="AD197" s="35">
        <v>35594.791468634627</v>
      </c>
      <c r="AE197" s="35">
        <v>42843.473546755718</v>
      </c>
      <c r="AF197" s="35">
        <v>42099.645849541805</v>
      </c>
      <c r="AG197" s="35">
        <v>35678.126568854583</v>
      </c>
    </row>
    <row r="198" spans="1:33" ht="15.75" thickBot="1" x14ac:dyDescent="0.3">
      <c r="A198" s="13" t="s">
        <v>48</v>
      </c>
      <c r="B198" s="14" t="s">
        <v>5</v>
      </c>
      <c r="C198" s="15">
        <v>787281.46994999447</v>
      </c>
      <c r="D198" s="36">
        <v>22248.61871449068</v>
      </c>
      <c r="E198" s="36">
        <v>23449.370789772845</v>
      </c>
      <c r="F198" s="36">
        <v>19802.960718303631</v>
      </c>
      <c r="G198" s="36">
        <v>35082.611999958797</v>
      </c>
      <c r="H198" s="36">
        <v>33204.082343156544</v>
      </c>
      <c r="I198" s="36">
        <v>18366.993324720825</v>
      </c>
      <c r="J198" s="36">
        <v>27854.98580396656</v>
      </c>
      <c r="K198" s="36">
        <v>29831.054767605256</v>
      </c>
      <c r="L198" s="36">
        <v>17122.51254400763</v>
      </c>
      <c r="M198" s="36">
        <v>23544.020878571871</v>
      </c>
      <c r="N198" s="36">
        <v>29832.078574597494</v>
      </c>
      <c r="O198" s="36">
        <v>29934.624124099351</v>
      </c>
      <c r="P198" s="36">
        <v>23484.891686605115</v>
      </c>
      <c r="Q198" s="36">
        <v>25427.834420613715</v>
      </c>
      <c r="R198" s="36">
        <v>23763.939826302099</v>
      </c>
      <c r="S198" s="36">
        <v>26612.084115393929</v>
      </c>
      <c r="T198" s="36">
        <v>17465.227596492892</v>
      </c>
      <c r="U198" s="36">
        <v>22621.327841316233</v>
      </c>
      <c r="V198" s="36">
        <v>27234.749645942218</v>
      </c>
      <c r="W198" s="36">
        <v>39114.05158748215</v>
      </c>
      <c r="X198" s="36">
        <v>27648.376347135381</v>
      </c>
      <c r="Y198" s="36">
        <v>24532.419766269817</v>
      </c>
      <c r="Z198" s="36">
        <v>22169.15220396631</v>
      </c>
      <c r="AA198" s="36">
        <v>25747.583226417246</v>
      </c>
      <c r="AB198" s="36">
        <v>26022.900544023887</v>
      </c>
      <c r="AC198" s="36">
        <v>32319.695304805264</v>
      </c>
      <c r="AD198" s="36">
        <v>25743.548732761403</v>
      </c>
      <c r="AE198" s="36">
        <v>28439.0850456972</v>
      </c>
      <c r="AF198" s="36">
        <v>24478.39225660334</v>
      </c>
      <c r="AG198" s="36">
        <v>34182.295218914791</v>
      </c>
    </row>
    <row r="199" spans="1:33" x14ac:dyDescent="0.25">
      <c r="A199" s="8" t="s">
        <v>49</v>
      </c>
      <c r="B199" s="8" t="s">
        <v>2</v>
      </c>
      <c r="C199" s="9">
        <v>1367389.3340752122</v>
      </c>
      <c r="D199" s="34">
        <v>43860.546206751715</v>
      </c>
      <c r="E199" s="34">
        <v>44516.708224869457</v>
      </c>
      <c r="F199" s="34">
        <v>47272.434727676882</v>
      </c>
      <c r="G199" s="34">
        <v>50381.599281784031</v>
      </c>
      <c r="H199" s="34">
        <v>60194.02556976091</v>
      </c>
      <c r="I199" s="34">
        <v>57578.567344382129</v>
      </c>
      <c r="J199" s="34">
        <v>39208.936909486358</v>
      </c>
      <c r="K199" s="34">
        <v>43287.918164768773</v>
      </c>
      <c r="L199" s="34">
        <v>44651.296136435063</v>
      </c>
      <c r="M199" s="34">
        <v>42169.697570588149</v>
      </c>
      <c r="N199" s="34">
        <v>45774.427230043075</v>
      </c>
      <c r="O199" s="34">
        <v>50141.719997609449</v>
      </c>
      <c r="P199" s="34">
        <v>48968.630814488068</v>
      </c>
      <c r="Q199" s="34">
        <v>33097.327935013869</v>
      </c>
      <c r="R199" s="34">
        <v>55764.64411451944</v>
      </c>
      <c r="S199" s="34">
        <v>35459.923182816841</v>
      </c>
      <c r="T199" s="34">
        <v>39098.05533555185</v>
      </c>
      <c r="U199" s="34">
        <v>36342.197053804986</v>
      </c>
      <c r="V199" s="34">
        <v>46979.039322624165</v>
      </c>
      <c r="W199" s="34">
        <v>58010.760651328725</v>
      </c>
      <c r="X199" s="34">
        <v>38289.46669890912</v>
      </c>
      <c r="Y199" s="34">
        <v>38593.106182569536</v>
      </c>
      <c r="Z199" s="34">
        <v>38233.523071251911</v>
      </c>
      <c r="AA199" s="34">
        <v>33725.864925985734</v>
      </c>
      <c r="AB199" s="34">
        <v>41952.262320519527</v>
      </c>
      <c r="AC199" s="34">
        <v>47320.832277117996</v>
      </c>
      <c r="AD199" s="34">
        <v>51288.793243792803</v>
      </c>
      <c r="AE199" s="34">
        <v>56995.235086413653</v>
      </c>
      <c r="AF199" s="34">
        <v>58046.008049760894</v>
      </c>
      <c r="AG199" s="34">
        <v>40185.786444587284</v>
      </c>
    </row>
    <row r="200" spans="1:33" x14ac:dyDescent="0.25">
      <c r="A200" s="10" t="s">
        <v>49</v>
      </c>
      <c r="B200" s="11" t="s">
        <v>3</v>
      </c>
      <c r="C200" s="12">
        <v>1760144.4971161103</v>
      </c>
      <c r="D200" s="35">
        <v>45429.134191770718</v>
      </c>
      <c r="E200" s="35">
        <v>53108.15949937571</v>
      </c>
      <c r="F200" s="35">
        <v>53923.724247545826</v>
      </c>
      <c r="G200" s="35">
        <v>48678.562600639874</v>
      </c>
      <c r="H200" s="35">
        <v>89039.141566079081</v>
      </c>
      <c r="I200" s="35">
        <v>54968.570420975753</v>
      </c>
      <c r="J200" s="35">
        <v>49510.232816528776</v>
      </c>
      <c r="K200" s="35">
        <v>44547.73953085221</v>
      </c>
      <c r="L200" s="35">
        <v>50557.910894400411</v>
      </c>
      <c r="M200" s="35">
        <v>46364.058174915663</v>
      </c>
      <c r="N200" s="35">
        <v>67608.206351527901</v>
      </c>
      <c r="O200" s="35">
        <v>83332.355764131324</v>
      </c>
      <c r="P200" s="35">
        <v>85574.227378168973</v>
      </c>
      <c r="Q200" s="35">
        <v>50178.174657740179</v>
      </c>
      <c r="R200" s="35">
        <v>40545.024540487779</v>
      </c>
      <c r="S200" s="35">
        <v>53303.149567778477</v>
      </c>
      <c r="T200" s="35">
        <v>72197.892865044079</v>
      </c>
      <c r="U200" s="35">
        <v>52327.376549613982</v>
      </c>
      <c r="V200" s="35">
        <v>83591.206068729458</v>
      </c>
      <c r="W200" s="35">
        <v>54721.198030748928</v>
      </c>
      <c r="X200" s="35">
        <v>46042.17031027285</v>
      </c>
      <c r="Y200" s="35">
        <v>36294.114483745863</v>
      </c>
      <c r="Z200" s="35">
        <v>47099.831246818896</v>
      </c>
      <c r="AA200" s="35">
        <v>46391.17484649719</v>
      </c>
      <c r="AB200" s="35">
        <v>56714.415778248127</v>
      </c>
      <c r="AC200" s="35">
        <v>83805.600219801272</v>
      </c>
      <c r="AD200" s="35">
        <v>68986.465766057561</v>
      </c>
      <c r="AE200" s="35">
        <v>86806.746548469295</v>
      </c>
      <c r="AF200" s="35">
        <v>56193.345360973202</v>
      </c>
      <c r="AG200" s="35">
        <v>52304.586838171046</v>
      </c>
    </row>
    <row r="201" spans="1:33" x14ac:dyDescent="0.25">
      <c r="A201" s="10" t="s">
        <v>49</v>
      </c>
      <c r="B201" s="11" t="s">
        <v>4</v>
      </c>
      <c r="C201" s="12">
        <v>2586246.1469371999</v>
      </c>
      <c r="D201" s="35">
        <v>72781.011740143163</v>
      </c>
      <c r="E201" s="35">
        <v>82977.717183479792</v>
      </c>
      <c r="F201" s="35">
        <v>74869.788851599791</v>
      </c>
      <c r="G201" s="35">
        <v>87121.219433889302</v>
      </c>
      <c r="H201" s="35">
        <v>114561.4069819841</v>
      </c>
      <c r="I201" s="35">
        <v>113574.2637553283</v>
      </c>
      <c r="J201" s="35">
        <v>75969.861683979441</v>
      </c>
      <c r="K201" s="35">
        <v>71271.360811885796</v>
      </c>
      <c r="L201" s="35">
        <v>69356.903916913958</v>
      </c>
      <c r="M201" s="35">
        <v>74060.670307796187</v>
      </c>
      <c r="N201" s="35">
        <v>87853.10228043914</v>
      </c>
      <c r="O201" s="35">
        <v>111010.92670782885</v>
      </c>
      <c r="P201" s="35">
        <v>110129.57106986109</v>
      </c>
      <c r="Q201" s="35">
        <v>70506.95469183533</v>
      </c>
      <c r="R201" s="35">
        <v>62324.306140955392</v>
      </c>
      <c r="S201" s="35">
        <v>58103.382161138317</v>
      </c>
      <c r="T201" s="35">
        <v>77427.043456504762</v>
      </c>
      <c r="U201" s="35">
        <v>81636.562856457182</v>
      </c>
      <c r="V201" s="35">
        <v>113554.57670044134</v>
      </c>
      <c r="W201" s="35">
        <v>109500.18385171209</v>
      </c>
      <c r="X201" s="35">
        <v>84192.369645904153</v>
      </c>
      <c r="Y201" s="35">
        <v>68818.18715286642</v>
      </c>
      <c r="Z201" s="35">
        <v>57460.859455258658</v>
      </c>
      <c r="AA201" s="35">
        <v>61702.368297313762</v>
      </c>
      <c r="AB201" s="35">
        <v>77395.005484274981</v>
      </c>
      <c r="AC201" s="35">
        <v>100392.61578545223</v>
      </c>
      <c r="AD201" s="35">
        <v>90559.352463845702</v>
      </c>
      <c r="AE201" s="35">
        <v>140428.12648470644</v>
      </c>
      <c r="AF201" s="35">
        <v>113563.74889446016</v>
      </c>
      <c r="AG201" s="35">
        <v>73142.698688943739</v>
      </c>
    </row>
    <row r="202" spans="1:33" ht="15.75" thickBot="1" x14ac:dyDescent="0.3">
      <c r="A202" s="13" t="s">
        <v>49</v>
      </c>
      <c r="B202" s="14" t="s">
        <v>5</v>
      </c>
      <c r="C202" s="15">
        <v>1552763.9396789875</v>
      </c>
      <c r="D202" s="36">
        <v>44037.419825331701</v>
      </c>
      <c r="E202" s="36">
        <v>51257.19412768745</v>
      </c>
      <c r="F202" s="36">
        <v>38547.885366590774</v>
      </c>
      <c r="G202" s="36">
        <v>55543.817279653689</v>
      </c>
      <c r="H202" s="36">
        <v>54314.665394642077</v>
      </c>
      <c r="I202" s="36">
        <v>44166.416933692803</v>
      </c>
      <c r="J202" s="36">
        <v>62281.632611378052</v>
      </c>
      <c r="K202" s="36">
        <v>40858.081345532752</v>
      </c>
      <c r="L202" s="36">
        <v>44938.953468979227</v>
      </c>
      <c r="M202" s="36">
        <v>51620.654051777674</v>
      </c>
      <c r="N202" s="36">
        <v>55358.229485823838</v>
      </c>
      <c r="O202" s="36">
        <v>61390.240077143339</v>
      </c>
      <c r="P202" s="36">
        <v>58266.851599005466</v>
      </c>
      <c r="Q202" s="36">
        <v>52031.936445797422</v>
      </c>
      <c r="R202" s="36">
        <v>40471.355446598347</v>
      </c>
      <c r="S202" s="36">
        <v>38807.389766573899</v>
      </c>
      <c r="T202" s="36">
        <v>60591.920594911164</v>
      </c>
      <c r="U202" s="36">
        <v>54382.275841602721</v>
      </c>
      <c r="V202" s="36">
        <v>56618.884708921083</v>
      </c>
      <c r="W202" s="36">
        <v>54857.974416170611</v>
      </c>
      <c r="X202" s="36">
        <v>47314.471738425898</v>
      </c>
      <c r="Y202" s="36">
        <v>51755.71019843415</v>
      </c>
      <c r="Z202" s="36">
        <v>45938.484277322532</v>
      </c>
      <c r="AA202" s="36">
        <v>44442.203855016531</v>
      </c>
      <c r="AB202" s="36">
        <v>51896.065715442623</v>
      </c>
      <c r="AC202" s="36">
        <v>71762.737023402326</v>
      </c>
      <c r="AD202" s="36">
        <v>42418.402690728108</v>
      </c>
      <c r="AE202" s="36">
        <v>77564.22042809696</v>
      </c>
      <c r="AF202" s="36">
        <v>57302.210600302613</v>
      </c>
      <c r="AG202" s="36">
        <v>42025.654364001617</v>
      </c>
    </row>
    <row r="203" spans="1:33" x14ac:dyDescent="0.25">
      <c r="A203" s="8" t="s">
        <v>50</v>
      </c>
      <c r="B203" s="8" t="s">
        <v>2</v>
      </c>
      <c r="C203" s="9">
        <v>1107600.406621469</v>
      </c>
      <c r="D203" s="34">
        <v>34339.416681096322</v>
      </c>
      <c r="E203" s="34">
        <v>30634.352496913201</v>
      </c>
      <c r="F203" s="34">
        <v>37575.425748432601</v>
      </c>
      <c r="G203" s="34">
        <v>39237.052446279602</v>
      </c>
      <c r="H203" s="34">
        <v>36820.102573668621</v>
      </c>
      <c r="I203" s="34">
        <v>41901.628786441666</v>
      </c>
      <c r="J203" s="34">
        <v>27753.43535516569</v>
      </c>
      <c r="K203" s="34">
        <v>32251.230654657524</v>
      </c>
      <c r="L203" s="34">
        <v>31911.632144837189</v>
      </c>
      <c r="M203" s="34">
        <v>33669.491191168701</v>
      </c>
      <c r="N203" s="34">
        <v>37022.765953322007</v>
      </c>
      <c r="O203" s="34">
        <v>37098.179503269021</v>
      </c>
      <c r="P203" s="34">
        <v>40134.352624393337</v>
      </c>
      <c r="Q203" s="34">
        <v>30717.007034941904</v>
      </c>
      <c r="R203" s="34">
        <v>35804.126815227784</v>
      </c>
      <c r="S203" s="34">
        <v>34793.775273984778</v>
      </c>
      <c r="T203" s="34">
        <v>41952.177779430946</v>
      </c>
      <c r="U203" s="34">
        <v>36016.858616404272</v>
      </c>
      <c r="V203" s="34">
        <v>40335.460532532881</v>
      </c>
      <c r="W203" s="34">
        <v>40856.47452787908</v>
      </c>
      <c r="X203" s="34">
        <v>33756.94240490019</v>
      </c>
      <c r="Y203" s="34">
        <v>45206.929129145843</v>
      </c>
      <c r="Z203" s="34">
        <v>41418.765986501501</v>
      </c>
      <c r="AA203" s="34">
        <v>29944.412762679389</v>
      </c>
      <c r="AB203" s="34">
        <v>37768.763961424178</v>
      </c>
      <c r="AC203" s="34">
        <v>35394.800272028267</v>
      </c>
      <c r="AD203" s="34">
        <v>36814.892127218307</v>
      </c>
      <c r="AE203" s="34">
        <v>42141.421363079542</v>
      </c>
      <c r="AF203" s="34">
        <v>44277.124960087662</v>
      </c>
      <c r="AG203" s="34">
        <v>40051.406914357118</v>
      </c>
    </row>
    <row r="204" spans="1:33" x14ac:dyDescent="0.25">
      <c r="A204" s="10" t="s">
        <v>50</v>
      </c>
      <c r="B204" s="11" t="s">
        <v>3</v>
      </c>
      <c r="C204" s="12">
        <v>1609810.3640817802</v>
      </c>
      <c r="D204" s="35">
        <v>56453.311749468652</v>
      </c>
      <c r="E204" s="35">
        <v>46544.411226309639</v>
      </c>
      <c r="F204" s="35">
        <v>59870.573791418545</v>
      </c>
      <c r="G204" s="35">
        <v>73813.243156878307</v>
      </c>
      <c r="H204" s="35">
        <v>58651.037902665179</v>
      </c>
      <c r="I204" s="35">
        <v>46858.678365793021</v>
      </c>
      <c r="J204" s="35">
        <v>53320.784106259176</v>
      </c>
      <c r="K204" s="35">
        <v>62196.960862653017</v>
      </c>
      <c r="L204" s="35">
        <v>56357.65152144694</v>
      </c>
      <c r="M204" s="35">
        <v>52318.554647989993</v>
      </c>
      <c r="N204" s="35">
        <v>57549.491106231595</v>
      </c>
      <c r="O204" s="35">
        <v>58714.974276539455</v>
      </c>
      <c r="P204" s="35">
        <v>41464.338443157743</v>
      </c>
      <c r="Q204" s="35">
        <v>46748.681320207528</v>
      </c>
      <c r="R204" s="35">
        <v>42415.455058160798</v>
      </c>
      <c r="S204" s="35">
        <v>43402.236378758185</v>
      </c>
      <c r="T204" s="35">
        <v>56139.809135165975</v>
      </c>
      <c r="U204" s="35">
        <v>42607.910479420927</v>
      </c>
      <c r="V204" s="35">
        <v>74105.53610869385</v>
      </c>
      <c r="W204" s="35">
        <v>40977.123097076328</v>
      </c>
      <c r="X204" s="35">
        <v>57616.635333183629</v>
      </c>
      <c r="Y204" s="35">
        <v>47832.565220456185</v>
      </c>
      <c r="Z204" s="35">
        <v>50106.073946976328</v>
      </c>
      <c r="AA204" s="35">
        <v>53061.105641018068</v>
      </c>
      <c r="AB204" s="35">
        <v>50320.416857172459</v>
      </c>
      <c r="AC204" s="35">
        <v>52195.119298970632</v>
      </c>
      <c r="AD204" s="35">
        <v>67889.733583658061</v>
      </c>
      <c r="AE204" s="35">
        <v>51638.158763982225</v>
      </c>
      <c r="AF204" s="35">
        <v>60760.07125319809</v>
      </c>
      <c r="AG204" s="35">
        <v>47879.721448869619</v>
      </c>
    </row>
    <row r="205" spans="1:33" x14ac:dyDescent="0.25">
      <c r="A205" s="10" t="s">
        <v>50</v>
      </c>
      <c r="B205" s="11" t="s">
        <v>4</v>
      </c>
      <c r="C205" s="12">
        <v>1569926.7647826064</v>
      </c>
      <c r="D205" s="35">
        <v>45987.449450233464</v>
      </c>
      <c r="E205" s="35">
        <v>38533.308294133574</v>
      </c>
      <c r="F205" s="35">
        <v>57260.409293871911</v>
      </c>
      <c r="G205" s="35">
        <v>70284.27479824271</v>
      </c>
      <c r="H205" s="35">
        <v>64471.004137837299</v>
      </c>
      <c r="I205" s="35">
        <v>40962.378766829839</v>
      </c>
      <c r="J205" s="35">
        <v>55250.601362868139</v>
      </c>
      <c r="K205" s="35">
        <v>46208.499079676651</v>
      </c>
      <c r="L205" s="35">
        <v>44560.83469462044</v>
      </c>
      <c r="M205" s="35">
        <v>48979.685066117971</v>
      </c>
      <c r="N205" s="35">
        <v>56992.774937573995</v>
      </c>
      <c r="O205" s="35">
        <v>56173.223779433487</v>
      </c>
      <c r="P205" s="35">
        <v>52898.365086376936</v>
      </c>
      <c r="Q205" s="35">
        <v>48706.134109475002</v>
      </c>
      <c r="R205" s="35">
        <v>47492.353749722621</v>
      </c>
      <c r="S205" s="35">
        <v>52013.472898218883</v>
      </c>
      <c r="T205" s="35">
        <v>62890.006917358725</v>
      </c>
      <c r="U205" s="35">
        <v>73946.521198719041</v>
      </c>
      <c r="V205" s="35">
        <v>60883.708142421674</v>
      </c>
      <c r="W205" s="35">
        <v>56102.006953211203</v>
      </c>
      <c r="X205" s="35">
        <v>45961.960463919371</v>
      </c>
      <c r="Y205" s="35">
        <v>51905.695562278204</v>
      </c>
      <c r="Z205" s="35">
        <v>45577.741878063716</v>
      </c>
      <c r="AA205" s="35">
        <v>42632.458226296731</v>
      </c>
      <c r="AB205" s="35">
        <v>56392.675246714512</v>
      </c>
      <c r="AC205" s="35">
        <v>45923.318943045138</v>
      </c>
      <c r="AD205" s="35">
        <v>44060.60993786146</v>
      </c>
      <c r="AE205" s="35">
        <v>68227.399291390539</v>
      </c>
      <c r="AF205" s="35">
        <v>45055.129249654274</v>
      </c>
      <c r="AG205" s="35">
        <v>43592.763266439018</v>
      </c>
    </row>
    <row r="206" spans="1:33" ht="15.75" thickBot="1" x14ac:dyDescent="0.3">
      <c r="A206" s="13" t="s">
        <v>50</v>
      </c>
      <c r="B206" s="14" t="s">
        <v>5</v>
      </c>
      <c r="C206" s="15">
        <v>1606915.9108232474</v>
      </c>
      <c r="D206" s="36">
        <v>52739.602374086666</v>
      </c>
      <c r="E206" s="36">
        <v>35841.251239857229</v>
      </c>
      <c r="F206" s="36">
        <v>47603.052298017086</v>
      </c>
      <c r="G206" s="36">
        <v>56394.410893901761</v>
      </c>
      <c r="H206" s="36">
        <v>47915.0231496052</v>
      </c>
      <c r="I206" s="36">
        <v>48911.480047522316</v>
      </c>
      <c r="J206" s="36">
        <v>41565.78637864437</v>
      </c>
      <c r="K206" s="36">
        <v>49822.964884644694</v>
      </c>
      <c r="L206" s="36">
        <v>55268.386101918026</v>
      </c>
      <c r="M206" s="36">
        <v>61633.251412655532</v>
      </c>
      <c r="N206" s="36">
        <v>63046.48936941546</v>
      </c>
      <c r="O206" s="36">
        <v>65875.125081138627</v>
      </c>
      <c r="P206" s="36">
        <v>54193.626520065445</v>
      </c>
      <c r="Q206" s="36">
        <v>50434.707727598565</v>
      </c>
      <c r="R206" s="36">
        <v>42749.525778171912</v>
      </c>
      <c r="S206" s="36">
        <v>46523.553158996147</v>
      </c>
      <c r="T206" s="36">
        <v>55428.36115494874</v>
      </c>
      <c r="U206" s="36">
        <v>50660.586623027273</v>
      </c>
      <c r="V206" s="36">
        <v>56093.708989420687</v>
      </c>
      <c r="W206" s="36">
        <v>45379.510050520039</v>
      </c>
      <c r="X206" s="36">
        <v>57022.862175733972</v>
      </c>
      <c r="Y206" s="36">
        <v>52335.280151175859</v>
      </c>
      <c r="Z206" s="36">
        <v>65156.752200962444</v>
      </c>
      <c r="AA206" s="36">
        <v>59665.945224222494</v>
      </c>
      <c r="AB206" s="36">
        <v>59782.434340280233</v>
      </c>
      <c r="AC206" s="36">
        <v>57844.595398630227</v>
      </c>
      <c r="AD206" s="36">
        <v>57771.172258783699</v>
      </c>
      <c r="AE206" s="36">
        <v>66641.90343863974</v>
      </c>
      <c r="AF206" s="36">
        <v>63449.331730594378</v>
      </c>
      <c r="AG206" s="36">
        <v>39165.23067006834</v>
      </c>
    </row>
    <row r="207" spans="1:33" x14ac:dyDescent="0.25">
      <c r="A207" s="8" t="s">
        <v>83</v>
      </c>
      <c r="B207" s="8" t="s">
        <v>2</v>
      </c>
      <c r="C207" s="9">
        <v>1645920.9797110036</v>
      </c>
      <c r="D207" s="34">
        <v>55017.835297123049</v>
      </c>
      <c r="E207" s="34">
        <v>52419.189886909982</v>
      </c>
      <c r="F207" s="34">
        <v>55333.351490213412</v>
      </c>
      <c r="G207" s="34">
        <v>65862.959066281546</v>
      </c>
      <c r="H207" s="34">
        <v>50447.819619462913</v>
      </c>
      <c r="I207" s="34">
        <v>45270.765915911034</v>
      </c>
      <c r="J207" s="34">
        <v>52088.745360609428</v>
      </c>
      <c r="K207" s="34">
        <v>57873.935748283686</v>
      </c>
      <c r="L207" s="34">
        <v>60008.611917005444</v>
      </c>
      <c r="M207" s="34">
        <v>45841.841754833484</v>
      </c>
      <c r="N207" s="34">
        <v>58194.718791517858</v>
      </c>
      <c r="O207" s="34">
        <v>53015.266490607486</v>
      </c>
      <c r="P207" s="34">
        <v>44039.790655465455</v>
      </c>
      <c r="Q207" s="34">
        <v>49582.865283900843</v>
      </c>
      <c r="R207" s="34">
        <v>51507.177754919576</v>
      </c>
      <c r="S207" s="34">
        <v>56233.96609139895</v>
      </c>
      <c r="T207" s="34">
        <v>58270.182354565819</v>
      </c>
      <c r="U207" s="34">
        <v>63496.876959393623</v>
      </c>
      <c r="V207" s="34">
        <v>51239.927043640848</v>
      </c>
      <c r="W207" s="34">
        <v>53910.6142416492</v>
      </c>
      <c r="X207" s="34">
        <v>59558.128495627614</v>
      </c>
      <c r="Y207" s="34">
        <v>63239.237410956965</v>
      </c>
      <c r="Z207" s="34">
        <v>61462.908332912339</v>
      </c>
      <c r="AA207" s="34">
        <v>49993.797008975693</v>
      </c>
      <c r="AB207" s="34">
        <v>59349.978887793972</v>
      </c>
      <c r="AC207" s="34">
        <v>58274.711174753174</v>
      </c>
      <c r="AD207" s="34">
        <v>50872.178457722897</v>
      </c>
      <c r="AE207" s="34">
        <v>52470.248359224781</v>
      </c>
      <c r="AF207" s="34">
        <v>51498.891691317513</v>
      </c>
      <c r="AG207" s="34">
        <v>59544.458168025019</v>
      </c>
    </row>
    <row r="208" spans="1:33" x14ac:dyDescent="0.25">
      <c r="A208" s="10" t="s">
        <v>83</v>
      </c>
      <c r="B208" s="11" t="s">
        <v>3</v>
      </c>
      <c r="C208" s="12">
        <v>1201575.7687415027</v>
      </c>
      <c r="D208" s="35">
        <v>34378.453356787613</v>
      </c>
      <c r="E208" s="35">
        <v>43489.481924405263</v>
      </c>
      <c r="F208" s="35">
        <v>38938.562093623194</v>
      </c>
      <c r="G208" s="35">
        <v>45934.910766061541</v>
      </c>
      <c r="H208" s="35">
        <v>54881.48633461853</v>
      </c>
      <c r="I208" s="35">
        <v>37204.640495860578</v>
      </c>
      <c r="J208" s="35">
        <v>33816.66413701784</v>
      </c>
      <c r="K208" s="35">
        <v>33610.968709568951</v>
      </c>
      <c r="L208" s="35">
        <v>43277.895951744948</v>
      </c>
      <c r="M208" s="35">
        <v>40737.555269774071</v>
      </c>
      <c r="N208" s="35">
        <v>40608.264691909717</v>
      </c>
      <c r="O208" s="35">
        <v>37374.208968394334</v>
      </c>
      <c r="P208" s="35">
        <v>45724.719922530239</v>
      </c>
      <c r="Q208" s="35">
        <v>35638.427198459693</v>
      </c>
      <c r="R208" s="35">
        <v>37008.616241324606</v>
      </c>
      <c r="S208" s="35">
        <v>49460.470970368944</v>
      </c>
      <c r="T208" s="35">
        <v>42760.613073572655</v>
      </c>
      <c r="U208" s="35">
        <v>33560.985194353816</v>
      </c>
      <c r="V208" s="35">
        <v>39814.186472157569</v>
      </c>
      <c r="W208" s="35">
        <v>36205.288832161532</v>
      </c>
      <c r="X208" s="35">
        <v>32384.564086075465</v>
      </c>
      <c r="Y208" s="35">
        <v>35954.036410314286</v>
      </c>
      <c r="Z208" s="35">
        <v>30747.285322176427</v>
      </c>
      <c r="AA208" s="35">
        <v>31318.935176839608</v>
      </c>
      <c r="AB208" s="35">
        <v>44211.185667612277</v>
      </c>
      <c r="AC208" s="35">
        <v>50170.273056438244</v>
      </c>
      <c r="AD208" s="35">
        <v>35777.440620686197</v>
      </c>
      <c r="AE208" s="35">
        <v>48949.44894946085</v>
      </c>
      <c r="AF208" s="35">
        <v>50112.04794507203</v>
      </c>
      <c r="AG208" s="35">
        <v>37524.150902131521</v>
      </c>
    </row>
    <row r="209" spans="1:33" x14ac:dyDescent="0.25">
      <c r="A209" s="10" t="s">
        <v>83</v>
      </c>
      <c r="B209" s="11" t="s">
        <v>4</v>
      </c>
      <c r="C209" s="12">
        <v>1427755.2025018125</v>
      </c>
      <c r="D209" s="35">
        <v>46429.306384776217</v>
      </c>
      <c r="E209" s="35">
        <v>35391.772678153553</v>
      </c>
      <c r="F209" s="35">
        <v>46096.105518876415</v>
      </c>
      <c r="G209" s="35">
        <v>54456.089064879212</v>
      </c>
      <c r="H209" s="35">
        <v>43731.805698184035</v>
      </c>
      <c r="I209" s="35">
        <v>47330.925720528277</v>
      </c>
      <c r="J209" s="35">
        <v>38557.866985637818</v>
      </c>
      <c r="K209" s="35">
        <v>39372.787293589783</v>
      </c>
      <c r="L209" s="35">
        <v>43028.969431169804</v>
      </c>
      <c r="M209" s="35">
        <v>49117.725519726693</v>
      </c>
      <c r="N209" s="35">
        <v>43818.712355892443</v>
      </c>
      <c r="O209" s="35">
        <v>53631.328904750859</v>
      </c>
      <c r="P209" s="35">
        <v>45995.125164339559</v>
      </c>
      <c r="Q209" s="35">
        <v>41603.671357112478</v>
      </c>
      <c r="R209" s="35">
        <v>41377.860290745157</v>
      </c>
      <c r="S209" s="35">
        <v>50666.671717875863</v>
      </c>
      <c r="T209" s="35">
        <v>43708.23518989727</v>
      </c>
      <c r="U209" s="35">
        <v>50858.828684322441</v>
      </c>
      <c r="V209" s="35">
        <v>57649.509273774449</v>
      </c>
      <c r="W209" s="35">
        <v>49536.506017399188</v>
      </c>
      <c r="X209" s="35">
        <v>53402.963087772609</v>
      </c>
      <c r="Y209" s="35">
        <v>49875.80939712582</v>
      </c>
      <c r="Z209" s="35">
        <v>41887.781290778112</v>
      </c>
      <c r="AA209" s="35">
        <v>47791.196090313359</v>
      </c>
      <c r="AB209" s="35">
        <v>55618.040196101836</v>
      </c>
      <c r="AC209" s="35">
        <v>57331.158460012419</v>
      </c>
      <c r="AD209" s="35">
        <v>48409.97835401159</v>
      </c>
      <c r="AE209" s="35">
        <v>59847.181579354976</v>
      </c>
      <c r="AF209" s="35">
        <v>52005.279791520406</v>
      </c>
      <c r="AG209" s="35">
        <v>39226.011003189764</v>
      </c>
    </row>
    <row r="210" spans="1:33" ht="15.75" thickBot="1" x14ac:dyDescent="0.3">
      <c r="A210" s="13" t="s">
        <v>83</v>
      </c>
      <c r="B210" s="14" t="s">
        <v>5</v>
      </c>
      <c r="C210" s="15">
        <v>2786541.6714284574</v>
      </c>
      <c r="D210" s="36">
        <v>84616.495229890352</v>
      </c>
      <c r="E210" s="36">
        <v>95324.770039785188</v>
      </c>
      <c r="F210" s="36">
        <v>88607.682820664631</v>
      </c>
      <c r="G210" s="36">
        <v>92033.664995880667</v>
      </c>
      <c r="H210" s="36">
        <v>84865.536368980174</v>
      </c>
      <c r="I210" s="36">
        <v>99124.934265914373</v>
      </c>
      <c r="J210" s="36">
        <v>87960.08753911349</v>
      </c>
      <c r="K210" s="36">
        <v>86298.958117407718</v>
      </c>
      <c r="L210" s="36">
        <v>85003.241840510163</v>
      </c>
      <c r="M210" s="36">
        <v>93733.518495745171</v>
      </c>
      <c r="N210" s="36">
        <v>85398.505014613169</v>
      </c>
      <c r="O210" s="36">
        <v>90839.621766986107</v>
      </c>
      <c r="P210" s="36">
        <v>106013.78269622177</v>
      </c>
      <c r="Q210" s="36">
        <v>104199.48130312951</v>
      </c>
      <c r="R210" s="36">
        <v>78805.507279725411</v>
      </c>
      <c r="S210" s="36">
        <v>82965.985226848803</v>
      </c>
      <c r="T210" s="36">
        <v>69051.834093536716</v>
      </c>
      <c r="U210" s="36">
        <v>97444.384976611749</v>
      </c>
      <c r="V210" s="36">
        <v>103457.45730967405</v>
      </c>
      <c r="W210" s="36">
        <v>100376.67984097649</v>
      </c>
      <c r="X210" s="36">
        <v>95306.83268509098</v>
      </c>
      <c r="Y210" s="36">
        <v>73640.537469725808</v>
      </c>
      <c r="Z210" s="36">
        <v>94203.36994311944</v>
      </c>
      <c r="AA210" s="36">
        <v>78500.141164611588</v>
      </c>
      <c r="AB210" s="36">
        <v>94134.617092975532</v>
      </c>
      <c r="AC210" s="36">
        <v>137263.6406279059</v>
      </c>
      <c r="AD210" s="36">
        <v>100246.33436258014</v>
      </c>
      <c r="AE210" s="36">
        <v>97603.055914296652</v>
      </c>
      <c r="AF210" s="36">
        <v>109070.98715833992</v>
      </c>
      <c r="AG210" s="36">
        <v>90450.02578759598</v>
      </c>
    </row>
    <row r="211" spans="1:33" x14ac:dyDescent="0.25">
      <c r="A211" s="8" t="s">
        <v>84</v>
      </c>
      <c r="B211" s="8" t="s">
        <v>2</v>
      </c>
      <c r="C211" s="9">
        <v>1287042.0145142169</v>
      </c>
      <c r="D211" s="34">
        <v>38083.742997826725</v>
      </c>
      <c r="E211" s="34">
        <v>37902.943698534647</v>
      </c>
      <c r="F211" s="34">
        <v>41177.394935965873</v>
      </c>
      <c r="G211" s="34">
        <v>45686.608367824621</v>
      </c>
      <c r="H211" s="34">
        <v>52771.983656747099</v>
      </c>
      <c r="I211" s="34">
        <v>55923.524506199537</v>
      </c>
      <c r="J211" s="34">
        <v>36326.56953304042</v>
      </c>
      <c r="K211" s="34">
        <v>38462.007649704326</v>
      </c>
      <c r="L211" s="34">
        <v>35197.890207744014</v>
      </c>
      <c r="M211" s="34">
        <v>39315.830480247161</v>
      </c>
      <c r="N211" s="34">
        <v>51590.806965600481</v>
      </c>
      <c r="O211" s="34">
        <v>47219.414914641871</v>
      </c>
      <c r="P211" s="34">
        <v>52697.800764939246</v>
      </c>
      <c r="Q211" s="34">
        <v>36594.595332825789</v>
      </c>
      <c r="R211" s="34">
        <v>32907.676826985502</v>
      </c>
      <c r="S211" s="34">
        <v>32224.108893019173</v>
      </c>
      <c r="T211" s="34">
        <v>35502.021109504181</v>
      </c>
      <c r="U211" s="34">
        <v>37771.250988453874</v>
      </c>
      <c r="V211" s="34">
        <v>44220.409872249242</v>
      </c>
      <c r="W211" s="34">
        <v>46501.503959314316</v>
      </c>
      <c r="X211" s="34">
        <v>40510.064820562198</v>
      </c>
      <c r="Y211" s="34">
        <v>43307.336203544357</v>
      </c>
      <c r="Z211" s="34">
        <v>38975.875286171722</v>
      </c>
      <c r="AA211" s="34">
        <v>36559.866198182703</v>
      </c>
      <c r="AB211" s="34">
        <v>40681.442955776845</v>
      </c>
      <c r="AC211" s="34">
        <v>49549.215437153427</v>
      </c>
      <c r="AD211" s="34">
        <v>49289.677109327531</v>
      </c>
      <c r="AE211" s="34">
        <v>55949.770668857949</v>
      </c>
      <c r="AF211" s="34">
        <v>55149.332274859546</v>
      </c>
      <c r="AG211" s="34">
        <v>38991.347898412147</v>
      </c>
    </row>
    <row r="212" spans="1:33" x14ac:dyDescent="0.25">
      <c r="A212" s="10" t="s">
        <v>84</v>
      </c>
      <c r="B212" s="11" t="s">
        <v>3</v>
      </c>
      <c r="C212" s="12">
        <v>1184700.418300807</v>
      </c>
      <c r="D212" s="35">
        <v>26999.147426937467</v>
      </c>
      <c r="E212" s="35">
        <v>27372.716093269224</v>
      </c>
      <c r="F212" s="35">
        <v>31435.37310484748</v>
      </c>
      <c r="G212" s="35">
        <v>32460.418163414735</v>
      </c>
      <c r="H212" s="35">
        <v>61206.384890116562</v>
      </c>
      <c r="I212" s="35">
        <v>40998.469014222901</v>
      </c>
      <c r="J212" s="35">
        <v>37245.283928280805</v>
      </c>
      <c r="K212" s="35">
        <v>26831.096772196852</v>
      </c>
      <c r="L212" s="35">
        <v>42675.207721071005</v>
      </c>
      <c r="M212" s="35">
        <v>36641.287292928952</v>
      </c>
      <c r="N212" s="35">
        <v>28988.573448893017</v>
      </c>
      <c r="O212" s="35">
        <v>59406.443383604877</v>
      </c>
      <c r="P212" s="35">
        <v>44139.935564229621</v>
      </c>
      <c r="Q212" s="35">
        <v>38243.035420235778</v>
      </c>
      <c r="R212" s="35">
        <v>32536.501230498387</v>
      </c>
      <c r="S212" s="35">
        <v>35582.337876655009</v>
      </c>
      <c r="T212" s="35">
        <v>35999.841922673317</v>
      </c>
      <c r="U212" s="35">
        <v>33920.78847103507</v>
      </c>
      <c r="V212" s="35">
        <v>46947.833389512416</v>
      </c>
      <c r="W212" s="35">
        <v>48151.767075825752</v>
      </c>
      <c r="X212" s="35">
        <v>39637.949585048154</v>
      </c>
      <c r="Y212" s="35">
        <v>39304.660189525392</v>
      </c>
      <c r="Z212" s="35">
        <v>28889.10742401348</v>
      </c>
      <c r="AA212" s="35">
        <v>28457.320344841912</v>
      </c>
      <c r="AB212" s="35">
        <v>45581.913595781683</v>
      </c>
      <c r="AC212" s="35">
        <v>51202.197135512761</v>
      </c>
      <c r="AD212" s="35">
        <v>36068.786576838131</v>
      </c>
      <c r="AE212" s="35">
        <v>64238.180588427604</v>
      </c>
      <c r="AF212" s="35">
        <v>46819.006761931916</v>
      </c>
      <c r="AG212" s="35">
        <v>36718.853908436613</v>
      </c>
    </row>
    <row r="213" spans="1:33" x14ac:dyDescent="0.25">
      <c r="A213" s="10" t="s">
        <v>84</v>
      </c>
      <c r="B213" s="11" t="s">
        <v>4</v>
      </c>
      <c r="C213" s="12">
        <v>1978964.0718625537</v>
      </c>
      <c r="D213" s="35">
        <v>61437.219898594354</v>
      </c>
      <c r="E213" s="35">
        <v>57867.298664001471</v>
      </c>
      <c r="F213" s="35">
        <v>61604.490106372352</v>
      </c>
      <c r="G213" s="35">
        <v>77027.579543462765</v>
      </c>
      <c r="H213" s="35">
        <v>69491.215083828589</v>
      </c>
      <c r="I213" s="35">
        <v>68550.783629887126</v>
      </c>
      <c r="J213" s="35">
        <v>58632.614045604336</v>
      </c>
      <c r="K213" s="35">
        <v>63806.081989694525</v>
      </c>
      <c r="L213" s="35">
        <v>59246.101753622061</v>
      </c>
      <c r="M213" s="35">
        <v>53136.997470119757</v>
      </c>
      <c r="N213" s="35">
        <v>72834.074430575463</v>
      </c>
      <c r="O213" s="35">
        <v>74547.606719788644</v>
      </c>
      <c r="P213" s="35">
        <v>77470.504650104398</v>
      </c>
      <c r="Q213" s="35">
        <v>53498.239499810705</v>
      </c>
      <c r="R213" s="35">
        <v>55019.159212174374</v>
      </c>
      <c r="S213" s="35">
        <v>53414.887571976578</v>
      </c>
      <c r="T213" s="35">
        <v>60532.536589821109</v>
      </c>
      <c r="U213" s="35">
        <v>68730.294594597464</v>
      </c>
      <c r="V213" s="35">
        <v>77009.607303179626</v>
      </c>
      <c r="W213" s="35">
        <v>75809.250436303031</v>
      </c>
      <c r="X213" s="35">
        <v>64996.040631835887</v>
      </c>
      <c r="Y213" s="35">
        <v>70429.403783415371</v>
      </c>
      <c r="Z213" s="35">
        <v>65064.395555803494</v>
      </c>
      <c r="AA213" s="35">
        <v>57737.989150300476</v>
      </c>
      <c r="AB213" s="35">
        <v>65672.280153615298</v>
      </c>
      <c r="AC213" s="35">
        <v>66585.655079433025</v>
      </c>
      <c r="AD213" s="35">
        <v>62024.715820454709</v>
      </c>
      <c r="AE213" s="35">
        <v>90225.27520589807</v>
      </c>
      <c r="AF213" s="35">
        <v>73852.337767121207</v>
      </c>
      <c r="AG213" s="35">
        <v>62709.435521157633</v>
      </c>
    </row>
    <row r="214" spans="1:33" ht="15.75" thickBot="1" x14ac:dyDescent="0.3">
      <c r="A214" s="13" t="s">
        <v>84</v>
      </c>
      <c r="B214" s="14" t="s">
        <v>5</v>
      </c>
      <c r="C214" s="15">
        <v>1601309.2277551759</v>
      </c>
      <c r="D214" s="36">
        <v>37245.421919753746</v>
      </c>
      <c r="E214" s="36">
        <v>55214.177095086001</v>
      </c>
      <c r="F214" s="36">
        <v>43168.800751191098</v>
      </c>
      <c r="G214" s="36">
        <v>61125.186783958532</v>
      </c>
      <c r="H214" s="36">
        <v>74548.939666705905</v>
      </c>
      <c r="I214" s="36">
        <v>64179.730883197</v>
      </c>
      <c r="J214" s="36">
        <v>48671.182506863872</v>
      </c>
      <c r="K214" s="36">
        <v>54730.019106528431</v>
      </c>
      <c r="L214" s="36">
        <v>52786.161381040365</v>
      </c>
      <c r="M214" s="36">
        <v>47462.889506848849</v>
      </c>
      <c r="N214" s="36">
        <v>55910.771192908629</v>
      </c>
      <c r="O214" s="36">
        <v>52223.819451473428</v>
      </c>
      <c r="P214" s="36">
        <v>56335.228497162861</v>
      </c>
      <c r="Q214" s="36">
        <v>47261.061111618801</v>
      </c>
      <c r="R214" s="36">
        <v>33980.962511190635</v>
      </c>
      <c r="S214" s="36">
        <v>41378.508279216578</v>
      </c>
      <c r="T214" s="36">
        <v>35910.681837012846</v>
      </c>
      <c r="U214" s="36">
        <v>46807.254493772489</v>
      </c>
      <c r="V214" s="36">
        <v>62615.300520170247</v>
      </c>
      <c r="W214" s="36">
        <v>70049.507487329742</v>
      </c>
      <c r="X214" s="36">
        <v>52936.845720336285</v>
      </c>
      <c r="Y214" s="36">
        <v>57846.354118592266</v>
      </c>
      <c r="Z214" s="36">
        <v>48083.773492175082</v>
      </c>
      <c r="AA214" s="36">
        <v>44310.629181348348</v>
      </c>
      <c r="AB214" s="36">
        <v>56424.497695053098</v>
      </c>
      <c r="AC214" s="36">
        <v>54020.954094714813</v>
      </c>
      <c r="AD214" s="36">
        <v>65603.427020978401</v>
      </c>
      <c r="AE214" s="36">
        <v>65375.474683508612</v>
      </c>
      <c r="AF214" s="36">
        <v>71011.451007452619</v>
      </c>
      <c r="AG214" s="36">
        <v>44090.215757986109</v>
      </c>
    </row>
    <row r="215" spans="1:33" x14ac:dyDescent="0.25">
      <c r="A215" s="8" t="s">
        <v>51</v>
      </c>
      <c r="B215" s="8" t="s">
        <v>2</v>
      </c>
      <c r="C215" s="9">
        <v>1213423.0344103707</v>
      </c>
      <c r="D215" s="34">
        <v>43611.729800312132</v>
      </c>
      <c r="E215" s="34">
        <v>41156.671623753777</v>
      </c>
      <c r="F215" s="34">
        <v>44293.518744622925</v>
      </c>
      <c r="G215" s="34">
        <v>48789.88647495248</v>
      </c>
      <c r="H215" s="34">
        <v>27569.572868114134</v>
      </c>
      <c r="I215" s="34">
        <v>33524.084856695685</v>
      </c>
      <c r="J215" s="34">
        <v>37064.364137858523</v>
      </c>
      <c r="K215" s="34">
        <v>42722.46372821994</v>
      </c>
      <c r="L215" s="34">
        <v>46104.357515580057</v>
      </c>
      <c r="M215" s="34">
        <v>37956.741753222013</v>
      </c>
      <c r="N215" s="34">
        <v>41729.145050166735</v>
      </c>
      <c r="O215" s="34">
        <v>37489.411055818717</v>
      </c>
      <c r="P215" s="34">
        <v>31065.092130061101</v>
      </c>
      <c r="Q215" s="34">
        <v>39692.260962811553</v>
      </c>
      <c r="R215" s="34">
        <v>38716.10991793502</v>
      </c>
      <c r="S215" s="34">
        <v>37490.125772254578</v>
      </c>
      <c r="T215" s="34">
        <v>41011.324290387172</v>
      </c>
      <c r="U215" s="34">
        <v>48281.304366291202</v>
      </c>
      <c r="V215" s="34">
        <v>37375.244129386512</v>
      </c>
      <c r="W215" s="34">
        <v>36738.88660457982</v>
      </c>
      <c r="X215" s="34">
        <v>42579.311079666491</v>
      </c>
      <c r="Y215" s="34">
        <v>45715.862206860176</v>
      </c>
      <c r="Z215" s="34">
        <v>42004.455265133984</v>
      </c>
      <c r="AA215" s="34">
        <v>46076.938394131372</v>
      </c>
      <c r="AB215" s="34">
        <v>46601.865129164384</v>
      </c>
      <c r="AC215" s="34">
        <v>42006.469465998693</v>
      </c>
      <c r="AD215" s="34">
        <v>39353.521469000661</v>
      </c>
      <c r="AE215" s="34">
        <v>40518.936414433054</v>
      </c>
      <c r="AF215" s="34">
        <v>33818.396421755868</v>
      </c>
      <c r="AG215" s="34">
        <v>42364.982781201892</v>
      </c>
    </row>
    <row r="216" spans="1:33" x14ac:dyDescent="0.25">
      <c r="A216" s="10" t="s">
        <v>51</v>
      </c>
      <c r="B216" s="11" t="s">
        <v>3</v>
      </c>
      <c r="C216" s="12">
        <v>1012064.9791442879</v>
      </c>
      <c r="D216" s="35">
        <v>41968.543535833916</v>
      </c>
      <c r="E216" s="35">
        <v>21245.454744785726</v>
      </c>
      <c r="F216" s="35">
        <v>25598.674181495382</v>
      </c>
      <c r="G216" s="35">
        <v>37684.795844247819</v>
      </c>
      <c r="H216" s="35">
        <v>20402.048897878565</v>
      </c>
      <c r="I216" s="35">
        <v>42664.225721866722</v>
      </c>
      <c r="J216" s="35">
        <v>37537.679207515597</v>
      </c>
      <c r="K216" s="35">
        <v>32113.148877678992</v>
      </c>
      <c r="L216" s="35">
        <v>29909.239332503497</v>
      </c>
      <c r="M216" s="35">
        <v>36288.239247823614</v>
      </c>
      <c r="N216" s="35">
        <v>40768.792838062109</v>
      </c>
      <c r="O216" s="35">
        <v>32406.070545407758</v>
      </c>
      <c r="P216" s="35">
        <v>26172.11688090652</v>
      </c>
      <c r="Q216" s="35">
        <v>40265.363869615707</v>
      </c>
      <c r="R216" s="35">
        <v>28152.478946025381</v>
      </c>
      <c r="S216" s="35">
        <v>23675.578340356496</v>
      </c>
      <c r="T216" s="35">
        <v>24884.022491020976</v>
      </c>
      <c r="U216" s="35">
        <v>67033.589297811879</v>
      </c>
      <c r="V216" s="35">
        <v>32790.728736616104</v>
      </c>
      <c r="W216" s="35">
        <v>27730.803121863864</v>
      </c>
      <c r="X216" s="35">
        <v>48992.484922734773</v>
      </c>
      <c r="Y216" s="35">
        <v>38340.761307838322</v>
      </c>
      <c r="Z216" s="35">
        <v>33284.152646434166</v>
      </c>
      <c r="AA216" s="35">
        <v>22631.247502403923</v>
      </c>
      <c r="AB216" s="35">
        <v>20802.457197631848</v>
      </c>
      <c r="AC216" s="35">
        <v>37045.51270484909</v>
      </c>
      <c r="AD216" s="35">
        <v>54769.902233769244</v>
      </c>
      <c r="AE216" s="35">
        <v>34208.476979430772</v>
      </c>
      <c r="AF216" s="35">
        <v>30576.9225299805</v>
      </c>
      <c r="AG216" s="35">
        <v>22121.466459898787</v>
      </c>
    </row>
    <row r="217" spans="1:33" x14ac:dyDescent="0.25">
      <c r="A217" s="10" t="s">
        <v>51</v>
      </c>
      <c r="B217" s="11" t="s">
        <v>4</v>
      </c>
      <c r="C217" s="12">
        <v>1484895.2073528825</v>
      </c>
      <c r="D217" s="35">
        <v>45307.127486873855</v>
      </c>
      <c r="E217" s="35">
        <v>38423.966908870563</v>
      </c>
      <c r="F217" s="35">
        <v>54793.831596658587</v>
      </c>
      <c r="G217" s="35">
        <v>50861.024516713449</v>
      </c>
      <c r="H217" s="35">
        <v>43506.368543697463</v>
      </c>
      <c r="I217" s="35">
        <v>46934.703307105367</v>
      </c>
      <c r="J217" s="35">
        <v>50916.536769380029</v>
      </c>
      <c r="K217" s="35">
        <v>45443.632871449729</v>
      </c>
      <c r="L217" s="35">
        <v>52037.327262546525</v>
      </c>
      <c r="M217" s="35">
        <v>44445.903979220122</v>
      </c>
      <c r="N217" s="35">
        <v>53314.703848013705</v>
      </c>
      <c r="O217" s="35">
        <v>56967.957643314243</v>
      </c>
      <c r="P217" s="35">
        <v>48090.623237716143</v>
      </c>
      <c r="Q217" s="35">
        <v>46818.712909781956</v>
      </c>
      <c r="R217" s="35">
        <v>41691.63712876146</v>
      </c>
      <c r="S217" s="35">
        <v>52647.2067731352</v>
      </c>
      <c r="T217" s="35">
        <v>43469.096031192763</v>
      </c>
      <c r="U217" s="35">
        <v>58648.85543685544</v>
      </c>
      <c r="V217" s="35">
        <v>60115.643982399088</v>
      </c>
      <c r="W217" s="35">
        <v>40182.893404501767</v>
      </c>
      <c r="X217" s="35">
        <v>51059.055981328122</v>
      </c>
      <c r="Y217" s="35">
        <v>51114.558793135409</v>
      </c>
      <c r="Z217" s="35">
        <v>50520.077324060207</v>
      </c>
      <c r="AA217" s="35">
        <v>49760.937827985348</v>
      </c>
      <c r="AB217" s="35">
        <v>54850.995999702158</v>
      </c>
      <c r="AC217" s="35">
        <v>45022.731041409876</v>
      </c>
      <c r="AD217" s="35">
        <v>49538.851053881823</v>
      </c>
      <c r="AE217" s="35">
        <v>55291.525376220554</v>
      </c>
      <c r="AF217" s="35">
        <v>55695.301487495592</v>
      </c>
      <c r="AG217" s="35">
        <v>47423.41882947585</v>
      </c>
    </row>
    <row r="218" spans="1:33" ht="15.75" thickBot="1" x14ac:dyDescent="0.3">
      <c r="A218" s="13" t="s">
        <v>51</v>
      </c>
      <c r="B218" s="14" t="s">
        <v>5</v>
      </c>
      <c r="C218" s="15">
        <v>1884132.8032221205</v>
      </c>
      <c r="D218" s="36">
        <v>62779.691849837771</v>
      </c>
      <c r="E218" s="36">
        <v>56134.625436036091</v>
      </c>
      <c r="F218" s="36">
        <v>68588.051778003399</v>
      </c>
      <c r="G218" s="36">
        <v>66523.169248324033</v>
      </c>
      <c r="H218" s="36">
        <v>48379.240055723276</v>
      </c>
      <c r="I218" s="36">
        <v>67507.638578545273</v>
      </c>
      <c r="J218" s="36">
        <v>70740.388155998604</v>
      </c>
      <c r="K218" s="36">
        <v>55296.327071477368</v>
      </c>
      <c r="L218" s="36">
        <v>60252.832791133151</v>
      </c>
      <c r="M218" s="36">
        <v>63204.59086562178</v>
      </c>
      <c r="N218" s="36">
        <v>74656.990678364542</v>
      </c>
      <c r="O218" s="36">
        <v>47405.40812476154</v>
      </c>
      <c r="P218" s="36">
        <v>53213.635396350284</v>
      </c>
      <c r="Q218" s="36">
        <v>73080.549664800303</v>
      </c>
      <c r="R218" s="36">
        <v>64547.655796289357</v>
      </c>
      <c r="S218" s="36">
        <v>62734.215517072087</v>
      </c>
      <c r="T218" s="36">
        <v>63578.815069033175</v>
      </c>
      <c r="U218" s="36">
        <v>56641.522798411272</v>
      </c>
      <c r="V218" s="36">
        <v>64088.191451189014</v>
      </c>
      <c r="W218" s="36">
        <v>61058.099668045856</v>
      </c>
      <c r="X218" s="36">
        <v>76892.113051376218</v>
      </c>
      <c r="Y218" s="36">
        <v>68830.183194974918</v>
      </c>
      <c r="Z218" s="36">
        <v>63428.888264037421</v>
      </c>
      <c r="AA218" s="36">
        <v>65298.558349784653</v>
      </c>
      <c r="AB218" s="36">
        <v>69155.747307775237</v>
      </c>
      <c r="AC218" s="36">
        <v>52779.425547075691</v>
      </c>
      <c r="AD218" s="36">
        <v>70554.188068259042</v>
      </c>
      <c r="AE218" s="36">
        <v>63080.888607670298</v>
      </c>
      <c r="AF218" s="36">
        <v>55848.427162428372</v>
      </c>
      <c r="AG218" s="36">
        <v>57852.743673720652</v>
      </c>
    </row>
    <row r="219" spans="1:33" x14ac:dyDescent="0.25">
      <c r="A219" s="8" t="s">
        <v>70</v>
      </c>
      <c r="B219" s="8" t="s">
        <v>2</v>
      </c>
      <c r="C219" s="9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</row>
    <row r="220" spans="1:33" x14ac:dyDescent="0.25">
      <c r="A220" s="10" t="s">
        <v>70</v>
      </c>
      <c r="B220" s="11" t="s">
        <v>3</v>
      </c>
      <c r="C220" s="12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</row>
    <row r="221" spans="1:33" x14ac:dyDescent="0.25">
      <c r="A221" s="10" t="s">
        <v>70</v>
      </c>
      <c r="B221" s="11" t="s">
        <v>4</v>
      </c>
      <c r="C221" s="12">
        <v>408927.41873738635</v>
      </c>
      <c r="D221" s="35">
        <v>13005.50539732775</v>
      </c>
      <c r="E221" s="35">
        <v>10740.168421481627</v>
      </c>
      <c r="F221" s="35">
        <v>12272.273630935193</v>
      </c>
      <c r="G221" s="35">
        <v>12674.928269501095</v>
      </c>
      <c r="H221" s="35">
        <v>15021.345262078345</v>
      </c>
      <c r="I221" s="35">
        <v>12934.085516458834</v>
      </c>
      <c r="J221" s="35">
        <v>12267.580835258575</v>
      </c>
      <c r="K221" s="35">
        <v>12330.65584000594</v>
      </c>
      <c r="L221" s="35">
        <v>13345.085031146287</v>
      </c>
      <c r="M221" s="35">
        <v>11479.306087195098</v>
      </c>
      <c r="N221" s="35">
        <v>14270.497953819406</v>
      </c>
      <c r="O221" s="35">
        <v>15192.041714342824</v>
      </c>
      <c r="P221" s="35">
        <v>15568.320925779324</v>
      </c>
      <c r="Q221" s="35">
        <v>13361.621549244848</v>
      </c>
      <c r="R221" s="35">
        <v>12515.264675643686</v>
      </c>
      <c r="S221" s="35">
        <v>18669.071303403856</v>
      </c>
      <c r="T221" s="35">
        <v>12446.047535602571</v>
      </c>
      <c r="U221" s="35">
        <v>14021.294541500916</v>
      </c>
      <c r="V221" s="35">
        <v>16332.378294249042</v>
      </c>
      <c r="W221" s="35">
        <v>14367.265316098084</v>
      </c>
      <c r="X221" s="35">
        <v>14335.118069524242</v>
      </c>
      <c r="Y221" s="35">
        <v>12348.51400260118</v>
      </c>
      <c r="Z221" s="35">
        <v>11147.273234995286</v>
      </c>
      <c r="AA221" s="35">
        <v>12333.803524725088</v>
      </c>
      <c r="AB221" s="35">
        <v>12990.073442021103</v>
      </c>
      <c r="AC221" s="35">
        <v>17091.876946918615</v>
      </c>
      <c r="AD221" s="35">
        <v>13113.101305820775</v>
      </c>
      <c r="AE221" s="35">
        <v>15445.5612217326</v>
      </c>
      <c r="AF221" s="35">
        <v>14972.540187041513</v>
      </c>
      <c r="AG221" s="35">
        <v>12334.818700932681</v>
      </c>
    </row>
    <row r="222" spans="1:33" ht="15.75" thickBot="1" x14ac:dyDescent="0.3">
      <c r="A222" s="13" t="s">
        <v>70</v>
      </c>
      <c r="B222" s="14" t="s">
        <v>5</v>
      </c>
      <c r="C222" s="15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</row>
    <row r="223" spans="1:33" x14ac:dyDescent="0.25">
      <c r="A223" s="8" t="s">
        <v>52</v>
      </c>
      <c r="B223" s="8" t="s">
        <v>2</v>
      </c>
      <c r="C223" s="9">
        <v>1582789.0141683861</v>
      </c>
      <c r="D223" s="34">
        <v>48284.243582625088</v>
      </c>
      <c r="E223" s="34">
        <v>54823.213283780431</v>
      </c>
      <c r="F223" s="34">
        <v>53770.716329004332</v>
      </c>
      <c r="G223" s="34">
        <v>51248.583245978494</v>
      </c>
      <c r="H223" s="34">
        <v>51936.347945993948</v>
      </c>
      <c r="I223" s="34">
        <v>65206.183693900894</v>
      </c>
      <c r="J223" s="34">
        <v>48228.859166830225</v>
      </c>
      <c r="K223" s="34">
        <v>48636.197103026847</v>
      </c>
      <c r="L223" s="34">
        <v>45452.435952724241</v>
      </c>
      <c r="M223" s="34">
        <v>50424.447694576993</v>
      </c>
      <c r="N223" s="34">
        <v>50689.13307731456</v>
      </c>
      <c r="O223" s="34">
        <v>52485.083580270963</v>
      </c>
      <c r="P223" s="34">
        <v>68922.463885894904</v>
      </c>
      <c r="Q223" s="34">
        <v>44704.750052083422</v>
      </c>
      <c r="R223" s="34">
        <v>48481.070247578878</v>
      </c>
      <c r="S223" s="34">
        <v>46122.543575281576</v>
      </c>
      <c r="T223" s="34">
        <v>46764.376113330676</v>
      </c>
      <c r="U223" s="34">
        <v>50942.309431431408</v>
      </c>
      <c r="V223" s="34">
        <v>51908.926757157591</v>
      </c>
      <c r="W223" s="34">
        <v>62717.50104567274</v>
      </c>
      <c r="X223" s="34">
        <v>45033.12862676206</v>
      </c>
      <c r="Y223" s="34">
        <v>52709.034426870909</v>
      </c>
      <c r="Z223" s="34">
        <v>52042.305261102243</v>
      </c>
      <c r="AA223" s="34">
        <v>40649.770285550883</v>
      </c>
      <c r="AB223" s="34">
        <v>51768.947268410462</v>
      </c>
      <c r="AC223" s="34">
        <v>55794.4342209549</v>
      </c>
      <c r="AD223" s="34">
        <v>68668.700942577401</v>
      </c>
      <c r="AE223" s="34">
        <v>58513.111700726127</v>
      </c>
      <c r="AF223" s="34">
        <v>64274.041477778635</v>
      </c>
      <c r="AG223" s="34">
        <v>51586.154193194205</v>
      </c>
    </row>
    <row r="224" spans="1:33" x14ac:dyDescent="0.25">
      <c r="A224" s="10" t="s">
        <v>52</v>
      </c>
      <c r="B224" s="11" t="s">
        <v>3</v>
      </c>
      <c r="C224" s="12">
        <v>1493983.7029185914</v>
      </c>
      <c r="D224" s="35">
        <v>41201.680416964729</v>
      </c>
      <c r="E224" s="35">
        <v>52812.721307421343</v>
      </c>
      <c r="F224" s="35">
        <v>42112.599672410201</v>
      </c>
      <c r="G224" s="35">
        <v>53164.098116347042</v>
      </c>
      <c r="H224" s="35">
        <v>48703.730571123655</v>
      </c>
      <c r="I224" s="35">
        <v>47037.121169959704</v>
      </c>
      <c r="J224" s="35">
        <v>61571.813569722894</v>
      </c>
      <c r="K224" s="35">
        <v>44275.540588935481</v>
      </c>
      <c r="L224" s="35">
        <v>40494.661365019645</v>
      </c>
      <c r="M224" s="35">
        <v>40729.828445808962</v>
      </c>
      <c r="N224" s="35">
        <v>40009.958606110813</v>
      </c>
      <c r="O224" s="35">
        <v>39084.273787753446</v>
      </c>
      <c r="P224" s="35">
        <v>60904.350970449552</v>
      </c>
      <c r="Q224" s="35">
        <v>46343.256467683095</v>
      </c>
      <c r="R224" s="35">
        <v>45925.39181564012</v>
      </c>
      <c r="S224" s="35">
        <v>47086.391603925091</v>
      </c>
      <c r="T224" s="35">
        <v>43021.767609112831</v>
      </c>
      <c r="U224" s="35">
        <v>39562.593962799459</v>
      </c>
      <c r="V224" s="35">
        <v>47462.014447890637</v>
      </c>
      <c r="W224" s="35">
        <v>75075.080417255129</v>
      </c>
      <c r="X224" s="35">
        <v>48153.863187703246</v>
      </c>
      <c r="Y224" s="35">
        <v>53468.897630351916</v>
      </c>
      <c r="Z224" s="35">
        <v>42476.430303507252</v>
      </c>
      <c r="AA224" s="35">
        <v>60550.895929949002</v>
      </c>
      <c r="AB224" s="35">
        <v>34201.760589115671</v>
      </c>
      <c r="AC224" s="35">
        <v>70073.368573159853</v>
      </c>
      <c r="AD224" s="35">
        <v>62109.686365664515</v>
      </c>
      <c r="AE224" s="35">
        <v>54728.586175705947</v>
      </c>
      <c r="AF224" s="35">
        <v>62276.731039176564</v>
      </c>
      <c r="AG224" s="35">
        <v>49364.6082119239</v>
      </c>
    </row>
    <row r="225" spans="1:33" x14ac:dyDescent="0.25">
      <c r="A225" s="10" t="s">
        <v>52</v>
      </c>
      <c r="B225" s="11" t="s">
        <v>4</v>
      </c>
      <c r="C225" s="12">
        <v>1512962.0888593746</v>
      </c>
      <c r="D225" s="35">
        <v>45604.567916679312</v>
      </c>
      <c r="E225" s="35">
        <v>46499.742442461022</v>
      </c>
      <c r="F225" s="35">
        <v>42093.252487466176</v>
      </c>
      <c r="G225" s="35">
        <v>52750.967732921083</v>
      </c>
      <c r="H225" s="35">
        <v>56524.708289690694</v>
      </c>
      <c r="I225" s="35">
        <v>63973.32084755072</v>
      </c>
      <c r="J225" s="35">
        <v>47119.585431185616</v>
      </c>
      <c r="K225" s="35">
        <v>40312.869835505058</v>
      </c>
      <c r="L225" s="35">
        <v>38614.776266958273</v>
      </c>
      <c r="M225" s="35">
        <v>46689.83708777072</v>
      </c>
      <c r="N225" s="35">
        <v>48663.511743286406</v>
      </c>
      <c r="O225" s="35">
        <v>60478.826642079504</v>
      </c>
      <c r="P225" s="35">
        <v>64298.03207340424</v>
      </c>
      <c r="Q225" s="35">
        <v>38542.812311144451</v>
      </c>
      <c r="R225" s="35">
        <v>45218.272451655685</v>
      </c>
      <c r="S225" s="35">
        <v>44741.14081873875</v>
      </c>
      <c r="T225" s="35">
        <v>45642.936215617767</v>
      </c>
      <c r="U225" s="35">
        <v>46205.289143412636</v>
      </c>
      <c r="V225" s="35">
        <v>64188.65122769068</v>
      </c>
      <c r="W225" s="35">
        <v>56101.900553197593</v>
      </c>
      <c r="X225" s="35">
        <v>48359.021858723019</v>
      </c>
      <c r="Y225" s="35">
        <v>47088.92978420858</v>
      </c>
      <c r="Z225" s="35">
        <v>46107.270617120477</v>
      </c>
      <c r="AA225" s="35">
        <v>52969.027565221288</v>
      </c>
      <c r="AB225" s="35">
        <v>47403.931958806323</v>
      </c>
      <c r="AC225" s="35">
        <v>46568.025537075882</v>
      </c>
      <c r="AD225" s="35">
        <v>60985.904264411816</v>
      </c>
      <c r="AE225" s="35">
        <v>58663.928117943266</v>
      </c>
      <c r="AF225" s="35">
        <v>65108.960108650972</v>
      </c>
      <c r="AG225" s="35">
        <v>45442.087528796656</v>
      </c>
    </row>
    <row r="226" spans="1:33" ht="15.75" thickBot="1" x14ac:dyDescent="0.3">
      <c r="A226" s="13" t="s">
        <v>52</v>
      </c>
      <c r="B226" s="14" t="s">
        <v>5</v>
      </c>
      <c r="C226" s="15">
        <v>2969558.6806674795</v>
      </c>
      <c r="D226" s="36">
        <v>88392.096308581167</v>
      </c>
      <c r="E226" s="36">
        <v>97543.659019416358</v>
      </c>
      <c r="F226" s="36">
        <v>84446.65456137147</v>
      </c>
      <c r="G226" s="36">
        <v>91372.888558857754</v>
      </c>
      <c r="H226" s="36">
        <v>129973.28855619513</v>
      </c>
      <c r="I226" s="36">
        <v>104754.5176507999</v>
      </c>
      <c r="J226" s="36">
        <v>110041.38051851463</v>
      </c>
      <c r="K226" s="36">
        <v>90135.423312866391</v>
      </c>
      <c r="L226" s="36">
        <v>78659.645938130663</v>
      </c>
      <c r="M226" s="36">
        <v>64420.993310318598</v>
      </c>
      <c r="N226" s="36">
        <v>93837.786882717337</v>
      </c>
      <c r="O226" s="36">
        <v>94205.585189542282</v>
      </c>
      <c r="P226" s="36">
        <v>109088.69245280522</v>
      </c>
      <c r="Q226" s="36">
        <v>115303.19885918857</v>
      </c>
      <c r="R226" s="36">
        <v>77791.001957073415</v>
      </c>
      <c r="S226" s="36">
        <v>112045.929746621</v>
      </c>
      <c r="T226" s="36">
        <v>63700.642361821832</v>
      </c>
      <c r="U226" s="36">
        <v>94632.885559716407</v>
      </c>
      <c r="V226" s="36">
        <v>82626.892845035516</v>
      </c>
      <c r="W226" s="36">
        <v>115702.77168061455</v>
      </c>
      <c r="X226" s="36">
        <v>113302.5081572834</v>
      </c>
      <c r="Y226" s="36">
        <v>113325.25551523699</v>
      </c>
      <c r="Z226" s="36">
        <v>94145.625487039011</v>
      </c>
      <c r="AA226" s="36">
        <v>94624.12760257136</v>
      </c>
      <c r="AB226" s="36">
        <v>82056.306553045724</v>
      </c>
      <c r="AC226" s="36">
        <v>113853.33520579636</v>
      </c>
      <c r="AD226" s="36">
        <v>140490.3926629512</v>
      </c>
      <c r="AE226" s="36">
        <v>112581.38550354639</v>
      </c>
      <c r="AF226" s="36">
        <v>128302.78899062834</v>
      </c>
      <c r="AG226" s="36">
        <v>78201.01971919286</v>
      </c>
    </row>
    <row r="227" spans="1:33" x14ac:dyDescent="0.25">
      <c r="A227" s="8" t="s">
        <v>53</v>
      </c>
      <c r="B227" s="8" t="s">
        <v>2</v>
      </c>
      <c r="C227" s="9">
        <v>2593588.0343737062</v>
      </c>
      <c r="D227" s="34">
        <v>82630.987387257192</v>
      </c>
      <c r="E227" s="34">
        <v>100194.01924431078</v>
      </c>
      <c r="F227" s="34">
        <v>85504.237680050137</v>
      </c>
      <c r="G227" s="34">
        <v>103693.58668890201</v>
      </c>
      <c r="H227" s="34">
        <v>89274.348259185499</v>
      </c>
      <c r="I227" s="34">
        <v>100061.90907132707</v>
      </c>
      <c r="J227" s="34">
        <v>85365.835448932354</v>
      </c>
      <c r="K227" s="34">
        <v>80039.335505754367</v>
      </c>
      <c r="L227" s="34">
        <v>84759.178097824057</v>
      </c>
      <c r="M227" s="34">
        <v>78991.304489370043</v>
      </c>
      <c r="N227" s="34">
        <v>83740.218080193532</v>
      </c>
      <c r="O227" s="34">
        <v>87029.305040414285</v>
      </c>
      <c r="P227" s="34">
        <v>87745.72385008377</v>
      </c>
      <c r="Q227" s="34">
        <v>84362.087000417174</v>
      </c>
      <c r="R227" s="34">
        <v>76754.381790071013</v>
      </c>
      <c r="S227" s="34">
        <v>88302.298262271332</v>
      </c>
      <c r="T227" s="34">
        <v>86482.387669831776</v>
      </c>
      <c r="U227" s="34">
        <v>84076.316931536348</v>
      </c>
      <c r="V227" s="34">
        <v>76570.552282095086</v>
      </c>
      <c r="W227" s="34">
        <v>83758.679393619896</v>
      </c>
      <c r="X227" s="34">
        <v>73086.91088941101</v>
      </c>
      <c r="Y227" s="34">
        <v>85105.656156174373</v>
      </c>
      <c r="Z227" s="34">
        <v>90636.283064703413</v>
      </c>
      <c r="AA227" s="34">
        <v>70599.873117324256</v>
      </c>
      <c r="AB227" s="34">
        <v>79660.060382478056</v>
      </c>
      <c r="AC227" s="34">
        <v>96559.468330347401</v>
      </c>
      <c r="AD227" s="34">
        <v>93884.183549152745</v>
      </c>
      <c r="AE227" s="34">
        <v>104386.40121508809</v>
      </c>
      <c r="AF227" s="34">
        <v>91126.7025164605</v>
      </c>
      <c r="AG227" s="34">
        <v>79205.802979117943</v>
      </c>
    </row>
    <row r="228" spans="1:33" x14ac:dyDescent="0.25">
      <c r="A228" s="10" t="s">
        <v>53</v>
      </c>
      <c r="B228" s="11" t="s">
        <v>3</v>
      </c>
      <c r="C228" s="12">
        <v>8337466.0777741931</v>
      </c>
      <c r="D228" s="35">
        <v>219554.65151480923</v>
      </c>
      <c r="E228" s="35">
        <v>275941.21939833765</v>
      </c>
      <c r="F228" s="35">
        <v>273487.20668744267</v>
      </c>
      <c r="G228" s="35">
        <v>226055.10494563906</v>
      </c>
      <c r="H228" s="35">
        <v>320443.2043461618</v>
      </c>
      <c r="I228" s="35">
        <v>275195.03762164299</v>
      </c>
      <c r="J228" s="35">
        <v>236040.69153249703</v>
      </c>
      <c r="K228" s="35">
        <v>233250.90791231903</v>
      </c>
      <c r="L228" s="35">
        <v>303958.72246901412</v>
      </c>
      <c r="M228" s="35">
        <v>259740.75470866385</v>
      </c>
      <c r="N228" s="35">
        <v>269988.80420552503</v>
      </c>
      <c r="O228" s="35">
        <v>296799.38501723128</v>
      </c>
      <c r="P228" s="35">
        <v>314416.50941050664</v>
      </c>
      <c r="Q228" s="35">
        <v>294229.68455978675</v>
      </c>
      <c r="R228" s="35">
        <v>257530.67476328486</v>
      </c>
      <c r="S228" s="35">
        <v>236659.47437729267</v>
      </c>
      <c r="T228" s="35">
        <v>291354.42939159687</v>
      </c>
      <c r="U228" s="35">
        <v>267950.39616384183</v>
      </c>
      <c r="V228" s="35">
        <v>307711.41181164945</v>
      </c>
      <c r="W228" s="35">
        <v>309214.41428162949</v>
      </c>
      <c r="X228" s="35">
        <v>288526.7645266761</v>
      </c>
      <c r="Y228" s="35">
        <v>248305.14243018787</v>
      </c>
      <c r="Z228" s="35">
        <v>211260.15841699549</v>
      </c>
      <c r="AA228" s="35">
        <v>219838.28335569802</v>
      </c>
      <c r="AB228" s="35">
        <v>264014.71745584602</v>
      </c>
      <c r="AC228" s="35">
        <v>337498.51017245016</v>
      </c>
      <c r="AD228" s="35">
        <v>341793.08896193921</v>
      </c>
      <c r="AE228" s="35">
        <v>337359.42518650071</v>
      </c>
      <c r="AF228" s="35">
        <v>308331.20828550612</v>
      </c>
      <c r="AG228" s="35">
        <v>311016.09386351949</v>
      </c>
    </row>
    <row r="229" spans="1:33" x14ac:dyDescent="0.25">
      <c r="A229" s="10" t="s">
        <v>53</v>
      </c>
      <c r="B229" s="11" t="s">
        <v>4</v>
      </c>
      <c r="C229" s="12">
        <v>1997086.1657997065</v>
      </c>
      <c r="D229" s="35">
        <v>67996.605621979572</v>
      </c>
      <c r="E229" s="35">
        <v>58284.625464238095</v>
      </c>
      <c r="F229" s="35">
        <v>71004.552632362567</v>
      </c>
      <c r="G229" s="35">
        <v>61700.424829891163</v>
      </c>
      <c r="H229" s="35">
        <v>67425.973542765569</v>
      </c>
      <c r="I229" s="35">
        <v>70990.631840038943</v>
      </c>
      <c r="J229" s="35">
        <v>61405.893096097861</v>
      </c>
      <c r="K229" s="35">
        <v>65937.884374789646</v>
      </c>
      <c r="L229" s="35">
        <v>59793.822739802534</v>
      </c>
      <c r="M229" s="35">
        <v>60178.74237265523</v>
      </c>
      <c r="N229" s="35">
        <v>68658.74630276204</v>
      </c>
      <c r="O229" s="35">
        <v>66189.403361044067</v>
      </c>
      <c r="P229" s="35">
        <v>74117.13250427584</v>
      </c>
      <c r="Q229" s="35">
        <v>60399.141024773002</v>
      </c>
      <c r="R229" s="35">
        <v>62269.584250436186</v>
      </c>
      <c r="S229" s="35">
        <v>67745.447853889214</v>
      </c>
      <c r="T229" s="35">
        <v>65938.143710907447</v>
      </c>
      <c r="U229" s="35">
        <v>66373.494956669107</v>
      </c>
      <c r="V229" s="35">
        <v>67238.630983663767</v>
      </c>
      <c r="W229" s="35">
        <v>69505.163819253692</v>
      </c>
      <c r="X229" s="35">
        <v>68027.966768225597</v>
      </c>
      <c r="Y229" s="35">
        <v>65985.787460549996</v>
      </c>
      <c r="Z229" s="35">
        <v>63879.515083759608</v>
      </c>
      <c r="AA229" s="35">
        <v>57035.662720887194</v>
      </c>
      <c r="AB229" s="35">
        <v>69479.202421460534</v>
      </c>
      <c r="AC229" s="35">
        <v>71542.71212482563</v>
      </c>
      <c r="AD229" s="35">
        <v>75006.923986470443</v>
      </c>
      <c r="AE229" s="35">
        <v>79878.738199529413</v>
      </c>
      <c r="AF229" s="35">
        <v>72510.554516475473</v>
      </c>
      <c r="AG229" s="35">
        <v>60585.057235226872</v>
      </c>
    </row>
    <row r="230" spans="1:33" ht="15.75" thickBot="1" x14ac:dyDescent="0.3">
      <c r="A230" s="13" t="s">
        <v>53</v>
      </c>
      <c r="B230" s="14" t="s">
        <v>5</v>
      </c>
      <c r="C230" s="15">
        <v>12000652.547504421</v>
      </c>
      <c r="D230" s="36">
        <v>336510.85607692425</v>
      </c>
      <c r="E230" s="36">
        <v>365680.48026361002</v>
      </c>
      <c r="F230" s="36">
        <v>385466.02814974182</v>
      </c>
      <c r="G230" s="36">
        <v>388867.43520919577</v>
      </c>
      <c r="H230" s="36">
        <v>404869.45191033703</v>
      </c>
      <c r="I230" s="36">
        <v>412343.07470291521</v>
      </c>
      <c r="J230" s="36">
        <v>363570.77091193321</v>
      </c>
      <c r="K230" s="36">
        <v>408127.47026111156</v>
      </c>
      <c r="L230" s="36">
        <v>356776.61752608081</v>
      </c>
      <c r="M230" s="36">
        <v>363018.69587486162</v>
      </c>
      <c r="N230" s="36">
        <v>409711.17525002215</v>
      </c>
      <c r="O230" s="36">
        <v>405532.6517220494</v>
      </c>
      <c r="P230" s="36">
        <v>459103.09993145126</v>
      </c>
      <c r="Q230" s="36">
        <v>379754.43690410542</v>
      </c>
      <c r="R230" s="36">
        <v>320610.93968624127</v>
      </c>
      <c r="S230" s="36">
        <v>335175.19605561259</v>
      </c>
      <c r="T230" s="36">
        <v>401600.61993145692</v>
      </c>
      <c r="U230" s="36">
        <v>378220.53358790639</v>
      </c>
      <c r="V230" s="36">
        <v>414880.01083989965</v>
      </c>
      <c r="W230" s="36">
        <v>442368.06670331978</v>
      </c>
      <c r="X230" s="36">
        <v>403730.56059826206</v>
      </c>
      <c r="Y230" s="36">
        <v>427632.50280361477</v>
      </c>
      <c r="Z230" s="36">
        <v>369090.7053452555</v>
      </c>
      <c r="AA230" s="36">
        <v>421023.5377143551</v>
      </c>
      <c r="AB230" s="36">
        <v>378123.94822778192</v>
      </c>
      <c r="AC230" s="36">
        <v>478526.66653203574</v>
      </c>
      <c r="AD230" s="36">
        <v>481083.19499703322</v>
      </c>
      <c r="AE230" s="36">
        <v>467254.18669427017</v>
      </c>
      <c r="AF230" s="36">
        <v>431580.15537153429</v>
      </c>
      <c r="AG230" s="36">
        <v>410419.47772150568</v>
      </c>
    </row>
    <row r="231" spans="1:33" x14ac:dyDescent="0.25">
      <c r="A231" s="8" t="s">
        <v>54</v>
      </c>
      <c r="B231" s="8" t="s">
        <v>2</v>
      </c>
      <c r="C231" s="9">
        <v>1096363.1301334535</v>
      </c>
      <c r="D231" s="34">
        <v>35351.73322515656</v>
      </c>
      <c r="E231" s="34">
        <v>38857.049386212348</v>
      </c>
      <c r="F231" s="34">
        <v>34106.624896570771</v>
      </c>
      <c r="G231" s="34">
        <v>34783.139497686592</v>
      </c>
      <c r="H231" s="34">
        <v>37775.041139955298</v>
      </c>
      <c r="I231" s="34">
        <v>46746.966041255851</v>
      </c>
      <c r="J231" s="34">
        <v>39031.75529230541</v>
      </c>
      <c r="K231" s="34">
        <v>35685.548423014312</v>
      </c>
      <c r="L231" s="34">
        <v>33865.541742600188</v>
      </c>
      <c r="M231" s="34">
        <v>33486.911478718415</v>
      </c>
      <c r="N231" s="34">
        <v>32631.865127513011</v>
      </c>
      <c r="O231" s="34">
        <v>38712.313355066966</v>
      </c>
      <c r="P231" s="34">
        <v>43438.61899105856</v>
      </c>
      <c r="Q231" s="34">
        <v>34688.162347741585</v>
      </c>
      <c r="R231" s="34">
        <v>33633.159520066023</v>
      </c>
      <c r="S231" s="34">
        <v>31694.469202475702</v>
      </c>
      <c r="T231" s="34">
        <v>30185.666294622468</v>
      </c>
      <c r="U231" s="34">
        <v>38373.893398866086</v>
      </c>
      <c r="V231" s="34">
        <v>32546.803099015306</v>
      </c>
      <c r="W231" s="34">
        <v>41636.435703634263</v>
      </c>
      <c r="X231" s="34">
        <v>33260.041220648709</v>
      </c>
      <c r="Y231" s="34">
        <v>32178.115447675409</v>
      </c>
      <c r="Z231" s="34">
        <v>32507.600798135882</v>
      </c>
      <c r="AA231" s="34">
        <v>37179.038791183222</v>
      </c>
      <c r="AB231" s="34">
        <v>40448.976200394995</v>
      </c>
      <c r="AC231" s="34">
        <v>33777.441948150743</v>
      </c>
      <c r="AD231" s="34">
        <v>42732.872192699797</v>
      </c>
      <c r="AE231" s="34">
        <v>37307.010890305639</v>
      </c>
      <c r="AF231" s="34">
        <v>36020.701520808565</v>
      </c>
      <c r="AG231" s="34">
        <v>43719.632959915092</v>
      </c>
    </row>
    <row r="232" spans="1:33" x14ac:dyDescent="0.25">
      <c r="A232" s="10" t="s">
        <v>54</v>
      </c>
      <c r="B232" s="11" t="s">
        <v>3</v>
      </c>
      <c r="C232" s="12">
        <v>1353264.1148413394</v>
      </c>
      <c r="D232" s="35">
        <v>33498.210236217012</v>
      </c>
      <c r="E232" s="35">
        <v>55613.4563863656</v>
      </c>
      <c r="F232" s="35">
        <v>51171.205874327141</v>
      </c>
      <c r="G232" s="35">
        <v>42658.047615980002</v>
      </c>
      <c r="H232" s="35">
        <v>51308.294684982066</v>
      </c>
      <c r="I232" s="35">
        <v>50675.162221819024</v>
      </c>
      <c r="J232" s="35">
        <v>56503.722541559291</v>
      </c>
      <c r="K232" s="35">
        <v>42593.411305685047</v>
      </c>
      <c r="L232" s="35">
        <v>49306.486244533422</v>
      </c>
      <c r="M232" s="35">
        <v>50145.283525525476</v>
      </c>
      <c r="N232" s="35">
        <v>52842.669678066195</v>
      </c>
      <c r="O232" s="35">
        <v>65852.475760440575</v>
      </c>
      <c r="P232" s="35">
        <v>52870.057945140332</v>
      </c>
      <c r="Q232" s="35">
        <v>43258.840856097821</v>
      </c>
      <c r="R232" s="35">
        <v>54251.690679541774</v>
      </c>
      <c r="S232" s="35">
        <v>36892.10108835077</v>
      </c>
      <c r="T232" s="35">
        <v>31061.160096164836</v>
      </c>
      <c r="U232" s="35">
        <v>55524.886944227386</v>
      </c>
      <c r="V232" s="35">
        <v>50439.370310208455</v>
      </c>
      <c r="W232" s="35">
        <v>52453.58774243146</v>
      </c>
      <c r="X232" s="35">
        <v>37975.370254826121</v>
      </c>
      <c r="Y232" s="35">
        <v>26329.28919376625</v>
      </c>
      <c r="Z232" s="35">
        <v>31944.916270953974</v>
      </c>
      <c r="AA232" s="35">
        <v>28480.153010791448</v>
      </c>
      <c r="AB232" s="35">
        <v>32801.642332930714</v>
      </c>
      <c r="AC232" s="35">
        <v>37845.191714632972</v>
      </c>
      <c r="AD232" s="35">
        <v>43721.702569650726</v>
      </c>
      <c r="AE232" s="35">
        <v>42158.548828241001</v>
      </c>
      <c r="AF232" s="35">
        <v>49214.588074550818</v>
      </c>
      <c r="AG232" s="35">
        <v>43872.590853331465</v>
      </c>
    </row>
    <row r="233" spans="1:33" x14ac:dyDescent="0.25">
      <c r="A233" s="10" t="s">
        <v>54</v>
      </c>
      <c r="B233" s="11" t="s">
        <v>4</v>
      </c>
      <c r="C233" s="12">
        <v>1426287.4685909662</v>
      </c>
      <c r="D233" s="35">
        <v>44196.774402749121</v>
      </c>
      <c r="E233" s="35">
        <v>45627.674542864523</v>
      </c>
      <c r="F233" s="35">
        <v>43043.257755534876</v>
      </c>
      <c r="G233" s="35">
        <v>47526.008456129559</v>
      </c>
      <c r="H233" s="35">
        <v>50441.758493334113</v>
      </c>
      <c r="I233" s="35">
        <v>59349.631745028782</v>
      </c>
      <c r="J233" s="35">
        <v>48766.814720233262</v>
      </c>
      <c r="K233" s="35">
        <v>50216.766208871923</v>
      </c>
      <c r="L233" s="35">
        <v>43952.136777489919</v>
      </c>
      <c r="M233" s="35">
        <v>47842.268470874224</v>
      </c>
      <c r="N233" s="35">
        <v>49699.938436004093</v>
      </c>
      <c r="O233" s="35">
        <v>47472.985109124034</v>
      </c>
      <c r="P233" s="35">
        <v>58434.344145881703</v>
      </c>
      <c r="Q233" s="35">
        <v>49626.234348825295</v>
      </c>
      <c r="R233" s="35">
        <v>44991.819437489525</v>
      </c>
      <c r="S233" s="35">
        <v>42676.279519764466</v>
      </c>
      <c r="T233" s="35">
        <v>39764.780069472989</v>
      </c>
      <c r="U233" s="35">
        <v>54226.808048968422</v>
      </c>
      <c r="V233" s="35">
        <v>47734.630531505973</v>
      </c>
      <c r="W233" s="35">
        <v>52448.008268957878</v>
      </c>
      <c r="X233" s="35">
        <v>40809.36725283385</v>
      </c>
      <c r="Y233" s="35">
        <v>39519.706486581672</v>
      </c>
      <c r="Z233" s="35">
        <v>36337.760719210011</v>
      </c>
      <c r="AA233" s="35">
        <v>41540.838765871631</v>
      </c>
      <c r="AB233" s="35">
        <v>49820.557013868463</v>
      </c>
      <c r="AC233" s="35">
        <v>39625.219132493388</v>
      </c>
      <c r="AD233" s="35">
        <v>56689.254789774161</v>
      </c>
      <c r="AE233" s="35">
        <v>49684.756211465821</v>
      </c>
      <c r="AF233" s="35">
        <v>48616.300347746874</v>
      </c>
      <c r="AG233" s="35">
        <v>55604.788382015933</v>
      </c>
    </row>
    <row r="234" spans="1:33" ht="15.75" thickBot="1" x14ac:dyDescent="0.3">
      <c r="A234" s="13" t="s">
        <v>54</v>
      </c>
      <c r="B234" s="14" t="s">
        <v>5</v>
      </c>
      <c r="C234" s="15">
        <v>2837171.1906900634</v>
      </c>
      <c r="D234" s="36">
        <v>83173.964973392474</v>
      </c>
      <c r="E234" s="36">
        <v>95474.764096229919</v>
      </c>
      <c r="F234" s="36">
        <v>93552.764233286565</v>
      </c>
      <c r="G234" s="36">
        <v>91072.369531263903</v>
      </c>
      <c r="H234" s="36">
        <v>91203.107022750162</v>
      </c>
      <c r="I234" s="36">
        <v>105009.54942001245</v>
      </c>
      <c r="J234" s="36">
        <v>103533.50905872474</v>
      </c>
      <c r="K234" s="36">
        <v>93870.812677253532</v>
      </c>
      <c r="L234" s="36">
        <v>95256.675867273632</v>
      </c>
      <c r="M234" s="36">
        <v>83823.278424999691</v>
      </c>
      <c r="N234" s="36">
        <v>95728.23250881453</v>
      </c>
      <c r="O234" s="36">
        <v>109424.16532548354</v>
      </c>
      <c r="P234" s="36">
        <v>125815.01319807362</v>
      </c>
      <c r="Q234" s="36">
        <v>96632.790846361531</v>
      </c>
      <c r="R234" s="36">
        <v>90960.083477315464</v>
      </c>
      <c r="S234" s="36">
        <v>86148.831330403074</v>
      </c>
      <c r="T234" s="36">
        <v>73410.074300182067</v>
      </c>
      <c r="U234" s="36">
        <v>104719.87478856991</v>
      </c>
      <c r="V234" s="36">
        <v>89257.216827654978</v>
      </c>
      <c r="W234" s="36">
        <v>106708.65910221312</v>
      </c>
      <c r="X234" s="36">
        <v>84784.265916181772</v>
      </c>
      <c r="Y234" s="36">
        <v>87744.577134357911</v>
      </c>
      <c r="Z234" s="36">
        <v>73773.131711929396</v>
      </c>
      <c r="AA234" s="36">
        <v>86060.778960599506</v>
      </c>
      <c r="AB234" s="36">
        <v>79140.778299353071</v>
      </c>
      <c r="AC234" s="36">
        <v>91512.58659523922</v>
      </c>
      <c r="AD234" s="36">
        <v>117842.14106664409</v>
      </c>
      <c r="AE234" s="36">
        <v>102984.45438907867</v>
      </c>
      <c r="AF234" s="36">
        <v>104291.26202673542</v>
      </c>
      <c r="AG234" s="36">
        <v>94261.47757968583</v>
      </c>
    </row>
    <row r="235" spans="1:33" x14ac:dyDescent="0.25">
      <c r="A235" s="8" t="s">
        <v>55</v>
      </c>
      <c r="B235" s="8" t="s">
        <v>2</v>
      </c>
      <c r="C235" s="9">
        <v>1826417.7152055234</v>
      </c>
      <c r="D235" s="34">
        <v>58699.38952001174</v>
      </c>
      <c r="E235" s="34">
        <v>49413.538260580608</v>
      </c>
      <c r="F235" s="34">
        <v>60774.964920033388</v>
      </c>
      <c r="G235" s="34">
        <v>54343.369456219581</v>
      </c>
      <c r="H235" s="34">
        <v>66844.225296371762</v>
      </c>
      <c r="I235" s="34">
        <v>90115.466720284123</v>
      </c>
      <c r="J235" s="34">
        <v>43278.876662524053</v>
      </c>
      <c r="K235" s="34">
        <v>51338.862137555479</v>
      </c>
      <c r="L235" s="34">
        <v>49160.328963387881</v>
      </c>
      <c r="M235" s="34">
        <v>53871.857951790014</v>
      </c>
      <c r="N235" s="34">
        <v>58840.038851042598</v>
      </c>
      <c r="O235" s="34">
        <v>60563.446686769115</v>
      </c>
      <c r="P235" s="34">
        <v>77461.321756798934</v>
      </c>
      <c r="Q235" s="34">
        <v>48026.586845446574</v>
      </c>
      <c r="R235" s="34">
        <v>51934.594618134564</v>
      </c>
      <c r="S235" s="34">
        <v>51053.057701735823</v>
      </c>
      <c r="T235" s="34">
        <v>45187.173102338907</v>
      </c>
      <c r="U235" s="34">
        <v>52226.010176705167</v>
      </c>
      <c r="V235" s="34">
        <v>57596.318727182748</v>
      </c>
      <c r="W235" s="34">
        <v>87917.079453134618</v>
      </c>
      <c r="X235" s="34">
        <v>52081.437278637917</v>
      </c>
      <c r="Y235" s="34">
        <v>60816.259408368918</v>
      </c>
      <c r="Z235" s="34">
        <v>54642.235573270009</v>
      </c>
      <c r="AA235" s="34">
        <v>47132.140127831372</v>
      </c>
      <c r="AB235" s="34">
        <v>63081.246061793965</v>
      </c>
      <c r="AC235" s="34">
        <v>64192.307430931425</v>
      </c>
      <c r="AD235" s="34">
        <v>85019.799424574318</v>
      </c>
      <c r="AE235" s="34">
        <v>72686.300535016271</v>
      </c>
      <c r="AF235" s="34">
        <v>94945.824944327745</v>
      </c>
      <c r="AG235" s="34">
        <v>63173.656612723833</v>
      </c>
    </row>
    <row r="236" spans="1:33" x14ac:dyDescent="0.25">
      <c r="A236" s="10" t="s">
        <v>55</v>
      </c>
      <c r="B236" s="11" t="s">
        <v>3</v>
      </c>
      <c r="C236" s="12">
        <v>1088319.4287563416</v>
      </c>
      <c r="D236" s="35">
        <v>32457.59307325838</v>
      </c>
      <c r="E236" s="35">
        <v>24310.925683786529</v>
      </c>
      <c r="F236" s="35">
        <v>25226.668832835341</v>
      </c>
      <c r="G236" s="35">
        <v>31284.357230250847</v>
      </c>
      <c r="H236" s="35">
        <v>54128.994884005493</v>
      </c>
      <c r="I236" s="35">
        <v>45473.827477334176</v>
      </c>
      <c r="J236" s="35">
        <v>30437.106638920388</v>
      </c>
      <c r="K236" s="35">
        <v>30633.707277495399</v>
      </c>
      <c r="L236" s="35">
        <v>31150.446063152198</v>
      </c>
      <c r="M236" s="35">
        <v>27488.001687196433</v>
      </c>
      <c r="N236" s="35">
        <v>36222.695585477304</v>
      </c>
      <c r="O236" s="35">
        <v>40990.316093862937</v>
      </c>
      <c r="P236" s="35">
        <v>41674.81616029796</v>
      </c>
      <c r="Q236" s="35">
        <v>44847.571028693281</v>
      </c>
      <c r="R236" s="35">
        <v>39664.967494671582</v>
      </c>
      <c r="S236" s="35">
        <v>22895.786980276949</v>
      </c>
      <c r="T236" s="35">
        <v>29547.114226545895</v>
      </c>
      <c r="U236" s="35">
        <v>45927.289880137425</v>
      </c>
      <c r="V236" s="35">
        <v>34487.792890888901</v>
      </c>
      <c r="W236" s="35">
        <v>48851.509789468422</v>
      </c>
      <c r="X236" s="35">
        <v>27017.746282613261</v>
      </c>
      <c r="Y236" s="35">
        <v>25702.830033151498</v>
      </c>
      <c r="Z236" s="35">
        <v>33149.209440141858</v>
      </c>
      <c r="AA236" s="35">
        <v>33729.987593442558</v>
      </c>
      <c r="AB236" s="35">
        <v>39440.077727715892</v>
      </c>
      <c r="AC236" s="35">
        <v>30359.282190304682</v>
      </c>
      <c r="AD236" s="35">
        <v>49619.116506913888</v>
      </c>
      <c r="AE236" s="35">
        <v>39193.824386630411</v>
      </c>
      <c r="AF236" s="35">
        <v>58659.701278595203</v>
      </c>
      <c r="AG236" s="35">
        <v>33746.164338276423</v>
      </c>
    </row>
    <row r="237" spans="1:33" x14ac:dyDescent="0.25">
      <c r="A237" s="10" t="s">
        <v>55</v>
      </c>
      <c r="B237" s="11" t="s">
        <v>4</v>
      </c>
      <c r="C237" s="12">
        <v>3147582.3713176739</v>
      </c>
      <c r="D237" s="35">
        <v>89840.862256338529</v>
      </c>
      <c r="E237" s="35">
        <v>78695.009610936322</v>
      </c>
      <c r="F237" s="35">
        <v>101974.74936998604</v>
      </c>
      <c r="G237" s="35">
        <v>98330.65305617475</v>
      </c>
      <c r="H237" s="35">
        <v>126528.63176533945</v>
      </c>
      <c r="I237" s="35">
        <v>139309.19482663003</v>
      </c>
      <c r="J237" s="35">
        <v>84925.644616402977</v>
      </c>
      <c r="K237" s="35">
        <v>81441.685997048131</v>
      </c>
      <c r="L237" s="35">
        <v>95590.803510277154</v>
      </c>
      <c r="M237" s="35">
        <v>93877.076752755878</v>
      </c>
      <c r="N237" s="35">
        <v>95444.063592927938</v>
      </c>
      <c r="O237" s="35">
        <v>114321.6718710678</v>
      </c>
      <c r="P237" s="35">
        <v>132658.40784246608</v>
      </c>
      <c r="Q237" s="35">
        <v>92832.025373555865</v>
      </c>
      <c r="R237" s="35">
        <v>86530.034616200894</v>
      </c>
      <c r="S237" s="35">
        <v>88952.209081126959</v>
      </c>
      <c r="T237" s="35">
        <v>96138.65124625816</v>
      </c>
      <c r="U237" s="35">
        <v>96459.595285784497</v>
      </c>
      <c r="V237" s="35">
        <v>124900.50054128995</v>
      </c>
      <c r="W237" s="35">
        <v>140462.55109532271</v>
      </c>
      <c r="X237" s="35">
        <v>88244.240160581219</v>
      </c>
      <c r="Y237" s="35">
        <v>103861.88777488327</v>
      </c>
      <c r="Z237" s="35">
        <v>91957.942177761564</v>
      </c>
      <c r="AA237" s="35">
        <v>86683.774727627082</v>
      </c>
      <c r="AB237" s="35">
        <v>92226.747979327876</v>
      </c>
      <c r="AC237" s="35">
        <v>107932.91337793099</v>
      </c>
      <c r="AD237" s="35">
        <v>147323.40168641653</v>
      </c>
      <c r="AE237" s="35">
        <v>130907.97134076996</v>
      </c>
      <c r="AF237" s="35">
        <v>152910.2747401236</v>
      </c>
      <c r="AG237" s="35">
        <v>86319.195044361535</v>
      </c>
    </row>
    <row r="238" spans="1:33" ht="15.75" thickBot="1" x14ac:dyDescent="0.3">
      <c r="A238" s="13" t="s">
        <v>55</v>
      </c>
      <c r="B238" s="14" t="s">
        <v>5</v>
      </c>
      <c r="C238" s="15">
        <v>1832168.2681077311</v>
      </c>
      <c r="D238" s="36">
        <v>53760.009560884631</v>
      </c>
      <c r="E238" s="36">
        <v>54267.957277041576</v>
      </c>
      <c r="F238" s="36">
        <v>62287.543406360208</v>
      </c>
      <c r="G238" s="36">
        <v>43323.873592097356</v>
      </c>
      <c r="H238" s="36">
        <v>56651.665468836647</v>
      </c>
      <c r="I238" s="36">
        <v>65694.254967812696</v>
      </c>
      <c r="J238" s="36">
        <v>51692.223133976659</v>
      </c>
      <c r="K238" s="36">
        <v>54647.208530799508</v>
      </c>
      <c r="L238" s="36">
        <v>59094.842162594752</v>
      </c>
      <c r="M238" s="36">
        <v>45145.356965036437</v>
      </c>
      <c r="N238" s="36">
        <v>86834.060735557578</v>
      </c>
      <c r="O238" s="36">
        <v>65568.396098201338</v>
      </c>
      <c r="P238" s="36">
        <v>76450.434188716376</v>
      </c>
      <c r="Q238" s="36">
        <v>61924.443172534666</v>
      </c>
      <c r="R238" s="36">
        <v>39188.998506999698</v>
      </c>
      <c r="S238" s="36">
        <v>46059.899165124858</v>
      </c>
      <c r="T238" s="36">
        <v>41403.288453997098</v>
      </c>
      <c r="U238" s="36">
        <v>53424.131610654804</v>
      </c>
      <c r="V238" s="36">
        <v>63879.80510355383</v>
      </c>
      <c r="W238" s="36">
        <v>63181.859617201517</v>
      </c>
      <c r="X238" s="36">
        <v>53775.918687661353</v>
      </c>
      <c r="Y238" s="36">
        <v>58605.064343861741</v>
      </c>
      <c r="Z238" s="36">
        <v>55287.927678670203</v>
      </c>
      <c r="AA238" s="36">
        <v>59677.051077542194</v>
      </c>
      <c r="AB238" s="36">
        <v>60275.64360199478</v>
      </c>
      <c r="AC238" s="36">
        <v>59011.993756777993</v>
      </c>
      <c r="AD238" s="36">
        <v>94206.061672817668</v>
      </c>
      <c r="AE238" s="36">
        <v>79191.697678922428</v>
      </c>
      <c r="AF238" s="36">
        <v>110169.79117763482</v>
      </c>
      <c r="AG238" s="36">
        <v>57486.866713865522</v>
      </c>
    </row>
    <row r="239" spans="1:33" x14ac:dyDescent="0.25">
      <c r="A239" s="8" t="s">
        <v>85</v>
      </c>
      <c r="B239" s="8" t="s">
        <v>2</v>
      </c>
      <c r="C239" s="9">
        <v>2341973.2997396849</v>
      </c>
      <c r="D239" s="34">
        <v>67828.449620147658</v>
      </c>
      <c r="E239" s="34">
        <v>76459.697469468301</v>
      </c>
      <c r="F239" s="34">
        <v>72691.538545486779</v>
      </c>
      <c r="G239" s="34">
        <v>92191.034238420514</v>
      </c>
      <c r="H239" s="34">
        <v>83488.199362637781</v>
      </c>
      <c r="I239" s="34">
        <v>94182.999827348089</v>
      </c>
      <c r="J239" s="34">
        <v>73610.077068073617</v>
      </c>
      <c r="K239" s="34">
        <v>77798.712610345508</v>
      </c>
      <c r="L239" s="34">
        <v>73687.641717865714</v>
      </c>
      <c r="M239" s="34">
        <v>68303.04127035664</v>
      </c>
      <c r="N239" s="34">
        <v>83407.401705981334</v>
      </c>
      <c r="O239" s="34">
        <v>80043.231065282031</v>
      </c>
      <c r="P239" s="34">
        <v>86147.670809243267</v>
      </c>
      <c r="Q239" s="34">
        <v>79809.814848414753</v>
      </c>
      <c r="R239" s="34">
        <v>73476.939093904919</v>
      </c>
      <c r="S239" s="34">
        <v>69989.542740508216</v>
      </c>
      <c r="T239" s="34">
        <v>77663.215229039633</v>
      </c>
      <c r="U239" s="34">
        <v>79868.208455375119</v>
      </c>
      <c r="V239" s="34">
        <v>75140.211065799333</v>
      </c>
      <c r="W239" s="34">
        <v>100409.06253805054</v>
      </c>
      <c r="X239" s="34">
        <v>85184.434247072437</v>
      </c>
      <c r="Y239" s="34">
        <v>75023.031763812047</v>
      </c>
      <c r="Z239" s="34">
        <v>76639.603983361783</v>
      </c>
      <c r="AA239" s="34">
        <v>76932.239255750537</v>
      </c>
      <c r="AB239" s="34">
        <v>66775.012166461762</v>
      </c>
      <c r="AC239" s="34">
        <v>66325.397213964301</v>
      </c>
      <c r="AD239" s="34">
        <v>75293.600044667197</v>
      </c>
      <c r="AE239" s="34">
        <v>93158.839039290659</v>
      </c>
      <c r="AF239" s="34">
        <v>86859.234983870308</v>
      </c>
      <c r="AG239" s="34">
        <v>53585.217759684747</v>
      </c>
    </row>
    <row r="240" spans="1:33" x14ac:dyDescent="0.25">
      <c r="A240" s="10" t="s">
        <v>85</v>
      </c>
      <c r="B240" s="11" t="s">
        <v>3</v>
      </c>
      <c r="C240" s="12">
        <v>1803072.3132873201</v>
      </c>
      <c r="D240" s="35">
        <v>44891.035721915308</v>
      </c>
      <c r="E240" s="35">
        <v>56180.01414704341</v>
      </c>
      <c r="F240" s="35">
        <v>103063.25099373038</v>
      </c>
      <c r="G240" s="35">
        <v>58214.505838828874</v>
      </c>
      <c r="H240" s="35">
        <v>80427.710376484494</v>
      </c>
      <c r="I240" s="35">
        <v>49898.404221347177</v>
      </c>
      <c r="J240" s="35">
        <v>82829.18987065478</v>
      </c>
      <c r="K240" s="35">
        <v>72751.681543576065</v>
      </c>
      <c r="L240" s="35">
        <v>46897.421488715074</v>
      </c>
      <c r="M240" s="35">
        <v>48044.093006169816</v>
      </c>
      <c r="N240" s="35">
        <v>65563.993922873036</v>
      </c>
      <c r="O240" s="35">
        <v>65827.640850931421</v>
      </c>
      <c r="P240" s="35">
        <v>56188.006788600687</v>
      </c>
      <c r="Q240" s="35">
        <v>48259.159372670845</v>
      </c>
      <c r="R240" s="35">
        <v>52862.455437818055</v>
      </c>
      <c r="S240" s="35">
        <v>58694.958528179304</v>
      </c>
      <c r="T240" s="35">
        <v>40290.759099134186</v>
      </c>
      <c r="U240" s="35">
        <v>81380.598615109891</v>
      </c>
      <c r="V240" s="35">
        <v>52475.078743675265</v>
      </c>
      <c r="W240" s="35">
        <v>54183.80138991923</v>
      </c>
      <c r="X240" s="35">
        <v>52111.00014032473</v>
      </c>
      <c r="Y240" s="35">
        <v>79997.210165709679</v>
      </c>
      <c r="Z240" s="35">
        <v>52360.125571730001</v>
      </c>
      <c r="AA240" s="35">
        <v>76489.0407357597</v>
      </c>
      <c r="AB240" s="35">
        <v>71633.857031282067</v>
      </c>
      <c r="AC240" s="35">
        <v>35810.739577485001</v>
      </c>
      <c r="AD240" s="35">
        <v>33253.872107108044</v>
      </c>
      <c r="AE240" s="35">
        <v>47365.392183051132</v>
      </c>
      <c r="AF240" s="35">
        <v>57411.187178341657</v>
      </c>
      <c r="AG240" s="35">
        <v>77716.128639150906</v>
      </c>
    </row>
    <row r="241" spans="1:33" x14ac:dyDescent="0.25">
      <c r="A241" s="10" t="s">
        <v>85</v>
      </c>
      <c r="B241" s="11" t="s">
        <v>4</v>
      </c>
      <c r="C241" s="12">
        <v>2727825.3988084397</v>
      </c>
      <c r="D241" s="35">
        <v>100404.82459581188</v>
      </c>
      <c r="E241" s="35">
        <v>94765.393564641141</v>
      </c>
      <c r="F241" s="35">
        <v>104452.0996280481</v>
      </c>
      <c r="G241" s="35">
        <v>115561.94321615962</v>
      </c>
      <c r="H241" s="35">
        <v>97516.023820742877</v>
      </c>
      <c r="I241" s="35">
        <v>86290.997803509788</v>
      </c>
      <c r="J241" s="35">
        <v>84541.886476127867</v>
      </c>
      <c r="K241" s="35">
        <v>77177.32701364813</v>
      </c>
      <c r="L241" s="35">
        <v>86328.361291450026</v>
      </c>
      <c r="M241" s="35">
        <v>84487.091473665263</v>
      </c>
      <c r="N241" s="35">
        <v>107914.20454321033</v>
      </c>
      <c r="O241" s="35">
        <v>96675.493218689007</v>
      </c>
      <c r="P241" s="35">
        <v>90615.761037618286</v>
      </c>
      <c r="Q241" s="35">
        <v>89113.666370012972</v>
      </c>
      <c r="R241" s="35">
        <v>80580.093081688217</v>
      </c>
      <c r="S241" s="35">
        <v>72629.24322485154</v>
      </c>
      <c r="T241" s="35">
        <v>90281.757087376842</v>
      </c>
      <c r="U241" s="35">
        <v>80427.88772892041</v>
      </c>
      <c r="V241" s="35">
        <v>83817.810938188995</v>
      </c>
      <c r="W241" s="35">
        <v>85839.768038382725</v>
      </c>
      <c r="X241" s="35">
        <v>100369.80920905665</v>
      </c>
      <c r="Y241" s="35">
        <v>84528.998806265066</v>
      </c>
      <c r="Z241" s="35">
        <v>102508.24826002016</v>
      </c>
      <c r="AA241" s="35">
        <v>81148.450077300033</v>
      </c>
      <c r="AB241" s="35">
        <v>113507.82967683671</v>
      </c>
      <c r="AC241" s="35">
        <v>99304.981170523999</v>
      </c>
      <c r="AD241" s="35">
        <v>76717.8071966274</v>
      </c>
      <c r="AE241" s="35">
        <v>91271.499661298527</v>
      </c>
      <c r="AF241" s="35">
        <v>84335.549325048967</v>
      </c>
      <c r="AG241" s="35">
        <v>84710.591272718637</v>
      </c>
    </row>
    <row r="242" spans="1:33" ht="15.75" thickBot="1" x14ac:dyDescent="0.3">
      <c r="A242" s="13" t="s">
        <v>85</v>
      </c>
      <c r="B242" s="14" t="s">
        <v>5</v>
      </c>
      <c r="C242" s="15">
        <v>3937514.1271671955</v>
      </c>
      <c r="D242" s="36">
        <v>112776.59755067331</v>
      </c>
      <c r="E242" s="36">
        <v>143344.96561295944</v>
      </c>
      <c r="F242" s="36">
        <v>134826.98948413591</v>
      </c>
      <c r="G242" s="36">
        <v>154599.79720554152</v>
      </c>
      <c r="H242" s="36">
        <v>163136.01555433829</v>
      </c>
      <c r="I242" s="36">
        <v>113440.17577911401</v>
      </c>
      <c r="J242" s="36">
        <v>159573.55798179604</v>
      </c>
      <c r="K242" s="36">
        <v>144455.29058386639</v>
      </c>
      <c r="L242" s="36">
        <v>143652.5519593331</v>
      </c>
      <c r="M242" s="36">
        <v>129043.39629550865</v>
      </c>
      <c r="N242" s="36">
        <v>133979.48052224203</v>
      </c>
      <c r="O242" s="36">
        <v>136283.31322104548</v>
      </c>
      <c r="P242" s="36">
        <v>123452.01237904772</v>
      </c>
      <c r="Q242" s="36">
        <v>110659.16810888538</v>
      </c>
      <c r="R242" s="36">
        <v>112762.72639914062</v>
      </c>
      <c r="S242" s="36">
        <v>151279.39674627033</v>
      </c>
      <c r="T242" s="36">
        <v>122803.93893377909</v>
      </c>
      <c r="U242" s="36">
        <v>187448.26615565346</v>
      </c>
      <c r="V242" s="36">
        <v>130410.35596652281</v>
      </c>
      <c r="W242" s="36">
        <v>100457.71985826598</v>
      </c>
      <c r="X242" s="36">
        <v>102151.19981352841</v>
      </c>
      <c r="Y242" s="36">
        <v>82664.829531597308</v>
      </c>
      <c r="Z242" s="36">
        <v>136694.09799134184</v>
      </c>
      <c r="AA242" s="36">
        <v>121260.01721923293</v>
      </c>
      <c r="AB242" s="36">
        <v>112934.64773243396</v>
      </c>
      <c r="AC242" s="36">
        <v>141559.34736149508</v>
      </c>
      <c r="AD242" s="36">
        <v>72469.121067819025</v>
      </c>
      <c r="AE242" s="36">
        <v>140887.58625745529</v>
      </c>
      <c r="AF242" s="36">
        <v>163166.9588923727</v>
      </c>
      <c r="AG242" s="36">
        <v>155340.60500179944</v>
      </c>
    </row>
    <row r="243" spans="1:33" x14ac:dyDescent="0.25">
      <c r="A243" s="8" t="s">
        <v>66</v>
      </c>
      <c r="B243" s="8" t="s">
        <v>2</v>
      </c>
      <c r="C243" s="9">
        <v>1437613.8068726035</v>
      </c>
      <c r="D243" s="34">
        <v>38664.681430125274</v>
      </c>
      <c r="E243" s="34">
        <v>36064.716927545953</v>
      </c>
      <c r="F243" s="34">
        <v>40364.791163806483</v>
      </c>
      <c r="G243" s="34">
        <v>48544.140801233232</v>
      </c>
      <c r="H243" s="34">
        <v>57339.082611459758</v>
      </c>
      <c r="I243" s="34">
        <v>66697.510184250757</v>
      </c>
      <c r="J243" s="34">
        <v>36277.367936409544</v>
      </c>
      <c r="K243" s="34">
        <v>39967.076792911881</v>
      </c>
      <c r="L243" s="34">
        <v>40724.477223399786</v>
      </c>
      <c r="M243" s="34">
        <v>36896.397258650759</v>
      </c>
      <c r="N243" s="34">
        <v>41620.281066170486</v>
      </c>
      <c r="O243" s="34">
        <v>52364.513022967913</v>
      </c>
      <c r="P243" s="34">
        <v>61504.978803359867</v>
      </c>
      <c r="Q243" s="34">
        <v>34758.793964016812</v>
      </c>
      <c r="R243" s="34">
        <v>34809.685742494621</v>
      </c>
      <c r="S243" s="34">
        <v>46043.052492360184</v>
      </c>
      <c r="T243" s="34">
        <v>35301.482388137709</v>
      </c>
      <c r="U243" s="34">
        <v>46920.656241190052</v>
      </c>
      <c r="V243" s="34">
        <v>58265.710965480634</v>
      </c>
      <c r="W243" s="34">
        <v>62370.668823674678</v>
      </c>
      <c r="X243" s="34">
        <v>46950.795906874824</v>
      </c>
      <c r="Y243" s="34">
        <v>69628.733194652101</v>
      </c>
      <c r="Z243" s="34">
        <v>51409.230988923038</v>
      </c>
      <c r="AA243" s="34">
        <v>36021.797785178547</v>
      </c>
      <c r="AB243" s="34">
        <v>38523.364193785921</v>
      </c>
      <c r="AC243" s="34">
        <v>53112.093026480281</v>
      </c>
      <c r="AD243" s="34">
        <v>60324.395499913182</v>
      </c>
      <c r="AE243" s="34">
        <v>57511.240297860699</v>
      </c>
      <c r="AF243" s="34">
        <v>72172.417605531518</v>
      </c>
      <c r="AG243" s="34">
        <v>36459.672533757301</v>
      </c>
    </row>
    <row r="244" spans="1:33" x14ac:dyDescent="0.25">
      <c r="A244" s="10" t="s">
        <v>66</v>
      </c>
      <c r="B244" s="11" t="s">
        <v>3</v>
      </c>
      <c r="C244" s="12">
        <v>1684801.4559929082</v>
      </c>
      <c r="D244" s="35">
        <v>55738.100828328672</v>
      </c>
      <c r="E244" s="35">
        <v>51811.864230215702</v>
      </c>
      <c r="F244" s="35">
        <v>47617.319194118056</v>
      </c>
      <c r="G244" s="35">
        <v>71606.76246647822</v>
      </c>
      <c r="H244" s="35">
        <v>82779.311665502406</v>
      </c>
      <c r="I244" s="35">
        <v>67143.698389226367</v>
      </c>
      <c r="J244" s="35">
        <v>38681.439474673549</v>
      </c>
      <c r="K244" s="35">
        <v>53949.428963744664</v>
      </c>
      <c r="L244" s="35">
        <v>37515.980680222208</v>
      </c>
      <c r="M244" s="35">
        <v>43464.977756811917</v>
      </c>
      <c r="N244" s="35">
        <v>48629.318479036556</v>
      </c>
      <c r="O244" s="35">
        <v>77064.00752412327</v>
      </c>
      <c r="P244" s="35">
        <v>76517.792249154605</v>
      </c>
      <c r="Q244" s="35">
        <v>29073.888810361183</v>
      </c>
      <c r="R244" s="35">
        <v>31128.054688755194</v>
      </c>
      <c r="S244" s="35">
        <v>33556.290087724679</v>
      </c>
      <c r="T244" s="35">
        <v>35955.634560982806</v>
      </c>
      <c r="U244" s="35">
        <v>59024.786655884629</v>
      </c>
      <c r="V244" s="35">
        <v>71161.783496912511</v>
      </c>
      <c r="W244" s="35">
        <v>64218.777751613787</v>
      </c>
      <c r="X244" s="35">
        <v>37586.756109013659</v>
      </c>
      <c r="Y244" s="35">
        <v>35099.59649597462</v>
      </c>
      <c r="Z244" s="35">
        <v>47247.653194360086</v>
      </c>
      <c r="AA244" s="35">
        <v>44903.793083402481</v>
      </c>
      <c r="AB244" s="35">
        <v>58248.803322955777</v>
      </c>
      <c r="AC244" s="35">
        <v>68854.893815079253</v>
      </c>
      <c r="AD244" s="35">
        <v>74600.18018950276</v>
      </c>
      <c r="AE244" s="35">
        <v>99898.956130676263</v>
      </c>
      <c r="AF244" s="35">
        <v>108837.68218386656</v>
      </c>
      <c r="AG244" s="35">
        <v>32883.923514205926</v>
      </c>
    </row>
    <row r="245" spans="1:33" x14ac:dyDescent="0.25">
      <c r="A245" s="10" t="s">
        <v>66</v>
      </c>
      <c r="B245" s="11" t="s">
        <v>4</v>
      </c>
      <c r="C245" s="12">
        <v>1965586.3191669555</v>
      </c>
      <c r="D245" s="35">
        <v>52998.344316770534</v>
      </c>
      <c r="E245" s="35">
        <v>58328.408383200389</v>
      </c>
      <c r="F245" s="35">
        <v>59404.366955763224</v>
      </c>
      <c r="G245" s="35">
        <v>73175.012801647579</v>
      </c>
      <c r="H245" s="35">
        <v>84343.08257563306</v>
      </c>
      <c r="I245" s="35">
        <v>79216.653148110738</v>
      </c>
      <c r="J245" s="35">
        <v>56631.674137900976</v>
      </c>
      <c r="K245" s="35">
        <v>56437.736719009976</v>
      </c>
      <c r="L245" s="35">
        <v>55834.37275737583</v>
      </c>
      <c r="M245" s="35">
        <v>51870.646293133097</v>
      </c>
      <c r="N245" s="35">
        <v>63071.521853193277</v>
      </c>
      <c r="O245" s="35">
        <v>89956.202141235539</v>
      </c>
      <c r="P245" s="35">
        <v>70336.910873392946</v>
      </c>
      <c r="Q245" s="35">
        <v>58512.906895351007</v>
      </c>
      <c r="R245" s="35">
        <v>48209.942246167622</v>
      </c>
      <c r="S245" s="35">
        <v>54250.284044810003</v>
      </c>
      <c r="T245" s="35">
        <v>58580.194013075605</v>
      </c>
      <c r="U245" s="35">
        <v>71761.536517277797</v>
      </c>
      <c r="V245" s="35">
        <v>90037.619693311091</v>
      </c>
      <c r="W245" s="35">
        <v>77402.107104554176</v>
      </c>
      <c r="X245" s="35">
        <v>67739.668621575183</v>
      </c>
      <c r="Y245" s="35">
        <v>64073.672643167985</v>
      </c>
      <c r="Z245" s="35">
        <v>51794.953521772863</v>
      </c>
      <c r="AA245" s="35">
        <v>48363.19881478043</v>
      </c>
      <c r="AB245" s="35">
        <v>65725.125269297263</v>
      </c>
      <c r="AC245" s="35">
        <v>65058.75381259522</v>
      </c>
      <c r="AD245" s="35">
        <v>78604.715978283421</v>
      </c>
      <c r="AE245" s="35">
        <v>83201.666022598569</v>
      </c>
      <c r="AF245" s="35">
        <v>80035.24093888099</v>
      </c>
      <c r="AG245" s="35">
        <v>50629.800073089529</v>
      </c>
    </row>
    <row r="246" spans="1:33" ht="15.75" thickBot="1" x14ac:dyDescent="0.3">
      <c r="A246" s="13" t="s">
        <v>66</v>
      </c>
      <c r="B246" s="14" t="s">
        <v>5</v>
      </c>
      <c r="C246" s="15">
        <v>2163996.4003969599</v>
      </c>
      <c r="D246" s="36">
        <v>57832.458686147569</v>
      </c>
      <c r="E246" s="36">
        <v>55619.114597679421</v>
      </c>
      <c r="F246" s="36">
        <v>66092.914325041915</v>
      </c>
      <c r="G246" s="36">
        <v>68532.61261663308</v>
      </c>
      <c r="H246" s="36">
        <v>70786.23315596176</v>
      </c>
      <c r="I246" s="36">
        <v>92281.704946173675</v>
      </c>
      <c r="J246" s="36">
        <v>58551.578031677593</v>
      </c>
      <c r="K246" s="36">
        <v>78783.127280581844</v>
      </c>
      <c r="L246" s="36">
        <v>61294.125572255594</v>
      </c>
      <c r="M246" s="36">
        <v>76760.172845354755</v>
      </c>
      <c r="N246" s="36">
        <v>86113.34521201982</v>
      </c>
      <c r="O246" s="36">
        <v>94365.431094078347</v>
      </c>
      <c r="P246" s="36">
        <v>86196.788735256821</v>
      </c>
      <c r="Q246" s="36">
        <v>57588.946138206877</v>
      </c>
      <c r="R246" s="36">
        <v>57158.003219384649</v>
      </c>
      <c r="S246" s="36">
        <v>63157.896707661537</v>
      </c>
      <c r="T246" s="36">
        <v>57017.083703963282</v>
      </c>
      <c r="U246" s="36">
        <v>70612.493757295684</v>
      </c>
      <c r="V246" s="36">
        <v>83434.569862985081</v>
      </c>
      <c r="W246" s="36">
        <v>77083.750803026909</v>
      </c>
      <c r="X246" s="36">
        <v>67040.475163340627</v>
      </c>
      <c r="Y246" s="36">
        <v>79080.785769791924</v>
      </c>
      <c r="Z246" s="36">
        <v>60132.473357502291</v>
      </c>
      <c r="AA246" s="36">
        <v>67544.335898074729</v>
      </c>
      <c r="AB246" s="36">
        <v>63369.729142361415</v>
      </c>
      <c r="AC246" s="36">
        <v>84100.415259959525</v>
      </c>
      <c r="AD246" s="36">
        <v>87994.727853811259</v>
      </c>
      <c r="AE246" s="36">
        <v>78338.362933941302</v>
      </c>
      <c r="AF246" s="36">
        <v>102771.66057003717</v>
      </c>
      <c r="AG246" s="36">
        <v>54361.083156753346</v>
      </c>
    </row>
    <row r="247" spans="1:33" x14ac:dyDescent="0.25">
      <c r="A247" s="8" t="s">
        <v>71</v>
      </c>
      <c r="B247" s="8" t="s">
        <v>2</v>
      </c>
      <c r="C247" s="9">
        <v>747318.45317209256</v>
      </c>
      <c r="D247" s="34">
        <v>30538.167054468078</v>
      </c>
      <c r="E247" s="34">
        <v>31397.665499772065</v>
      </c>
      <c r="F247" s="34">
        <v>25216.191097456667</v>
      </c>
      <c r="G247" s="34">
        <v>31142.904701424002</v>
      </c>
      <c r="H247" s="34">
        <v>18418.998208636673</v>
      </c>
      <c r="I247" s="34">
        <v>13401.093737080482</v>
      </c>
      <c r="J247" s="34">
        <v>24541.438127709131</v>
      </c>
      <c r="K247" s="34">
        <v>26151.285074141819</v>
      </c>
      <c r="L247" s="34">
        <v>33059.470240604685</v>
      </c>
      <c r="M247" s="34">
        <v>40704.143175537589</v>
      </c>
      <c r="N247" s="34">
        <v>29943.705238585881</v>
      </c>
      <c r="O247" s="34">
        <v>16399.494781088375</v>
      </c>
      <c r="P247" s="34">
        <v>12670.139620036551</v>
      </c>
      <c r="Q247" s="34">
        <v>27329.879666645706</v>
      </c>
      <c r="R247" s="34">
        <v>34592.265081542842</v>
      </c>
      <c r="S247" s="34">
        <v>26591.243617634042</v>
      </c>
      <c r="T247" s="34">
        <v>30755.056925868725</v>
      </c>
      <c r="U247" s="34">
        <v>28737.016723457145</v>
      </c>
      <c r="V247" s="34">
        <v>18674.171370432356</v>
      </c>
      <c r="W247" s="34">
        <v>16496.825856773045</v>
      </c>
      <c r="X247" s="34">
        <v>22020.567258090192</v>
      </c>
      <c r="Y247" s="34">
        <v>26819.27395314374</v>
      </c>
      <c r="Z247" s="34">
        <v>27276.591667576038</v>
      </c>
      <c r="AA247" s="34">
        <v>28040.574766569542</v>
      </c>
      <c r="AB247" s="34">
        <v>28967.102225181581</v>
      </c>
      <c r="AC247" s="34">
        <v>23043.115540787214</v>
      </c>
      <c r="AD247" s="34">
        <v>15119.671613217484</v>
      </c>
      <c r="AE247" s="34">
        <v>19290.107997200746</v>
      </c>
      <c r="AF247" s="34">
        <v>13687.945723085957</v>
      </c>
      <c r="AG247" s="34">
        <v>26292.346628344098</v>
      </c>
    </row>
    <row r="248" spans="1:33" x14ac:dyDescent="0.25">
      <c r="A248" s="10" t="s">
        <v>71</v>
      </c>
      <c r="B248" s="11" t="s">
        <v>3</v>
      </c>
      <c r="C248" s="12">
        <v>886107.16835768207</v>
      </c>
      <c r="D248" s="35">
        <v>28693.691271803178</v>
      </c>
      <c r="E248" s="35">
        <v>15089.053526475253</v>
      </c>
      <c r="F248" s="35">
        <v>28552.180344933819</v>
      </c>
      <c r="G248" s="35">
        <v>42148.551512783139</v>
      </c>
      <c r="H248" s="35">
        <v>30864.870390681812</v>
      </c>
      <c r="I248" s="35">
        <v>35630.946579470568</v>
      </c>
      <c r="J248" s="35">
        <v>31037.476265586731</v>
      </c>
      <c r="K248" s="35">
        <v>33967.43257163067</v>
      </c>
      <c r="L248" s="35">
        <v>34396.795188841912</v>
      </c>
      <c r="M248" s="35">
        <v>22902.730327030833</v>
      </c>
      <c r="N248" s="35">
        <v>37139.9321008345</v>
      </c>
      <c r="O248" s="35">
        <v>24554.508160485366</v>
      </c>
      <c r="P248" s="35">
        <v>26800.605601966166</v>
      </c>
      <c r="Q248" s="35">
        <v>28246.369547875711</v>
      </c>
      <c r="R248" s="35">
        <v>21416.238044704456</v>
      </c>
      <c r="S248" s="35">
        <v>33913.055839806017</v>
      </c>
      <c r="T248" s="35">
        <v>19456.75690678813</v>
      </c>
      <c r="U248" s="35">
        <v>27769.924237791529</v>
      </c>
      <c r="V248" s="35">
        <v>22813.907331976585</v>
      </c>
      <c r="W248" s="35">
        <v>33323.060085500678</v>
      </c>
      <c r="X248" s="35">
        <v>34063.582461667938</v>
      </c>
      <c r="Y248" s="35">
        <v>27524.10198270651</v>
      </c>
      <c r="Z248" s="35">
        <v>22880.913922238338</v>
      </c>
      <c r="AA248" s="35">
        <v>28935.209386786064</v>
      </c>
      <c r="AB248" s="35">
        <v>32504.524348581483</v>
      </c>
      <c r="AC248" s="35">
        <v>45265.708342841674</v>
      </c>
      <c r="AD248" s="35">
        <v>26882.219983750118</v>
      </c>
      <c r="AE248" s="35">
        <v>19698.156740058286</v>
      </c>
      <c r="AF248" s="35">
        <v>36169.575214419609</v>
      </c>
      <c r="AG248" s="35">
        <v>33465.090137664803</v>
      </c>
    </row>
    <row r="249" spans="1:33" x14ac:dyDescent="0.25">
      <c r="A249" s="10" t="s">
        <v>71</v>
      </c>
      <c r="B249" s="11" t="s">
        <v>4</v>
      </c>
      <c r="C249" s="12">
        <v>547327.5675970132</v>
      </c>
      <c r="D249" s="35">
        <v>21437.148536785018</v>
      </c>
      <c r="E249" s="35">
        <v>18410.961781024249</v>
      </c>
      <c r="F249" s="35">
        <v>20330.694577787097</v>
      </c>
      <c r="G249" s="35">
        <v>22002.524344641944</v>
      </c>
      <c r="H249" s="35">
        <v>18733.594503368651</v>
      </c>
      <c r="I249" s="35">
        <v>16903.261829186195</v>
      </c>
      <c r="J249" s="35">
        <v>16253.70032219528</v>
      </c>
      <c r="K249" s="35">
        <v>17322.213513579427</v>
      </c>
      <c r="L249" s="35">
        <v>16690.233174596618</v>
      </c>
      <c r="M249" s="35">
        <v>19405.033240669782</v>
      </c>
      <c r="N249" s="35">
        <v>21905.886291009079</v>
      </c>
      <c r="O249" s="35">
        <v>19101.717233241769</v>
      </c>
      <c r="P249" s="35">
        <v>16734.594687498877</v>
      </c>
      <c r="Q249" s="35">
        <v>21849.181381709808</v>
      </c>
      <c r="R249" s="35">
        <v>17739.476347393746</v>
      </c>
      <c r="S249" s="35">
        <v>17654.481245217336</v>
      </c>
      <c r="T249" s="35">
        <v>20398.077381069157</v>
      </c>
      <c r="U249" s="35">
        <v>16579.181520631297</v>
      </c>
      <c r="V249" s="35">
        <v>15345.643501250757</v>
      </c>
      <c r="W249" s="35">
        <v>15564.073364604223</v>
      </c>
      <c r="X249" s="35">
        <v>18926.637128987528</v>
      </c>
      <c r="Y249" s="35">
        <v>16534.360827156896</v>
      </c>
      <c r="Z249" s="35">
        <v>20897.541320019205</v>
      </c>
      <c r="AA249" s="35">
        <v>17871.136648054711</v>
      </c>
      <c r="AB249" s="35">
        <v>20384.099613144164</v>
      </c>
      <c r="AC249" s="35">
        <v>16683.469989559413</v>
      </c>
      <c r="AD249" s="35">
        <v>15748.578344669804</v>
      </c>
      <c r="AE249" s="35">
        <v>17663.423592291841</v>
      </c>
      <c r="AF249" s="35">
        <v>15796.18525246333</v>
      </c>
      <c r="AG249" s="35">
        <v>16460.456103206048</v>
      </c>
    </row>
    <row r="250" spans="1:33" ht="15.75" thickBot="1" x14ac:dyDescent="0.3">
      <c r="A250" s="13" t="s">
        <v>71</v>
      </c>
      <c r="B250" s="14" t="s">
        <v>5</v>
      </c>
      <c r="C250" s="15">
        <v>1706089.9591865386</v>
      </c>
      <c r="D250" s="36">
        <v>48171.97717138796</v>
      </c>
      <c r="E250" s="36">
        <v>52374.756959079474</v>
      </c>
      <c r="F250" s="36">
        <v>48938.506985454944</v>
      </c>
      <c r="G250" s="36">
        <v>57912.38341747404</v>
      </c>
      <c r="H250" s="36">
        <v>50096.890219560046</v>
      </c>
      <c r="I250" s="36">
        <v>58719.227617721248</v>
      </c>
      <c r="J250" s="36">
        <v>51156.274247555528</v>
      </c>
      <c r="K250" s="36">
        <v>51149.033346661694</v>
      </c>
      <c r="L250" s="36">
        <v>55197.836717753351</v>
      </c>
      <c r="M250" s="36">
        <v>55137.140536464547</v>
      </c>
      <c r="N250" s="36">
        <v>54923.118278748763</v>
      </c>
      <c r="O250" s="36">
        <v>53839.52416452398</v>
      </c>
      <c r="P250" s="36">
        <v>64105.539361048213</v>
      </c>
      <c r="Q250" s="36">
        <v>64268.28531317506</v>
      </c>
      <c r="R250" s="36">
        <v>59397.98162206405</v>
      </c>
      <c r="S250" s="36">
        <v>56920.587835692233</v>
      </c>
      <c r="T250" s="36">
        <v>52196.852046840635</v>
      </c>
      <c r="U250" s="36">
        <v>51630.533142488232</v>
      </c>
      <c r="V250" s="36">
        <v>69616.133122772459</v>
      </c>
      <c r="W250" s="36">
        <v>54208.307269769793</v>
      </c>
      <c r="X250" s="36">
        <v>68299.904953719582</v>
      </c>
      <c r="Y250" s="36">
        <v>50542.239147220316</v>
      </c>
      <c r="Z250" s="36">
        <v>48402.184183509045</v>
      </c>
      <c r="AA250" s="36">
        <v>53662.20254707936</v>
      </c>
      <c r="AB250" s="36">
        <v>59453.568945499974</v>
      </c>
      <c r="AC250" s="36">
        <v>60121.90409800109</v>
      </c>
      <c r="AD250" s="36">
        <v>79368.567309787744</v>
      </c>
      <c r="AE250" s="36">
        <v>53785.572748327031</v>
      </c>
      <c r="AF250" s="36">
        <v>58346.870993793564</v>
      </c>
      <c r="AG250" s="36">
        <v>64146.054883364377</v>
      </c>
    </row>
    <row r="251" spans="1:33" x14ac:dyDescent="0.25">
      <c r="A251" s="8" t="s">
        <v>72</v>
      </c>
      <c r="B251" s="8" t="s">
        <v>2</v>
      </c>
      <c r="C251" s="9">
        <v>1201575.7687415027</v>
      </c>
      <c r="D251" s="34">
        <v>34662.953210755768</v>
      </c>
      <c r="E251" s="34">
        <v>39453.870282152035</v>
      </c>
      <c r="F251" s="34">
        <v>36660.067849655694</v>
      </c>
      <c r="G251" s="34">
        <v>38038.886028609828</v>
      </c>
      <c r="H251" s="34">
        <v>45579.029650443379</v>
      </c>
      <c r="I251" s="34">
        <v>57277.491357332452</v>
      </c>
      <c r="J251" s="34">
        <v>25110.436320225766</v>
      </c>
      <c r="K251" s="34">
        <v>35752.354987590908</v>
      </c>
      <c r="L251" s="34">
        <v>35664.803233246865</v>
      </c>
      <c r="M251" s="34">
        <v>32328.041386385823</v>
      </c>
      <c r="N251" s="34">
        <v>32581.623423260156</v>
      </c>
      <c r="O251" s="34">
        <v>45663.176505938965</v>
      </c>
      <c r="P251" s="34">
        <v>55277.986459928594</v>
      </c>
      <c r="Q251" s="34">
        <v>32895.147289718821</v>
      </c>
      <c r="R251" s="34">
        <v>33013.021180512747</v>
      </c>
      <c r="S251" s="34">
        <v>32254.20678900721</v>
      </c>
      <c r="T251" s="34">
        <v>32165.96234750489</v>
      </c>
      <c r="U251" s="34">
        <v>29454.140903614851</v>
      </c>
      <c r="V251" s="34">
        <v>39110.219402386669</v>
      </c>
      <c r="W251" s="34">
        <v>57078.680386748223</v>
      </c>
      <c r="X251" s="34">
        <v>36568.438021619229</v>
      </c>
      <c r="Y251" s="34">
        <v>34811.763875900593</v>
      </c>
      <c r="Z251" s="34">
        <v>34685.167980606609</v>
      </c>
      <c r="AA251" s="34">
        <v>35497.104647842396</v>
      </c>
      <c r="AB251" s="34">
        <v>39455.958099784038</v>
      </c>
      <c r="AC251" s="34">
        <v>51447.465499255224</v>
      </c>
      <c r="AD251" s="34">
        <v>52501.549987175116</v>
      </c>
      <c r="AE251" s="34">
        <v>50409.965824842955</v>
      </c>
      <c r="AF251" s="34">
        <v>57763.640668560831</v>
      </c>
      <c r="AG251" s="34">
        <v>38412.615140896116</v>
      </c>
    </row>
    <row r="252" spans="1:33" x14ac:dyDescent="0.25">
      <c r="A252" s="10" t="s">
        <v>72</v>
      </c>
      <c r="B252" s="11" t="s">
        <v>3</v>
      </c>
      <c r="C252" s="12">
        <v>1427755.2025018125</v>
      </c>
      <c r="D252" s="35">
        <v>49248.60829109171</v>
      </c>
      <c r="E252" s="35">
        <v>44785.75111481674</v>
      </c>
      <c r="F252" s="35">
        <v>36347.368735220087</v>
      </c>
      <c r="G252" s="35">
        <v>49507.474855285771</v>
      </c>
      <c r="H252" s="35">
        <v>53244.332633351558</v>
      </c>
      <c r="I252" s="35">
        <v>55728.434009140568</v>
      </c>
      <c r="J252" s="35">
        <v>32834.861410305668</v>
      </c>
      <c r="K252" s="35">
        <v>30560.656919526722</v>
      </c>
      <c r="L252" s="35">
        <v>45707.219441651578</v>
      </c>
      <c r="M252" s="35">
        <v>41886.892947863693</v>
      </c>
      <c r="N252" s="35">
        <v>46392.094895539049</v>
      </c>
      <c r="O252" s="35">
        <v>54522.265392656511</v>
      </c>
      <c r="P252" s="35">
        <v>51233.306019177398</v>
      </c>
      <c r="Q252" s="35">
        <v>51550.430793056184</v>
      </c>
      <c r="R252" s="35">
        <v>38144.759147877456</v>
      </c>
      <c r="S252" s="35">
        <v>35461.961762093968</v>
      </c>
      <c r="T252" s="35">
        <v>33331.03797664016</v>
      </c>
      <c r="U252" s="35">
        <v>50561.21083198073</v>
      </c>
      <c r="V252" s="35">
        <v>58508.436549594386</v>
      </c>
      <c r="W252" s="35">
        <v>59697.709943779773</v>
      </c>
      <c r="X252" s="35">
        <v>32919.013106211634</v>
      </c>
      <c r="Y252" s="35">
        <v>42443.04371159491</v>
      </c>
      <c r="Z252" s="35">
        <v>36727.728936873609</v>
      </c>
      <c r="AA252" s="35">
        <v>44072.549057802957</v>
      </c>
      <c r="AB252" s="35">
        <v>58004.738663984943</v>
      </c>
      <c r="AC252" s="35">
        <v>60236.94841070773</v>
      </c>
      <c r="AD252" s="35">
        <v>80173.925405295071</v>
      </c>
      <c r="AE252" s="35">
        <v>53085.556815104705</v>
      </c>
      <c r="AF252" s="35">
        <v>57398.738884082981</v>
      </c>
      <c r="AG252" s="35">
        <v>43438.14583950401</v>
      </c>
    </row>
    <row r="253" spans="1:33" x14ac:dyDescent="0.25">
      <c r="A253" s="10" t="s">
        <v>72</v>
      </c>
      <c r="B253" s="11" t="s">
        <v>4</v>
      </c>
      <c r="C253" s="12">
        <v>2786541.6714284574</v>
      </c>
      <c r="D253" s="35">
        <v>87972.29029899188</v>
      </c>
      <c r="E253" s="35">
        <v>92801.107362961804</v>
      </c>
      <c r="F253" s="35">
        <v>84077.846542112951</v>
      </c>
      <c r="G253" s="35">
        <v>88187.112832195067</v>
      </c>
      <c r="H253" s="35">
        <v>108250.67613748182</v>
      </c>
      <c r="I253" s="35">
        <v>115343.90498937911</v>
      </c>
      <c r="J253" s="35">
        <v>89011.479186439537</v>
      </c>
      <c r="K253" s="35">
        <v>81250.510048032069</v>
      </c>
      <c r="L253" s="35">
        <v>78079.540090842973</v>
      </c>
      <c r="M253" s="35">
        <v>79391.423516182069</v>
      </c>
      <c r="N253" s="35">
        <v>91530.223981718882</v>
      </c>
      <c r="O253" s="35">
        <v>89851.419658153638</v>
      </c>
      <c r="P253" s="35">
        <v>118651.81214420596</v>
      </c>
      <c r="Q253" s="35">
        <v>80230.493843075426</v>
      </c>
      <c r="R253" s="35">
        <v>87210.11717710481</v>
      </c>
      <c r="S253" s="35">
        <v>81666.513013435208</v>
      </c>
      <c r="T253" s="35">
        <v>75783.198412459416</v>
      </c>
      <c r="U253" s="35">
        <v>83170.270745857473</v>
      </c>
      <c r="V253" s="35">
        <v>106556.51891970646</v>
      </c>
      <c r="W253" s="35">
        <v>112972.19992058855</v>
      </c>
      <c r="X253" s="35">
        <v>101061.48063560833</v>
      </c>
      <c r="Y253" s="35">
        <v>84584.418309960194</v>
      </c>
      <c r="Z253" s="35">
        <v>76553.556794948425</v>
      </c>
      <c r="AA253" s="35">
        <v>70894.00214686009</v>
      </c>
      <c r="AB253" s="35">
        <v>89257.87765288369</v>
      </c>
      <c r="AC253" s="35">
        <v>96275.846351895103</v>
      </c>
      <c r="AD253" s="35">
        <v>115580.18617875491</v>
      </c>
      <c r="AE253" s="35">
        <v>112379.36582974905</v>
      </c>
      <c r="AF253" s="35">
        <v>119447.53746045231</v>
      </c>
      <c r="AG253" s="35">
        <v>88518.741246420424</v>
      </c>
    </row>
    <row r="254" spans="1:33" ht="15.75" thickBot="1" x14ac:dyDescent="0.3">
      <c r="A254" s="13" t="s">
        <v>72</v>
      </c>
      <c r="B254" s="14" t="s">
        <v>5</v>
      </c>
      <c r="C254" s="15">
        <v>1645920.9797110036</v>
      </c>
      <c r="D254" s="36">
        <v>50781.922766731805</v>
      </c>
      <c r="E254" s="36">
        <v>43415.035201857689</v>
      </c>
      <c r="F254" s="36">
        <v>41583.728607371362</v>
      </c>
      <c r="G254" s="36">
        <v>38102.457277708592</v>
      </c>
      <c r="H254" s="36">
        <v>51008.190663784851</v>
      </c>
      <c r="I254" s="36">
        <v>60149.698982954338</v>
      </c>
      <c r="J254" s="36">
        <v>50452.838483677217</v>
      </c>
      <c r="K254" s="36">
        <v>45345.692580186646</v>
      </c>
      <c r="L254" s="36">
        <v>51809.822480241288</v>
      </c>
      <c r="M254" s="36">
        <v>53777.935833123265</v>
      </c>
      <c r="N254" s="36">
        <v>58001.215829904599</v>
      </c>
      <c r="O254" s="36">
        <v>54078.745874173939</v>
      </c>
      <c r="P254" s="36">
        <v>51499.196755027064</v>
      </c>
      <c r="Q254" s="36">
        <v>48343.121471850347</v>
      </c>
      <c r="R254" s="36">
        <v>45490.138455536267</v>
      </c>
      <c r="S254" s="36">
        <v>63180.917495667571</v>
      </c>
      <c r="T254" s="36">
        <v>33522.283653719329</v>
      </c>
      <c r="U254" s="36">
        <v>48506.733817676461</v>
      </c>
      <c r="V254" s="36">
        <v>70424.839579061256</v>
      </c>
      <c r="W254" s="36">
        <v>64457.622086123338</v>
      </c>
      <c r="X254" s="36">
        <v>51207.938251633925</v>
      </c>
      <c r="Y254" s="36">
        <v>53752.038909673487</v>
      </c>
      <c r="Z254" s="36">
        <v>57247.669243403267</v>
      </c>
      <c r="AA254" s="36">
        <v>40404.356721452241</v>
      </c>
      <c r="AB254" s="36">
        <v>63387.046863101968</v>
      </c>
      <c r="AC254" s="36">
        <v>73990.172892798451</v>
      </c>
      <c r="AD254" s="36">
        <v>74221.660324810364</v>
      </c>
      <c r="AE254" s="36">
        <v>63210.427943319643</v>
      </c>
      <c r="AF254" s="36">
        <v>81566.761085868333</v>
      </c>
      <c r="AG254" s="36">
        <v>63000.769578564861</v>
      </c>
    </row>
    <row r="255" spans="1:33" x14ac:dyDescent="0.25">
      <c r="A255" s="8" t="s">
        <v>79</v>
      </c>
      <c r="B255" s="8" t="s">
        <v>2</v>
      </c>
      <c r="C255" s="9">
        <v>2341973.2997396849</v>
      </c>
      <c r="D255" s="34">
        <v>96233.698179450221</v>
      </c>
      <c r="E255" s="34">
        <v>72695.193682199184</v>
      </c>
      <c r="F255" s="34">
        <v>101890.95604851084</v>
      </c>
      <c r="G255" s="34">
        <v>69911.28446865156</v>
      </c>
      <c r="H255" s="34">
        <v>84958.606701121564</v>
      </c>
      <c r="I255" s="34">
        <v>117724.94596684731</v>
      </c>
      <c r="J255" s="34">
        <v>63304.388851758973</v>
      </c>
      <c r="K255" s="34">
        <v>61561.755790706266</v>
      </c>
      <c r="L255" s="34">
        <v>78558.660400146327</v>
      </c>
      <c r="M255" s="34">
        <v>62650.219887619933</v>
      </c>
      <c r="N255" s="34">
        <v>71683.109881434561</v>
      </c>
      <c r="O255" s="34">
        <v>76857.538369609407</v>
      </c>
      <c r="P255" s="34">
        <v>95538.51182948261</v>
      </c>
      <c r="Q255" s="34">
        <v>59269.606439204028</v>
      </c>
      <c r="R255" s="34">
        <v>62972.4576763968</v>
      </c>
      <c r="S255" s="34">
        <v>65832.096472642152</v>
      </c>
      <c r="T255" s="34">
        <v>58729.850850524439</v>
      </c>
      <c r="U255" s="34">
        <v>77270.315081700435</v>
      </c>
      <c r="V255" s="34">
        <v>83160.685435100779</v>
      </c>
      <c r="W255" s="34">
        <v>90084.007296498021</v>
      </c>
      <c r="X255" s="34">
        <v>75366.686537431073</v>
      </c>
      <c r="Y255" s="34">
        <v>85834.983089691872</v>
      </c>
      <c r="Z255" s="34">
        <v>69445.328760710574</v>
      </c>
      <c r="AA255" s="34">
        <v>67909.106494098232</v>
      </c>
      <c r="AB255" s="34">
        <v>55202.894190744228</v>
      </c>
      <c r="AC255" s="34">
        <v>81700.080559211798</v>
      </c>
      <c r="AD255" s="34">
        <v>97719.927702284622</v>
      </c>
      <c r="AE255" s="34">
        <v>98165.046645539871</v>
      </c>
      <c r="AF255" s="34">
        <v>99432.852328524954</v>
      </c>
      <c r="AG255" s="34">
        <v>60308.504121842358</v>
      </c>
    </row>
    <row r="256" spans="1:33" x14ac:dyDescent="0.25">
      <c r="A256" s="10" t="s">
        <v>79</v>
      </c>
      <c r="B256" s="11" t="s">
        <v>3</v>
      </c>
      <c r="C256" s="12">
        <v>1803072.3132873201</v>
      </c>
      <c r="D256" s="35">
        <v>67432.507039839373</v>
      </c>
      <c r="E256" s="35">
        <v>65099.975539293024</v>
      </c>
      <c r="F256" s="35">
        <v>42630.690867795405</v>
      </c>
      <c r="G256" s="35">
        <v>69037.540540843329</v>
      </c>
      <c r="H256" s="35">
        <v>56640.808820682825</v>
      </c>
      <c r="I256" s="35">
        <v>50869.507536848381</v>
      </c>
      <c r="J256" s="35">
        <v>53562.889514590424</v>
      </c>
      <c r="K256" s="35">
        <v>86020.264812913127</v>
      </c>
      <c r="L256" s="35">
        <v>73652.954655239475</v>
      </c>
      <c r="M256" s="35">
        <v>32005.205776543895</v>
      </c>
      <c r="N256" s="35">
        <v>72207.900900257766</v>
      </c>
      <c r="O256" s="35">
        <v>86132.247518437754</v>
      </c>
      <c r="P256" s="35">
        <v>80601.897611283217</v>
      </c>
      <c r="Q256" s="35">
        <v>51512.169208965774</v>
      </c>
      <c r="R256" s="35">
        <v>63538.638045287546</v>
      </c>
      <c r="S256" s="35">
        <v>53039.690606257027</v>
      </c>
      <c r="T256" s="35">
        <v>66610.947307685434</v>
      </c>
      <c r="U256" s="35">
        <v>87025.42880842516</v>
      </c>
      <c r="V256" s="35">
        <v>75410.238508730996</v>
      </c>
      <c r="W256" s="35">
        <v>50572.611557770288</v>
      </c>
      <c r="X256" s="35">
        <v>63130.725534876663</v>
      </c>
      <c r="Y256" s="35">
        <v>35671.556332373271</v>
      </c>
      <c r="Z256" s="35">
        <v>32953.271994009418</v>
      </c>
      <c r="AA256" s="35">
        <v>21413.599115825444</v>
      </c>
      <c r="AB256" s="35">
        <v>40223.327617745956</v>
      </c>
      <c r="AC256" s="35">
        <v>66627.808605678423</v>
      </c>
      <c r="AD256" s="35">
        <v>30832.426142203189</v>
      </c>
      <c r="AE256" s="35">
        <v>99549.69552190791</v>
      </c>
      <c r="AF256" s="35">
        <v>68841.157844625501</v>
      </c>
      <c r="AG256" s="35">
        <v>60224.629400383834</v>
      </c>
    </row>
    <row r="257" spans="1:33" x14ac:dyDescent="0.25">
      <c r="A257" s="10" t="s">
        <v>79</v>
      </c>
      <c r="B257" s="11" t="s">
        <v>4</v>
      </c>
      <c r="C257" s="12">
        <v>2727825.3988084397</v>
      </c>
      <c r="D257" s="35">
        <v>111112.71918512302</v>
      </c>
      <c r="E257" s="35">
        <v>102316.18373113134</v>
      </c>
      <c r="F257" s="35">
        <v>73989.333394745467</v>
      </c>
      <c r="G257" s="35">
        <v>93215.918344555233</v>
      </c>
      <c r="H257" s="35">
        <v>124803.17513589564</v>
      </c>
      <c r="I257" s="35">
        <v>110875.44415677097</v>
      </c>
      <c r="J257" s="35">
        <v>77594.929529538917</v>
      </c>
      <c r="K257" s="35">
        <v>63258.357719035033</v>
      </c>
      <c r="L257" s="35">
        <v>85444.691388313644</v>
      </c>
      <c r="M257" s="35">
        <v>87269.934390824739</v>
      </c>
      <c r="N257" s="35">
        <v>96214.054614179855</v>
      </c>
      <c r="O257" s="35">
        <v>99405.351547991508</v>
      </c>
      <c r="P257" s="35">
        <v>105859.85868944974</v>
      </c>
      <c r="Q257" s="35">
        <v>75855.588737166589</v>
      </c>
      <c r="R257" s="35">
        <v>95766.140208050012</v>
      </c>
      <c r="S257" s="35">
        <v>67142.986900997988</v>
      </c>
      <c r="T257" s="35">
        <v>72629.513339111247</v>
      </c>
      <c r="U257" s="35">
        <v>105336.86933091738</v>
      </c>
      <c r="V257" s="35">
        <v>92564.135325127296</v>
      </c>
      <c r="W257" s="35">
        <v>102297.1540054131</v>
      </c>
      <c r="X257" s="35">
        <v>96692.720818453119</v>
      </c>
      <c r="Y257" s="35">
        <v>71055.981708600521</v>
      </c>
      <c r="Z257" s="35">
        <v>66579.969498713457</v>
      </c>
      <c r="AA257" s="35">
        <v>67020.277979987251</v>
      </c>
      <c r="AB257" s="35">
        <v>64723.58694502704</v>
      </c>
      <c r="AC257" s="35">
        <v>89585.535842878002</v>
      </c>
      <c r="AD257" s="35">
        <v>89276.049269128038</v>
      </c>
      <c r="AE257" s="35">
        <v>158629.22845182149</v>
      </c>
      <c r="AF257" s="35">
        <v>106881.79671853816</v>
      </c>
      <c r="AG257" s="35">
        <v>74427.911900953986</v>
      </c>
    </row>
    <row r="258" spans="1:33" ht="15.75" thickBot="1" x14ac:dyDescent="0.3">
      <c r="A258" s="13" t="s">
        <v>79</v>
      </c>
      <c r="B258" s="14" t="s">
        <v>5</v>
      </c>
      <c r="C258" s="15">
        <v>3937514.1271671955</v>
      </c>
      <c r="D258" s="36">
        <v>164456.29532576975</v>
      </c>
      <c r="E258" s="36">
        <v>163536.71515820886</v>
      </c>
      <c r="F258" s="36">
        <v>106680.43984234419</v>
      </c>
      <c r="G258" s="36">
        <v>117082.59036025747</v>
      </c>
      <c r="H258" s="36">
        <v>198815.32497939028</v>
      </c>
      <c r="I258" s="36">
        <v>127670.96509483444</v>
      </c>
      <c r="J258" s="36">
        <v>82063.174119102754</v>
      </c>
      <c r="K258" s="36">
        <v>121707.78931080048</v>
      </c>
      <c r="L258" s="36">
        <v>120560.93004225439</v>
      </c>
      <c r="M258" s="36">
        <v>117913.53629480046</v>
      </c>
      <c r="N258" s="36">
        <v>145693.62845111534</v>
      </c>
      <c r="O258" s="36">
        <v>150619.41439953542</v>
      </c>
      <c r="P258" s="36">
        <v>179828.42580551066</v>
      </c>
      <c r="Q258" s="36">
        <v>129170.05311230067</v>
      </c>
      <c r="R258" s="36">
        <v>104813.48898207824</v>
      </c>
      <c r="S258" s="36">
        <v>95936.001150949931</v>
      </c>
      <c r="T258" s="36">
        <v>134396.73381635139</v>
      </c>
      <c r="U258" s="36">
        <v>124266.48727368578</v>
      </c>
      <c r="V258" s="36">
        <v>180251.4080619684</v>
      </c>
      <c r="W258" s="36">
        <v>130447.95563230172</v>
      </c>
      <c r="X258" s="36">
        <v>97735.491511641128</v>
      </c>
      <c r="Y258" s="36">
        <v>137529.2153349263</v>
      </c>
      <c r="Z258" s="36">
        <v>97984.313655373728</v>
      </c>
      <c r="AA258" s="36">
        <v>144044.81628655459</v>
      </c>
      <c r="AB258" s="36">
        <v>94595.500703879981</v>
      </c>
      <c r="AC258" s="36">
        <v>122474.07534132586</v>
      </c>
      <c r="AD258" s="36">
        <v>133505.52891366635</v>
      </c>
      <c r="AE258" s="36">
        <v>193711.83970407944</v>
      </c>
      <c r="AF258" s="36">
        <v>121548.89398265064</v>
      </c>
      <c r="AG258" s="36">
        <v>98473.094519537131</v>
      </c>
    </row>
    <row r="259" spans="1:33" x14ac:dyDescent="0.25">
      <c r="A259" s="8" t="s">
        <v>86</v>
      </c>
      <c r="B259" s="8" t="s">
        <v>2</v>
      </c>
      <c r="C259" s="9">
        <v>2834336.0277717579</v>
      </c>
      <c r="D259" s="34">
        <v>98659.318619387996</v>
      </c>
      <c r="E259" s="34">
        <v>90139.093551655096</v>
      </c>
      <c r="F259" s="34">
        <v>95228.865790360127</v>
      </c>
      <c r="G259" s="34">
        <v>88534.582267965205</v>
      </c>
      <c r="H259" s="34">
        <v>105109.97205798452</v>
      </c>
      <c r="I259" s="34">
        <v>112498.70997239448</v>
      </c>
      <c r="J259" s="34">
        <v>97568.650493889771</v>
      </c>
      <c r="K259" s="34">
        <v>79660.802190625211</v>
      </c>
      <c r="L259" s="34">
        <v>74025.850226088121</v>
      </c>
      <c r="M259" s="34">
        <v>92051.858873055826</v>
      </c>
      <c r="N259" s="34">
        <v>90869.366455382013</v>
      </c>
      <c r="O259" s="34">
        <v>93187.45756184934</v>
      </c>
      <c r="P259" s="34">
        <v>100528.3757258766</v>
      </c>
      <c r="Q259" s="34">
        <v>82675.5207528998</v>
      </c>
      <c r="R259" s="34">
        <v>81331.283246144347</v>
      </c>
      <c r="S259" s="34">
        <v>78942.530525569076</v>
      </c>
      <c r="T259" s="34">
        <v>84665.948410966463</v>
      </c>
      <c r="U259" s="34">
        <v>85346.895236000186</v>
      </c>
      <c r="V259" s="34">
        <v>96774.605576032554</v>
      </c>
      <c r="W259" s="34">
        <v>97703.775551516446</v>
      </c>
      <c r="X259" s="34">
        <v>97258.939515681835</v>
      </c>
      <c r="Y259" s="34">
        <v>101517.02097571974</v>
      </c>
      <c r="Z259" s="34">
        <v>85315.21295366557</v>
      </c>
      <c r="AA259" s="34">
        <v>76603.610108774985</v>
      </c>
      <c r="AB259" s="34">
        <v>87793.06128972274</v>
      </c>
      <c r="AC259" s="34">
        <v>98719.892772596737</v>
      </c>
      <c r="AD259" s="34">
        <v>119159.49621031011</v>
      </c>
      <c r="AE259" s="34">
        <v>115384.04151372059</v>
      </c>
      <c r="AF259" s="34">
        <v>132275.12150401302</v>
      </c>
      <c r="AG259" s="34">
        <v>94806.167841908988</v>
      </c>
    </row>
    <row r="260" spans="1:33" x14ac:dyDescent="0.25">
      <c r="A260" s="10" t="s">
        <v>86</v>
      </c>
      <c r="B260" s="11" t="s">
        <v>3</v>
      </c>
      <c r="C260" s="12">
        <v>1223754.4143069093</v>
      </c>
      <c r="D260" s="35">
        <v>35359.520586535677</v>
      </c>
      <c r="E260" s="35">
        <v>41624.359088266792</v>
      </c>
      <c r="F260" s="35">
        <v>23293.470589996017</v>
      </c>
      <c r="G260" s="35">
        <v>67924.38467805284</v>
      </c>
      <c r="H260" s="35">
        <v>40720.340108224045</v>
      </c>
      <c r="I260" s="35">
        <v>51504.168569126712</v>
      </c>
      <c r="J260" s="35">
        <v>23521.964058344671</v>
      </c>
      <c r="K260" s="35">
        <v>47059.4077152522</v>
      </c>
      <c r="L260" s="35">
        <v>37845.054189041446</v>
      </c>
      <c r="M260" s="35">
        <v>39466.273721218888</v>
      </c>
      <c r="N260" s="35">
        <v>31247.378258278728</v>
      </c>
      <c r="O260" s="35">
        <v>58587.716263265305</v>
      </c>
      <c r="P260" s="35">
        <v>44466.069393327554</v>
      </c>
      <c r="Q260" s="35">
        <v>30161.33587749218</v>
      </c>
      <c r="R260" s="35">
        <v>38719.854775298554</v>
      </c>
      <c r="S260" s="35">
        <v>28675.325687374519</v>
      </c>
      <c r="T260" s="35">
        <v>33804.27437375507</v>
      </c>
      <c r="U260" s="35">
        <v>40357.742238857812</v>
      </c>
      <c r="V260" s="35">
        <v>49875.89200784015</v>
      </c>
      <c r="W260" s="35">
        <v>43972.463042656302</v>
      </c>
      <c r="X260" s="35">
        <v>34725.242732426239</v>
      </c>
      <c r="Y260" s="35">
        <v>32998.136491695615</v>
      </c>
      <c r="Z260" s="35">
        <v>41057.503485675566</v>
      </c>
      <c r="AA260" s="35">
        <v>28537.291448876666</v>
      </c>
      <c r="AB260" s="35">
        <v>37150.10881733214</v>
      </c>
      <c r="AC260" s="35">
        <v>45668.203551349456</v>
      </c>
      <c r="AD260" s="35">
        <v>47915.830838703703</v>
      </c>
      <c r="AE260" s="35">
        <v>58450.224071316457</v>
      </c>
      <c r="AF260" s="35">
        <v>55128.552395058374</v>
      </c>
      <c r="AG260" s="35">
        <v>33936.325252269708</v>
      </c>
    </row>
    <row r="261" spans="1:33" x14ac:dyDescent="0.25">
      <c r="A261" s="10" t="s">
        <v>86</v>
      </c>
      <c r="B261" s="11" t="s">
        <v>4</v>
      </c>
      <c r="C261" s="12">
        <v>1531349.3674473304</v>
      </c>
      <c r="D261" s="35">
        <v>47770.999152368277</v>
      </c>
      <c r="E261" s="35">
        <v>47793.027638563522</v>
      </c>
      <c r="F261" s="35">
        <v>47424.196516955417</v>
      </c>
      <c r="G261" s="35">
        <v>51578.057676845638</v>
      </c>
      <c r="H261" s="35">
        <v>60104.458614793504</v>
      </c>
      <c r="I261" s="35">
        <v>60481.581709188184</v>
      </c>
      <c r="J261" s="35">
        <v>48916.569090833938</v>
      </c>
      <c r="K261" s="35">
        <v>45878.5884347717</v>
      </c>
      <c r="L261" s="35">
        <v>48261.628402548828</v>
      </c>
      <c r="M261" s="35">
        <v>49669.162100143199</v>
      </c>
      <c r="N261" s="35">
        <v>48929.215653102758</v>
      </c>
      <c r="O261" s="35">
        <v>52142.548065753297</v>
      </c>
      <c r="P261" s="35">
        <v>58229.476685280388</v>
      </c>
      <c r="Q261" s="35">
        <v>44151.214051013856</v>
      </c>
      <c r="R261" s="35">
        <v>43361.614853721294</v>
      </c>
      <c r="S261" s="35">
        <v>45293.295102816497</v>
      </c>
      <c r="T261" s="35">
        <v>46173.803526282245</v>
      </c>
      <c r="U261" s="35">
        <v>52752.461777284203</v>
      </c>
      <c r="V261" s="35">
        <v>56418.655850857263</v>
      </c>
      <c r="W261" s="35">
        <v>56183.242049877226</v>
      </c>
      <c r="X261" s="35">
        <v>52064.301047080597</v>
      </c>
      <c r="Y261" s="35">
        <v>46647.4889905612</v>
      </c>
      <c r="Z261" s="35">
        <v>45479.134379702773</v>
      </c>
      <c r="AA261" s="35">
        <v>49421.122597203255</v>
      </c>
      <c r="AB261" s="35">
        <v>49073.871465149103</v>
      </c>
      <c r="AC261" s="35">
        <v>51867.155482772141</v>
      </c>
      <c r="AD261" s="35">
        <v>58160.85148408643</v>
      </c>
      <c r="AE261" s="35">
        <v>56784.795992617655</v>
      </c>
      <c r="AF261" s="35">
        <v>59706.908062911432</v>
      </c>
      <c r="AG261" s="35">
        <v>50629.940992244665</v>
      </c>
    </row>
    <row r="262" spans="1:33" ht="15.75" thickBot="1" x14ac:dyDescent="0.3">
      <c r="A262" s="13" t="s">
        <v>86</v>
      </c>
      <c r="B262" s="14" t="s">
        <v>5</v>
      </c>
      <c r="C262" s="15">
        <v>1318830.0902630433</v>
      </c>
      <c r="D262" s="36">
        <v>40670.368118305953</v>
      </c>
      <c r="E262" s="36">
        <v>43618.320232507205</v>
      </c>
      <c r="F262" s="36">
        <v>35557.004056615129</v>
      </c>
      <c r="G262" s="36">
        <v>45707.301823518173</v>
      </c>
      <c r="H262" s="36">
        <v>46465.257515534569</v>
      </c>
      <c r="I262" s="36">
        <v>50507.49432024562</v>
      </c>
      <c r="J262" s="36">
        <v>42020.80177714803</v>
      </c>
      <c r="K262" s="36">
        <v>43800.587835131933</v>
      </c>
      <c r="L262" s="36">
        <v>49577.909863533067</v>
      </c>
      <c r="M262" s="36">
        <v>39791.310760506756</v>
      </c>
      <c r="N262" s="36">
        <v>49778.601059684443</v>
      </c>
      <c r="O262" s="36">
        <v>49427.893391243175</v>
      </c>
      <c r="P262" s="36">
        <v>48816.470222740791</v>
      </c>
      <c r="Q262" s="36">
        <v>42882.360657762198</v>
      </c>
      <c r="R262" s="36">
        <v>34296.050799666365</v>
      </c>
      <c r="S262" s="36">
        <v>37117.911524838019</v>
      </c>
      <c r="T262" s="36">
        <v>41760.322477003931</v>
      </c>
      <c r="U262" s="36">
        <v>37659.340784600281</v>
      </c>
      <c r="V262" s="36">
        <v>42668.64894118574</v>
      </c>
      <c r="W262" s="36">
        <v>53998.617668597071</v>
      </c>
      <c r="X262" s="36">
        <v>36990.698186202637</v>
      </c>
      <c r="Y262" s="36">
        <v>37002.439290410592</v>
      </c>
      <c r="Z262" s="36">
        <v>39013.307600534274</v>
      </c>
      <c r="AA262" s="36">
        <v>39413.105485060434</v>
      </c>
      <c r="AB262" s="36">
        <v>38400.14245764396</v>
      </c>
      <c r="AC262" s="36">
        <v>51913.681001164863</v>
      </c>
      <c r="AD262" s="36">
        <v>50705.301909076858</v>
      </c>
      <c r="AE262" s="36">
        <v>60827.629669140828</v>
      </c>
      <c r="AF262" s="36">
        <v>55241.22606532486</v>
      </c>
      <c r="AG262" s="36">
        <v>33199.984768115799</v>
      </c>
    </row>
    <row r="263" spans="1:33" x14ac:dyDescent="0.25">
      <c r="A263" s="8" t="s">
        <v>87</v>
      </c>
      <c r="B263" s="8" t="s">
        <v>2</v>
      </c>
      <c r="C263" s="9">
        <v>1096363.1301334535</v>
      </c>
      <c r="D263" s="34">
        <v>13791.264455565506</v>
      </c>
      <c r="E263" s="34">
        <v>48289.157926652792</v>
      </c>
      <c r="F263" s="34">
        <v>33331.152901213325</v>
      </c>
      <c r="G263" s="34">
        <v>34040.895694753737</v>
      </c>
      <c r="H263" s="34">
        <v>37220.168502405308</v>
      </c>
      <c r="I263" s="34">
        <v>43076.833740421971</v>
      </c>
      <c r="J263" s="34">
        <v>34366.620663133319</v>
      </c>
      <c r="K263" s="34">
        <v>35950.266278457311</v>
      </c>
      <c r="L263" s="34">
        <v>28828.971814667042</v>
      </c>
      <c r="M263" s="34">
        <v>34558.463931792023</v>
      </c>
      <c r="N263" s="34">
        <v>32330.918981806739</v>
      </c>
      <c r="O263" s="34">
        <v>40090.48088692021</v>
      </c>
      <c r="P263" s="34">
        <v>47452.766551306107</v>
      </c>
      <c r="Q263" s="34">
        <v>29164.82866959113</v>
      </c>
      <c r="R263" s="34">
        <v>27408.733928108457</v>
      </c>
      <c r="S263" s="34">
        <v>32602.864890271634</v>
      </c>
      <c r="T263" s="34">
        <v>42194.200103598341</v>
      </c>
      <c r="U263" s="34">
        <v>32456.166492108558</v>
      </c>
      <c r="V263" s="34">
        <v>38398.497244968792</v>
      </c>
      <c r="W263" s="34">
        <v>47759.822069343129</v>
      </c>
      <c r="X263" s="34">
        <v>34011.300647408483</v>
      </c>
      <c r="Y263" s="34">
        <v>31139.759737140914</v>
      </c>
      <c r="Z263" s="34">
        <v>35788.722043811118</v>
      </c>
      <c r="AA263" s="34">
        <v>32595.293582683542</v>
      </c>
      <c r="AB263" s="34">
        <v>32844.670506815659</v>
      </c>
      <c r="AC263" s="34">
        <v>40799.588712094075</v>
      </c>
      <c r="AD263" s="34">
        <v>45660.423398289568</v>
      </c>
      <c r="AE263" s="34">
        <v>46894.957601245733</v>
      </c>
      <c r="AF263" s="34">
        <v>50184.821475834993</v>
      </c>
      <c r="AG263" s="34">
        <v>33130.516701043925</v>
      </c>
    </row>
    <row r="264" spans="1:33" x14ac:dyDescent="0.25">
      <c r="A264" s="10" t="s">
        <v>87</v>
      </c>
      <c r="B264" s="11" t="s">
        <v>3</v>
      </c>
      <c r="C264" s="12">
        <v>1353264.1148413394</v>
      </c>
      <c r="D264" s="35">
        <v>41945.067477162782</v>
      </c>
      <c r="E264" s="35">
        <v>39143.5845291183</v>
      </c>
      <c r="F264" s="35">
        <v>51822.048587361343</v>
      </c>
      <c r="G264" s="35">
        <v>31999.776738670909</v>
      </c>
      <c r="H264" s="35">
        <v>54737.687433457533</v>
      </c>
      <c r="I264" s="35">
        <v>50769.489170630295</v>
      </c>
      <c r="J264" s="35">
        <v>45465.312215989659</v>
      </c>
      <c r="K264" s="35">
        <v>27590.19318533305</v>
      </c>
      <c r="L264" s="35">
        <v>38768.341349849376</v>
      </c>
      <c r="M264" s="35">
        <v>32583.692695908914</v>
      </c>
      <c r="N264" s="35">
        <v>47842.684327601542</v>
      </c>
      <c r="O264" s="35">
        <v>57053.646561940332</v>
      </c>
      <c r="P264" s="35">
        <v>44346.216594007528</v>
      </c>
      <c r="Q264" s="35">
        <v>41387.752865558228</v>
      </c>
      <c r="R264" s="35">
        <v>46912.228371444777</v>
      </c>
      <c r="S264" s="35">
        <v>39308.972648389987</v>
      </c>
      <c r="T264" s="35">
        <v>49473.905114778812</v>
      </c>
      <c r="U264" s="35">
        <v>47584.552751454707</v>
      </c>
      <c r="V264" s="35">
        <v>51688.582082849804</v>
      </c>
      <c r="W264" s="35">
        <v>53484.271436610186</v>
      </c>
      <c r="X264" s="35">
        <v>46912.81951245886</v>
      </c>
      <c r="Y264" s="35">
        <v>29448.740533590262</v>
      </c>
      <c r="Z264" s="35">
        <v>41925.691188368044</v>
      </c>
      <c r="AA264" s="35">
        <v>41911.241074690617</v>
      </c>
      <c r="AB264" s="35">
        <v>48286.696911508057</v>
      </c>
      <c r="AC264" s="35">
        <v>42864.291754052087</v>
      </c>
      <c r="AD264" s="35">
        <v>51463.751450495954</v>
      </c>
      <c r="AE264" s="35">
        <v>57065.338017552072</v>
      </c>
      <c r="AF264" s="35">
        <v>55373.820846938979</v>
      </c>
      <c r="AG264" s="35">
        <v>44103.717413566279</v>
      </c>
    </row>
    <row r="265" spans="1:33" x14ac:dyDescent="0.25">
      <c r="A265" s="10" t="s">
        <v>87</v>
      </c>
      <c r="B265" s="11" t="s">
        <v>4</v>
      </c>
      <c r="C265" s="12">
        <v>1426287.4685909662</v>
      </c>
      <c r="D265" s="35">
        <v>38934.111387145844</v>
      </c>
      <c r="E265" s="35">
        <v>60166.773112831448</v>
      </c>
      <c r="F265" s="35">
        <v>44041.694686822477</v>
      </c>
      <c r="G265" s="35">
        <v>44088.051580541462</v>
      </c>
      <c r="H265" s="35">
        <v>55279.353562441545</v>
      </c>
      <c r="I265" s="35">
        <v>53825.085548515548</v>
      </c>
      <c r="J265" s="35">
        <v>44624.449067359157</v>
      </c>
      <c r="K265" s="35">
        <v>39861.853982391498</v>
      </c>
      <c r="L265" s="35">
        <v>43725.239218307317</v>
      </c>
      <c r="M265" s="35">
        <v>39952.496600863429</v>
      </c>
      <c r="N265" s="35">
        <v>48195.935541259714</v>
      </c>
      <c r="O265" s="35">
        <v>49775.279987635455</v>
      </c>
      <c r="P265" s="35">
        <v>52537.498762619674</v>
      </c>
      <c r="Q265" s="35">
        <v>35194.799754910317</v>
      </c>
      <c r="R265" s="35">
        <v>41544.646011576588</v>
      </c>
      <c r="S265" s="35">
        <v>37522.924695581365</v>
      </c>
      <c r="T265" s="35">
        <v>45779.09804954737</v>
      </c>
      <c r="U265" s="35">
        <v>42476.1277975103</v>
      </c>
      <c r="V265" s="35">
        <v>57432.280789553057</v>
      </c>
      <c r="W265" s="35">
        <v>59642.04673872744</v>
      </c>
      <c r="X265" s="35">
        <v>45466.956256542966</v>
      </c>
      <c r="Y265" s="35">
        <v>37783.282225094488</v>
      </c>
      <c r="Z265" s="35">
        <v>40580.811659312203</v>
      </c>
      <c r="AA265" s="35">
        <v>40904.805981290083</v>
      </c>
      <c r="AB265" s="35">
        <v>48783.693986962498</v>
      </c>
      <c r="AC265" s="35">
        <v>50662.758251887011</v>
      </c>
      <c r="AD265" s="35">
        <v>58538.81414817035</v>
      </c>
      <c r="AE265" s="35">
        <v>65186.052048051322</v>
      </c>
      <c r="AF265" s="35">
        <v>56370.54212908425</v>
      </c>
      <c r="AG265" s="35">
        <v>47410.005028430191</v>
      </c>
    </row>
    <row r="266" spans="1:33" ht="15.75" thickBot="1" x14ac:dyDescent="0.3">
      <c r="A266" s="13" t="s">
        <v>87</v>
      </c>
      <c r="B266" s="14" t="s">
        <v>5</v>
      </c>
      <c r="C266" s="15">
        <v>2837171.1906900634</v>
      </c>
      <c r="D266" s="36">
        <v>80547.377017617124</v>
      </c>
      <c r="E266" s="36">
        <v>88976.318217411172</v>
      </c>
      <c r="F266" s="36">
        <v>72881.024486567083</v>
      </c>
      <c r="G266" s="36">
        <v>119095.64346743646</v>
      </c>
      <c r="H266" s="36">
        <v>95918.223931431668</v>
      </c>
      <c r="I266" s="36">
        <v>122708.29773866512</v>
      </c>
      <c r="J266" s="36">
        <v>103189.92360981152</v>
      </c>
      <c r="K266" s="36">
        <v>65589.774891634021</v>
      </c>
      <c r="L266" s="36">
        <v>108407.2321932636</v>
      </c>
      <c r="M266" s="36">
        <v>76727.106890288531</v>
      </c>
      <c r="N266" s="36">
        <v>83036.354596940349</v>
      </c>
      <c r="O266" s="36">
        <v>108518.19837115859</v>
      </c>
      <c r="P266" s="36">
        <v>119563.59963698305</v>
      </c>
      <c r="Q266" s="36">
        <v>82635.510346015115</v>
      </c>
      <c r="R266" s="36">
        <v>76315.511959298659</v>
      </c>
      <c r="S266" s="36">
        <v>92182.398089759372</v>
      </c>
      <c r="T266" s="36">
        <v>86654.614833351225</v>
      </c>
      <c r="U266" s="36">
        <v>90994.997894896485</v>
      </c>
      <c r="V266" s="36">
        <v>96399.574100068698</v>
      </c>
      <c r="W266" s="36">
        <v>109714.84131241369</v>
      </c>
      <c r="X266" s="36">
        <v>102812.2660566495</v>
      </c>
      <c r="Y266" s="36">
        <v>68405.885375894679</v>
      </c>
      <c r="Z266" s="36">
        <v>92387.459328814235</v>
      </c>
      <c r="AA266" s="36">
        <v>74857.393319243522</v>
      </c>
      <c r="AB266" s="36">
        <v>100705.38112952486</v>
      </c>
      <c r="AC266" s="36">
        <v>106798.60403230342</v>
      </c>
      <c r="AD266" s="36">
        <v>98018.757796735925</v>
      </c>
      <c r="AE266" s="36">
        <v>107531.42431631399</v>
      </c>
      <c r="AF266" s="36">
        <v>115320.4694271117</v>
      </c>
      <c r="AG266" s="36">
        <v>90277.026322460355</v>
      </c>
    </row>
    <row r="267" spans="1:33" x14ac:dyDescent="0.25">
      <c r="A267" s="8" t="s">
        <v>92</v>
      </c>
      <c r="B267" s="8" t="s">
        <v>2</v>
      </c>
      <c r="C267" s="9">
        <v>1977343.7090922976</v>
      </c>
      <c r="D267" s="34">
        <v>62219.561361031985</v>
      </c>
      <c r="E267" s="34">
        <v>56708.600007203517</v>
      </c>
      <c r="F267" s="34">
        <v>60437.742950221938</v>
      </c>
      <c r="G267" s="34">
        <v>66939.241287195196</v>
      </c>
      <c r="H267" s="34">
        <v>66786.503979440386</v>
      </c>
      <c r="I267" s="34">
        <v>83336.914990346471</v>
      </c>
      <c r="J267" s="34">
        <v>62549.636917679294</v>
      </c>
      <c r="K267" s="34">
        <v>55899.929547096624</v>
      </c>
      <c r="L267" s="34">
        <v>52010.182281976857</v>
      </c>
      <c r="M267" s="34">
        <v>60562.471618148433</v>
      </c>
      <c r="N267" s="34">
        <v>62350.071048996899</v>
      </c>
      <c r="O267" s="34">
        <v>69132.937262850377</v>
      </c>
      <c r="P267" s="34">
        <v>81904.641416392682</v>
      </c>
      <c r="Q267" s="34">
        <v>59832.057550569669</v>
      </c>
      <c r="R267" s="34">
        <v>54526.017841443288</v>
      </c>
      <c r="S267" s="34">
        <v>53396.190456000855</v>
      </c>
      <c r="T267" s="34">
        <v>64404.712230526973</v>
      </c>
      <c r="U267" s="34">
        <v>60880.05994165111</v>
      </c>
      <c r="V267" s="34">
        <v>74532.191610190785</v>
      </c>
      <c r="W267" s="34">
        <v>80752.661116190677</v>
      </c>
      <c r="X267" s="34">
        <v>56673.87366118739</v>
      </c>
      <c r="Y267" s="34">
        <v>64044.536293202451</v>
      </c>
      <c r="Z267" s="34">
        <v>64922.130763588553</v>
      </c>
      <c r="AA267" s="34">
        <v>60382.461227786887</v>
      </c>
      <c r="AB267" s="34">
        <v>68410.269532261475</v>
      </c>
      <c r="AC267" s="34">
        <v>65976.149782880952</v>
      </c>
      <c r="AD267" s="34">
        <v>82812.928161157732</v>
      </c>
      <c r="AE267" s="34">
        <v>70058.889448669244</v>
      </c>
      <c r="AF267" s="34">
        <v>85964.124256934927</v>
      </c>
      <c r="AG267" s="34">
        <v>68936.020549473847</v>
      </c>
    </row>
    <row r="268" spans="1:33" x14ac:dyDescent="0.25">
      <c r="A268" s="10" t="s">
        <v>92</v>
      </c>
      <c r="B268" s="11" t="s">
        <v>3</v>
      </c>
      <c r="C268" s="12">
        <v>2394513.4516168288</v>
      </c>
      <c r="D268" s="35">
        <v>63317.234065918557</v>
      </c>
      <c r="E268" s="35">
        <v>53942.202907109604</v>
      </c>
      <c r="F268" s="35">
        <v>77449.928145513666</v>
      </c>
      <c r="G268" s="35">
        <v>87069.879936881291</v>
      </c>
      <c r="H268" s="35">
        <v>93074.26833570686</v>
      </c>
      <c r="I268" s="35">
        <v>71558.024018908647</v>
      </c>
      <c r="J268" s="35">
        <v>75466.41055732315</v>
      </c>
      <c r="K268" s="35">
        <v>61201.857677835447</v>
      </c>
      <c r="L268" s="35">
        <v>92991.239646207192</v>
      </c>
      <c r="M268" s="35">
        <v>97686.666053531953</v>
      </c>
      <c r="N268" s="35">
        <v>87705.16142327647</v>
      </c>
      <c r="O268" s="35">
        <v>79703.971546013694</v>
      </c>
      <c r="P268" s="35">
        <v>95204.643793541487</v>
      </c>
      <c r="Q268" s="35">
        <v>60671.044624750437</v>
      </c>
      <c r="R268" s="35">
        <v>76152.832395893289</v>
      </c>
      <c r="S268" s="35">
        <v>65226.561389608854</v>
      </c>
      <c r="T268" s="35">
        <v>92230.154993681397</v>
      </c>
      <c r="U268" s="35">
        <v>80983.600467615383</v>
      </c>
      <c r="V268" s="35">
        <v>122141.64292806381</v>
      </c>
      <c r="W268" s="35">
        <v>107743.65608383213</v>
      </c>
      <c r="X268" s="35">
        <v>56772.494115741261</v>
      </c>
      <c r="Y268" s="35">
        <v>58239.235119855781</v>
      </c>
      <c r="Z268" s="35">
        <v>71575.70086890753</v>
      </c>
      <c r="AA268" s="35">
        <v>69887.194155549703</v>
      </c>
      <c r="AB268" s="35">
        <v>83302.050608705365</v>
      </c>
      <c r="AC268" s="35">
        <v>92939.679250071858</v>
      </c>
      <c r="AD268" s="35">
        <v>75041.606098736331</v>
      </c>
      <c r="AE268" s="35">
        <v>96000.994636906631</v>
      </c>
      <c r="AF268" s="35">
        <v>98890.704564098851</v>
      </c>
      <c r="AG268" s="35">
        <v>50342.811207041785</v>
      </c>
    </row>
    <row r="269" spans="1:33" x14ac:dyDescent="0.25">
      <c r="A269" s="10" t="s">
        <v>92</v>
      </c>
      <c r="B269" s="11" t="s">
        <v>4</v>
      </c>
      <c r="C269" s="12">
        <v>2148247.9797958964</v>
      </c>
      <c r="D269" s="35">
        <v>72650.46783852893</v>
      </c>
      <c r="E269" s="35">
        <v>63250.30781778114</v>
      </c>
      <c r="F269" s="35">
        <v>67839.033843775716</v>
      </c>
      <c r="G269" s="35">
        <v>69587.360368384805</v>
      </c>
      <c r="H269" s="35">
        <v>78515.885130605486</v>
      </c>
      <c r="I269" s="35">
        <v>78482.337762622046</v>
      </c>
      <c r="J269" s="35">
        <v>70914.027837172573</v>
      </c>
      <c r="K269" s="35">
        <v>66586.692169071393</v>
      </c>
      <c r="L269" s="35">
        <v>68800.667584422539</v>
      </c>
      <c r="M269" s="35">
        <v>64341.960509510551</v>
      </c>
      <c r="N269" s="35">
        <v>74662.393911663137</v>
      </c>
      <c r="O269" s="35">
        <v>77216.600849111608</v>
      </c>
      <c r="P269" s="35">
        <v>81776.645114782412</v>
      </c>
      <c r="Q269" s="35">
        <v>61009.762843880948</v>
      </c>
      <c r="R269" s="35">
        <v>65067.027651386961</v>
      </c>
      <c r="S269" s="35">
        <v>60068.884718632806</v>
      </c>
      <c r="T269" s="35">
        <v>68112.197571255325</v>
      </c>
      <c r="U269" s="35">
        <v>71880.074570813042</v>
      </c>
      <c r="V269" s="35">
        <v>87309.422956957074</v>
      </c>
      <c r="W269" s="35">
        <v>79229.658458910853</v>
      </c>
      <c r="X269" s="35">
        <v>66471.895080268456</v>
      </c>
      <c r="Y269" s="35">
        <v>65424.954251617513</v>
      </c>
      <c r="Z269" s="35">
        <v>63880.029524953599</v>
      </c>
      <c r="AA269" s="35">
        <v>67719.468136170137</v>
      </c>
      <c r="AB269" s="35">
        <v>65667.464112014277</v>
      </c>
      <c r="AC269" s="35">
        <v>78466.399260454535</v>
      </c>
      <c r="AD269" s="35">
        <v>78141.195622922882</v>
      </c>
      <c r="AE269" s="35">
        <v>83276.545458717519</v>
      </c>
      <c r="AF269" s="35">
        <v>83325.594879011958</v>
      </c>
      <c r="AG269" s="35">
        <v>68573.023960496415</v>
      </c>
    </row>
    <row r="270" spans="1:33" ht="15.75" thickBot="1" x14ac:dyDescent="0.3">
      <c r="A270" s="13" t="s">
        <v>92</v>
      </c>
      <c r="B270" s="14" t="s">
        <v>5</v>
      </c>
      <c r="C270" s="15">
        <v>4267561.9334498104</v>
      </c>
      <c r="D270" s="36">
        <v>151512.00385724401</v>
      </c>
      <c r="E270" s="36">
        <v>118916.20170106694</v>
      </c>
      <c r="F270" s="36">
        <v>132468.8794876156</v>
      </c>
      <c r="G270" s="36">
        <v>113563.87680840738</v>
      </c>
      <c r="H270" s="36">
        <v>146341.11865083859</v>
      </c>
      <c r="I270" s="36">
        <v>156302.09075106549</v>
      </c>
      <c r="J270" s="36">
        <v>142671.92396667815</v>
      </c>
      <c r="K270" s="36">
        <v>132659.50783965274</v>
      </c>
      <c r="L270" s="36">
        <v>107467.54085502628</v>
      </c>
      <c r="M270" s="36">
        <v>137345.33150540627</v>
      </c>
      <c r="N270" s="36">
        <v>136079.9834683681</v>
      </c>
      <c r="O270" s="36">
        <v>170921.26842975491</v>
      </c>
      <c r="P270" s="36">
        <v>174179.84851848468</v>
      </c>
      <c r="Q270" s="36">
        <v>94952.81767235836</v>
      </c>
      <c r="R270" s="36">
        <v>150452.76530302921</v>
      </c>
      <c r="S270" s="36">
        <v>116314.1944962827</v>
      </c>
      <c r="T270" s="36">
        <v>152404.65877668592</v>
      </c>
      <c r="U270" s="36">
        <v>140605.94310187714</v>
      </c>
      <c r="V270" s="36">
        <v>160093.78014302201</v>
      </c>
      <c r="W270" s="36">
        <v>159577.31878528412</v>
      </c>
      <c r="X270" s="36">
        <v>145344.16924936348</v>
      </c>
      <c r="Y270" s="36">
        <v>119877.5007461823</v>
      </c>
      <c r="Z270" s="36">
        <v>134756.76350567874</v>
      </c>
      <c r="AA270" s="36">
        <v>141365.48738332704</v>
      </c>
      <c r="AB270" s="36">
        <v>162561.9474506251</v>
      </c>
      <c r="AC270" s="36">
        <v>160943.30459042144</v>
      </c>
      <c r="AD270" s="36">
        <v>162482.61446883678</v>
      </c>
      <c r="AE270" s="36">
        <v>180134.64568124514</v>
      </c>
      <c r="AF270" s="36">
        <v>163329.12811758395</v>
      </c>
      <c r="AG270" s="36">
        <v>101935.31813839816</v>
      </c>
    </row>
    <row r="271" spans="1:33" x14ac:dyDescent="0.25">
      <c r="A271" s="8" t="s">
        <v>93</v>
      </c>
      <c r="B271" s="8" t="s">
        <v>2</v>
      </c>
      <c r="C271" s="9">
        <v>2395653.9559272984</v>
      </c>
      <c r="D271" s="34">
        <v>79882.653862652209</v>
      </c>
      <c r="E271" s="34">
        <v>81684.427369376528</v>
      </c>
      <c r="F271" s="34">
        <v>82246.487551127138</v>
      </c>
      <c r="G271" s="34">
        <v>78567.132358667208</v>
      </c>
      <c r="H271" s="34">
        <v>76582.026116422785</v>
      </c>
      <c r="I271" s="34">
        <v>87684.650542727817</v>
      </c>
      <c r="J271" s="34">
        <v>76042.615514649355</v>
      </c>
      <c r="K271" s="34">
        <v>82381.653650396402</v>
      </c>
      <c r="L271" s="34">
        <v>82427.823501533916</v>
      </c>
      <c r="M271" s="34">
        <v>68241.686882425056</v>
      </c>
      <c r="N271" s="34">
        <v>81707.854766810633</v>
      </c>
      <c r="O271" s="34">
        <v>65280.582260753705</v>
      </c>
      <c r="P271" s="34">
        <v>79621.957313206964</v>
      </c>
      <c r="Q271" s="34">
        <v>77249.126482506341</v>
      </c>
      <c r="R271" s="34">
        <v>77010.835719506998</v>
      </c>
      <c r="S271" s="34">
        <v>78892.782470374033</v>
      </c>
      <c r="T271" s="34">
        <v>78377.344899176154</v>
      </c>
      <c r="U271" s="34">
        <v>82930.316797142572</v>
      </c>
      <c r="V271" s="34">
        <v>80860.579371897809</v>
      </c>
      <c r="W271" s="34">
        <v>82138.185177161402</v>
      </c>
      <c r="X271" s="34">
        <v>73109.616804369463</v>
      </c>
      <c r="Y271" s="34">
        <v>76697.58425024795</v>
      </c>
      <c r="Z271" s="34">
        <v>79555.06501191092</v>
      </c>
      <c r="AA271" s="34">
        <v>90229.413859057386</v>
      </c>
      <c r="AB271" s="34">
        <v>89016.366902719048</v>
      </c>
      <c r="AC271" s="34">
        <v>81073.724573528321</v>
      </c>
      <c r="AD271" s="34">
        <v>82630.04443112007</v>
      </c>
      <c r="AE271" s="34">
        <v>91384.88979723907</v>
      </c>
      <c r="AF271" s="34">
        <v>75730.397265594293</v>
      </c>
      <c r="AG271" s="34">
        <v>76416.130422996852</v>
      </c>
    </row>
    <row r="272" spans="1:33" x14ac:dyDescent="0.25">
      <c r="A272" s="10" t="s">
        <v>93</v>
      </c>
      <c r="B272" s="11" t="s">
        <v>3</v>
      </c>
      <c r="C272" s="12">
        <v>2541112.9636881202</v>
      </c>
      <c r="D272" s="35">
        <v>90831.814965666039</v>
      </c>
      <c r="E272" s="35">
        <v>78138.617579748316</v>
      </c>
      <c r="F272" s="35">
        <v>71323.917859470603</v>
      </c>
      <c r="G272" s="35">
        <v>99551.354469799408</v>
      </c>
      <c r="H272" s="35">
        <v>89636.249959363602</v>
      </c>
      <c r="I272" s="35">
        <v>92348.430703374863</v>
      </c>
      <c r="J272" s="35">
        <v>71706.313524681173</v>
      </c>
      <c r="K272" s="35">
        <v>66922.253558299912</v>
      </c>
      <c r="L272" s="35">
        <v>84893.392727962593</v>
      </c>
      <c r="M272" s="35">
        <v>84387.621503268791</v>
      </c>
      <c r="N272" s="35">
        <v>93362.924076723924</v>
      </c>
      <c r="O272" s="35">
        <v>110523.94278523829</v>
      </c>
      <c r="P272" s="35">
        <v>107885.04536035241</v>
      </c>
      <c r="Q272" s="35">
        <v>95240.899432482503</v>
      </c>
      <c r="R272" s="35">
        <v>52876.22283678213</v>
      </c>
      <c r="S272" s="35">
        <v>88937.578916875122</v>
      </c>
      <c r="T272" s="35">
        <v>77801.502067273846</v>
      </c>
      <c r="U272" s="35">
        <v>84770.751838345284</v>
      </c>
      <c r="V272" s="35">
        <v>72976.631189840817</v>
      </c>
      <c r="W272" s="35">
        <v>100852.69969229634</v>
      </c>
      <c r="X272" s="35">
        <v>59626.455276325483</v>
      </c>
      <c r="Y272" s="35">
        <v>97240.878963974625</v>
      </c>
      <c r="Z272" s="35">
        <v>72796.58809469972</v>
      </c>
      <c r="AA272" s="35">
        <v>49925.739677262442</v>
      </c>
      <c r="AB272" s="35">
        <v>69445.195589348325</v>
      </c>
      <c r="AC272" s="35">
        <v>110825.51252070008</v>
      </c>
      <c r="AD272" s="35">
        <v>97793.52212611404</v>
      </c>
      <c r="AE272" s="35">
        <v>77477.757546359106</v>
      </c>
      <c r="AF272" s="35">
        <v>100414.26096081398</v>
      </c>
      <c r="AG272" s="35">
        <v>90598.887884676573</v>
      </c>
    </row>
    <row r="273" spans="1:33" x14ac:dyDescent="0.25">
      <c r="A273" s="10" t="s">
        <v>93</v>
      </c>
      <c r="B273" s="11" t="s">
        <v>4</v>
      </c>
      <c r="C273" s="12">
        <v>1482444.4034112906</v>
      </c>
      <c r="D273" s="35">
        <v>46324.557813187588</v>
      </c>
      <c r="E273" s="35">
        <v>48080.371605714492</v>
      </c>
      <c r="F273" s="35">
        <v>48295.092988748467</v>
      </c>
      <c r="G273" s="35">
        <v>54894.580734972653</v>
      </c>
      <c r="H273" s="35">
        <v>49111.823411497819</v>
      </c>
      <c r="I273" s="35">
        <v>57481.089110477245</v>
      </c>
      <c r="J273" s="35">
        <v>49310.088864427853</v>
      </c>
      <c r="K273" s="35">
        <v>45916.586544865233</v>
      </c>
      <c r="L273" s="35">
        <v>45149.665897315666</v>
      </c>
      <c r="M273" s="35">
        <v>50605.982150351745</v>
      </c>
      <c r="N273" s="35">
        <v>47303.996324909414</v>
      </c>
      <c r="O273" s="35">
        <v>57698.808304055652</v>
      </c>
      <c r="P273" s="35">
        <v>50561.629927681555</v>
      </c>
      <c r="Q273" s="35">
        <v>43290.940087252777</v>
      </c>
      <c r="R273" s="35">
        <v>41143.130538150981</v>
      </c>
      <c r="S273" s="35">
        <v>47290.320415694965</v>
      </c>
      <c r="T273" s="35">
        <v>45205.836411555247</v>
      </c>
      <c r="U273" s="35">
        <v>50231.255832297764</v>
      </c>
      <c r="V273" s="35">
        <v>53874.67818647909</v>
      </c>
      <c r="W273" s="35">
        <v>53362.155072630616</v>
      </c>
      <c r="X273" s="35">
        <v>42665.5827154125</v>
      </c>
      <c r="Y273" s="35">
        <v>45769.834750905968</v>
      </c>
      <c r="Z273" s="35">
        <v>48910.335952790338</v>
      </c>
      <c r="AA273" s="35">
        <v>48912.232003903904</v>
      </c>
      <c r="AB273" s="35">
        <v>52009.085596707584</v>
      </c>
      <c r="AC273" s="35">
        <v>52062.809180118165</v>
      </c>
      <c r="AD273" s="35">
        <v>62138.540098046913</v>
      </c>
      <c r="AE273" s="35">
        <v>51228.668396129993</v>
      </c>
      <c r="AF273" s="35">
        <v>50216.388485559241</v>
      </c>
      <c r="AG273" s="35">
        <v>43398.336009449245</v>
      </c>
    </row>
    <row r="274" spans="1:33" ht="15.75" thickBot="1" x14ac:dyDescent="0.3">
      <c r="A274" s="13" t="s">
        <v>93</v>
      </c>
      <c r="B274" s="14" t="s">
        <v>5</v>
      </c>
      <c r="C274" s="15">
        <v>4414410.714278779</v>
      </c>
      <c r="D274" s="36">
        <v>133076.20250874764</v>
      </c>
      <c r="E274" s="36">
        <v>154254.55388001708</v>
      </c>
      <c r="F274" s="36">
        <v>136576.4562838214</v>
      </c>
      <c r="G274" s="36">
        <v>141550.29918201873</v>
      </c>
      <c r="H274" s="36">
        <v>144778.50592416467</v>
      </c>
      <c r="I274" s="36">
        <v>170173.23469634471</v>
      </c>
      <c r="J274" s="36">
        <v>132223.728431325</v>
      </c>
      <c r="K274" s="36">
        <v>134263.10037291804</v>
      </c>
      <c r="L274" s="36">
        <v>148112.87405211368</v>
      </c>
      <c r="M274" s="36">
        <v>134147.6614319582</v>
      </c>
      <c r="N274" s="36">
        <v>164606.97302012544</v>
      </c>
      <c r="O274" s="36">
        <v>159161.51695573464</v>
      </c>
      <c r="P274" s="36">
        <v>148669.95916262368</v>
      </c>
      <c r="Q274" s="36">
        <v>138875.78482741991</v>
      </c>
      <c r="R274" s="36">
        <v>131305.55890016598</v>
      </c>
      <c r="S274" s="36">
        <v>125921.09782606109</v>
      </c>
      <c r="T274" s="36">
        <v>131148.22291490776</v>
      </c>
      <c r="U274" s="36">
        <v>173962.15367827736</v>
      </c>
      <c r="V274" s="36">
        <v>157527.18678721553</v>
      </c>
      <c r="W274" s="36">
        <v>179497.81916195835</v>
      </c>
      <c r="X274" s="36">
        <v>121628.0448861887</v>
      </c>
      <c r="Y274" s="36">
        <v>170138.88800278565</v>
      </c>
      <c r="Z274" s="36">
        <v>147339.44425113965</v>
      </c>
      <c r="AA274" s="36">
        <v>121734.30496938706</v>
      </c>
      <c r="AB274" s="36">
        <v>155372.64732249966</v>
      </c>
      <c r="AC274" s="36">
        <v>166410.28546654637</v>
      </c>
      <c r="AD274" s="36">
        <v>169968.38825243132</v>
      </c>
      <c r="AE274" s="36">
        <v>153290.98354702708</v>
      </c>
      <c r="AF274" s="36">
        <v>141610.65263923531</v>
      </c>
      <c r="AG274" s="36">
        <v>127084.18494361905</v>
      </c>
    </row>
    <row r="275" spans="1:33" x14ac:dyDescent="0.25">
      <c r="A275" s="8" t="s">
        <v>94</v>
      </c>
      <c r="B275" s="8" t="s">
        <v>2</v>
      </c>
      <c r="C275" s="9">
        <v>1977343.7090922976</v>
      </c>
      <c r="D275" s="34">
        <v>63213.193464227872</v>
      </c>
      <c r="E275" s="34">
        <v>60657.241687219066</v>
      </c>
      <c r="F275" s="34">
        <v>63529.918549957911</v>
      </c>
      <c r="G275" s="34">
        <v>84772.693699648255</v>
      </c>
      <c r="H275" s="34">
        <v>77354.806978581619</v>
      </c>
      <c r="I275" s="34">
        <v>83033.404228289088</v>
      </c>
      <c r="J275" s="34">
        <v>52760.226084514688</v>
      </c>
      <c r="K275" s="34">
        <v>58687.171977796155</v>
      </c>
      <c r="L275" s="34">
        <v>61823.33160857961</v>
      </c>
      <c r="M275" s="34">
        <v>58762.288173150897</v>
      </c>
      <c r="N275" s="34">
        <v>85192.334296947258</v>
      </c>
      <c r="O275" s="34">
        <v>66163.334174142627</v>
      </c>
      <c r="P275" s="34">
        <v>69895.95330008991</v>
      </c>
      <c r="Q275" s="34">
        <v>54230.843697641554</v>
      </c>
      <c r="R275" s="34">
        <v>57766.814497611114</v>
      </c>
      <c r="S275" s="34">
        <v>44616.438490012886</v>
      </c>
      <c r="T275" s="34">
        <v>47334.681444945352</v>
      </c>
      <c r="U275" s="34">
        <v>59039.969470106422</v>
      </c>
      <c r="V275" s="34">
        <v>74917.242691564505</v>
      </c>
      <c r="W275" s="34">
        <v>78470.842537497272</v>
      </c>
      <c r="X275" s="34">
        <v>54946.574300825705</v>
      </c>
      <c r="Y275" s="34">
        <v>51278.121437015725</v>
      </c>
      <c r="Z275" s="34">
        <v>60566.125075208758</v>
      </c>
      <c r="AA275" s="34">
        <v>64945.249395842933</v>
      </c>
      <c r="AB275" s="34">
        <v>55414.094867185457</v>
      </c>
      <c r="AC275" s="34">
        <v>70426.565926277675</v>
      </c>
      <c r="AD275" s="34">
        <v>77772.76696904187</v>
      </c>
      <c r="AE275" s="34">
        <v>84952.609340849449</v>
      </c>
      <c r="AF275" s="34">
        <v>96032.854811429861</v>
      </c>
      <c r="AG275" s="34">
        <v>58786.015916095967</v>
      </c>
    </row>
    <row r="276" spans="1:33" x14ac:dyDescent="0.25">
      <c r="A276" s="10" t="s">
        <v>94</v>
      </c>
      <c r="B276" s="11" t="s">
        <v>3</v>
      </c>
      <c r="C276" s="12">
        <v>2394513.4516168288</v>
      </c>
      <c r="D276" s="35">
        <v>73403.818410788328</v>
      </c>
      <c r="E276" s="35">
        <v>42838.444697597857</v>
      </c>
      <c r="F276" s="35">
        <v>71905.176356662807</v>
      </c>
      <c r="G276" s="35">
        <v>68944.452108184487</v>
      </c>
      <c r="H276" s="35">
        <v>116990.89401674762</v>
      </c>
      <c r="I276" s="35">
        <v>95323.500053532029</v>
      </c>
      <c r="J276" s="35">
        <v>61468.166177137107</v>
      </c>
      <c r="K276" s="35">
        <v>65790.658937310989</v>
      </c>
      <c r="L276" s="35">
        <v>61207.744955771901</v>
      </c>
      <c r="M276" s="35">
        <v>59828.674182350194</v>
      </c>
      <c r="N276" s="35">
        <v>79468.893754609337</v>
      </c>
      <c r="O276" s="35">
        <v>84187.777551707579</v>
      </c>
      <c r="P276" s="35">
        <v>85181.449893233221</v>
      </c>
      <c r="Q276" s="35">
        <v>36637.185930048239</v>
      </c>
      <c r="R276" s="35">
        <v>76105.61669508765</v>
      </c>
      <c r="S276" s="35">
        <v>109731.27249512175</v>
      </c>
      <c r="T276" s="35">
        <v>85303.387295198714</v>
      </c>
      <c r="U276" s="35">
        <v>88815.056306903454</v>
      </c>
      <c r="V276" s="35">
        <v>145198.329304274</v>
      </c>
      <c r="W276" s="35">
        <v>104146.65121860585</v>
      </c>
      <c r="X276" s="35">
        <v>65925.610006215808</v>
      </c>
      <c r="Y276" s="35">
        <v>42089.994534610589</v>
      </c>
      <c r="Z276" s="35">
        <v>48385.931015423273</v>
      </c>
      <c r="AA276" s="35">
        <v>69098.660775135882</v>
      </c>
      <c r="AB276" s="35">
        <v>87528.740773219673</v>
      </c>
      <c r="AC276" s="35">
        <v>100003.73720335595</v>
      </c>
      <c r="AD276" s="35">
        <v>91089.753272069327</v>
      </c>
      <c r="AE276" s="35">
        <v>114347.92013603763</v>
      </c>
      <c r="AF276" s="35">
        <v>77200.670760117806</v>
      </c>
      <c r="AG276" s="35">
        <v>86365.282799769848</v>
      </c>
    </row>
    <row r="277" spans="1:33" x14ac:dyDescent="0.25">
      <c r="A277" s="10" t="s">
        <v>94</v>
      </c>
      <c r="B277" s="11" t="s">
        <v>4</v>
      </c>
      <c r="C277" s="12">
        <v>2148247.9797958964</v>
      </c>
      <c r="D277" s="35">
        <v>62749.371364715327</v>
      </c>
      <c r="E277" s="35">
        <v>57172.943914239069</v>
      </c>
      <c r="F277" s="35">
        <v>72337.056502819643</v>
      </c>
      <c r="G277" s="35">
        <v>74345.139413556783</v>
      </c>
      <c r="H277" s="35">
        <v>85046.857199034828</v>
      </c>
      <c r="I277" s="35">
        <v>78157.070874056881</v>
      </c>
      <c r="J277" s="35">
        <v>59006.713707770505</v>
      </c>
      <c r="K277" s="35">
        <v>66714.854798718588</v>
      </c>
      <c r="L277" s="35">
        <v>70759.682022118519</v>
      </c>
      <c r="M277" s="35">
        <v>61798.400746978245</v>
      </c>
      <c r="N277" s="35">
        <v>76204.097295044223</v>
      </c>
      <c r="O277" s="35">
        <v>75205.698881263568</v>
      </c>
      <c r="P277" s="35">
        <v>87420.556711258992</v>
      </c>
      <c r="Q277" s="35">
        <v>63722.616686146735</v>
      </c>
      <c r="R277" s="35">
        <v>61080.115918500524</v>
      </c>
      <c r="S277" s="35">
        <v>62335.819530886904</v>
      </c>
      <c r="T277" s="35">
        <v>66813.358682809107</v>
      </c>
      <c r="U277" s="35">
        <v>77653.702815512836</v>
      </c>
      <c r="V277" s="35">
        <v>98032.729487973702</v>
      </c>
      <c r="W277" s="35">
        <v>85118.239487896572</v>
      </c>
      <c r="X277" s="35">
        <v>65687.943714341003</v>
      </c>
      <c r="Y277" s="35">
        <v>66111.425551583816</v>
      </c>
      <c r="Z277" s="35">
        <v>62179.940349535049</v>
      </c>
      <c r="AA277" s="35">
        <v>59371.700388336074</v>
      </c>
      <c r="AB277" s="35">
        <v>62520.333867459311</v>
      </c>
      <c r="AC277" s="35">
        <v>75334.45646738667</v>
      </c>
      <c r="AD277" s="35">
        <v>94711.042733487615</v>
      </c>
      <c r="AE277" s="35">
        <v>77311.594512857977</v>
      </c>
      <c r="AF277" s="35">
        <v>76731.507335423303</v>
      </c>
      <c r="AG277" s="35">
        <v>66613.008834183784</v>
      </c>
    </row>
    <row r="278" spans="1:33" ht="15.75" thickBot="1" x14ac:dyDescent="0.3">
      <c r="A278" s="13" t="s">
        <v>94</v>
      </c>
      <c r="B278" s="14" t="s">
        <v>5</v>
      </c>
      <c r="C278" s="15">
        <v>4267561.9334498104</v>
      </c>
      <c r="D278" s="36">
        <v>128321.40844052653</v>
      </c>
      <c r="E278" s="36">
        <v>130037.06821460808</v>
      </c>
      <c r="F278" s="36">
        <v>144306.70530784567</v>
      </c>
      <c r="G278" s="36">
        <v>144386.51665915546</v>
      </c>
      <c r="H278" s="36">
        <v>200909.24020868476</v>
      </c>
      <c r="I278" s="36">
        <v>172840.6492615976</v>
      </c>
      <c r="J278" s="36">
        <v>95496.804818965815</v>
      </c>
      <c r="K278" s="36">
        <v>121269.74744687155</v>
      </c>
      <c r="L278" s="36">
        <v>135388.36127961648</v>
      </c>
      <c r="M278" s="36">
        <v>108932.81720420709</v>
      </c>
      <c r="N278" s="36">
        <v>139877.7320233488</v>
      </c>
      <c r="O278" s="36">
        <v>150479.39908047172</v>
      </c>
      <c r="P278" s="36">
        <v>187672.35347302328</v>
      </c>
      <c r="Q278" s="36">
        <v>103119.74831093932</v>
      </c>
      <c r="R278" s="36">
        <v>146204.35107206128</v>
      </c>
      <c r="S278" s="36">
        <v>108035.71534695743</v>
      </c>
      <c r="T278" s="36">
        <v>138205.35373898022</v>
      </c>
      <c r="U278" s="36">
        <v>146315.32651735976</v>
      </c>
      <c r="V278" s="36">
        <v>160879.74917011746</v>
      </c>
      <c r="W278" s="36">
        <v>150083.72998294252</v>
      </c>
      <c r="X278" s="36">
        <v>137376.58546524288</v>
      </c>
      <c r="Y278" s="36">
        <v>141001.84256980175</v>
      </c>
      <c r="Z278" s="36">
        <v>102990.17627591742</v>
      </c>
      <c r="AA278" s="36">
        <v>133945.20669227175</v>
      </c>
      <c r="AB278" s="36">
        <v>124874.03896938558</v>
      </c>
      <c r="AC278" s="36">
        <v>175138.54812348439</v>
      </c>
      <c r="AD278" s="36">
        <v>174665.12869796509</v>
      </c>
      <c r="AE278" s="36">
        <v>158278.82065543192</v>
      </c>
      <c r="AF278" s="36">
        <v>175405.28481391846</v>
      </c>
      <c r="AG278" s="36">
        <v>131123.52362811155</v>
      </c>
    </row>
    <row r="279" spans="1:33" x14ac:dyDescent="0.25">
      <c r="A279" s="8" t="s">
        <v>95</v>
      </c>
      <c r="B279" s="8" t="s">
        <v>2</v>
      </c>
      <c r="C279" s="9">
        <v>2341973.2997396849</v>
      </c>
      <c r="D279" s="34">
        <v>82554.871394509173</v>
      </c>
      <c r="E279" s="34">
        <v>76934.54465690424</v>
      </c>
      <c r="F279" s="34">
        <v>78329.045783764785</v>
      </c>
      <c r="G279" s="34">
        <v>90443.005695688684</v>
      </c>
      <c r="H279" s="34">
        <v>89501.508731818612</v>
      </c>
      <c r="I279" s="34">
        <v>59561.662954783125</v>
      </c>
      <c r="J279" s="34">
        <v>71932.936694925389</v>
      </c>
      <c r="K279" s="34">
        <v>77750.225978629955</v>
      </c>
      <c r="L279" s="34">
        <v>73283.41930985311</v>
      </c>
      <c r="M279" s="34">
        <v>69564.915227635895</v>
      </c>
      <c r="N279" s="34">
        <v>83735.810646520302</v>
      </c>
      <c r="O279" s="34">
        <v>78421.505256530916</v>
      </c>
      <c r="P279" s="34">
        <v>66941.324679091485</v>
      </c>
      <c r="Q279" s="34">
        <v>67575.479618825048</v>
      </c>
      <c r="R279" s="34">
        <v>67971.440249148378</v>
      </c>
      <c r="S279" s="34">
        <v>75033.715537981843</v>
      </c>
      <c r="T279" s="34">
        <v>79154.759400530529</v>
      </c>
      <c r="U279" s="34">
        <v>92167.688069089636</v>
      </c>
      <c r="V279" s="34">
        <v>94682.983142914643</v>
      </c>
      <c r="W279" s="34">
        <v>84346.302455561643</v>
      </c>
      <c r="X279" s="34">
        <v>76925.76034059505</v>
      </c>
      <c r="Y279" s="34">
        <v>70318.924590721901</v>
      </c>
      <c r="Z279" s="34">
        <v>77476.094728291369</v>
      </c>
      <c r="AA279" s="34">
        <v>60943.793341020646</v>
      </c>
      <c r="AB279" s="34">
        <v>85593.08167284746</v>
      </c>
      <c r="AC279" s="34">
        <v>81279.315968624287</v>
      </c>
      <c r="AD279" s="34">
        <v>68653.297055515432</v>
      </c>
      <c r="AE279" s="34">
        <v>97724.812087036684</v>
      </c>
      <c r="AF279" s="34">
        <v>77862.119993961547</v>
      </c>
      <c r="AG279" s="34">
        <v>85308.954476363913</v>
      </c>
    </row>
    <row r="280" spans="1:33" ht="26.25" x14ac:dyDescent="0.25">
      <c r="A280" s="10" t="s">
        <v>95</v>
      </c>
      <c r="B280" s="11" t="s">
        <v>3</v>
      </c>
      <c r="C280" s="12">
        <v>1803072.3132873201</v>
      </c>
      <c r="D280" s="35">
        <v>59104.272719282781</v>
      </c>
      <c r="E280" s="35">
        <v>39303.562982141382</v>
      </c>
      <c r="F280" s="35">
        <v>56922.777768163673</v>
      </c>
      <c r="G280" s="35">
        <v>91860.479788380369</v>
      </c>
      <c r="H280" s="35">
        <v>81817.449203722848</v>
      </c>
      <c r="I280" s="35">
        <v>63603.031844028643</v>
      </c>
      <c r="J280" s="35">
        <v>38371.744610560469</v>
      </c>
      <c r="K280" s="35">
        <v>59276.632002461549</v>
      </c>
      <c r="L280" s="35">
        <v>43932.955322622387</v>
      </c>
      <c r="M280" s="35">
        <v>53157.765797294313</v>
      </c>
      <c r="N280" s="35">
        <v>48792.00053735917</v>
      </c>
      <c r="O280" s="35">
        <v>77056.594230263916</v>
      </c>
      <c r="P280" s="35">
        <v>101920.64102916724</v>
      </c>
      <c r="Q280" s="35">
        <v>40877.286498294394</v>
      </c>
      <c r="R280" s="35">
        <v>48744.787555848052</v>
      </c>
      <c r="S280" s="35">
        <v>56110.523082193351</v>
      </c>
      <c r="T280" s="35">
        <v>42397.831608921035</v>
      </c>
      <c r="U280" s="35">
        <v>80888.278587186142</v>
      </c>
      <c r="V280" s="35">
        <v>96219.226902415205</v>
      </c>
      <c r="W280" s="35">
        <v>67735.029044157389</v>
      </c>
      <c r="X280" s="35">
        <v>53371.787346590325</v>
      </c>
      <c r="Y280" s="35">
        <v>30044.52309587389</v>
      </c>
      <c r="Z280" s="35">
        <v>28536.419243888697</v>
      </c>
      <c r="AA280" s="35">
        <v>56453.742317381271</v>
      </c>
      <c r="AB280" s="35">
        <v>43630.09042636121</v>
      </c>
      <c r="AC280" s="35">
        <v>63862.320434381589</v>
      </c>
      <c r="AD280" s="35">
        <v>39695.111722051828</v>
      </c>
      <c r="AE280" s="35">
        <v>112041.47733132854</v>
      </c>
      <c r="AF280" s="35">
        <v>36748.096556525772</v>
      </c>
      <c r="AG280" s="35">
        <v>90595.873698472438</v>
      </c>
    </row>
    <row r="281" spans="1:33" ht="26.25" x14ac:dyDescent="0.25">
      <c r="A281" s="10" t="s">
        <v>95</v>
      </c>
      <c r="B281" s="11" t="s">
        <v>4</v>
      </c>
      <c r="C281" s="12">
        <v>2727825.3988084397</v>
      </c>
      <c r="D281" s="35">
        <v>84737.296391531359</v>
      </c>
      <c r="E281" s="35">
        <v>84647.8170794904</v>
      </c>
      <c r="F281" s="35">
        <v>85352.544712597897</v>
      </c>
      <c r="G281" s="35">
        <v>121371.67640395535</v>
      </c>
      <c r="H281" s="35">
        <v>116862.18586886546</v>
      </c>
      <c r="I281" s="35">
        <v>82100.144850741417</v>
      </c>
      <c r="J281" s="35">
        <v>93948.433763980502</v>
      </c>
      <c r="K281" s="35">
        <v>83870.98944246411</v>
      </c>
      <c r="L281" s="35">
        <v>86252.541218672719</v>
      </c>
      <c r="M281" s="35">
        <v>81787.64842908518</v>
      </c>
      <c r="N281" s="35">
        <v>94996.319951364712</v>
      </c>
      <c r="O281" s="35">
        <v>103098.33201749952</v>
      </c>
      <c r="P281" s="35">
        <v>75617.322335938501</v>
      </c>
      <c r="Q281" s="35">
        <v>83010.983320402505</v>
      </c>
      <c r="R281" s="35">
        <v>73995.748687901782</v>
      </c>
      <c r="S281" s="35">
        <v>84133.637429446666</v>
      </c>
      <c r="T281" s="35">
        <v>85396.83971566151</v>
      </c>
      <c r="U281" s="35">
        <v>104532.09182512209</v>
      </c>
      <c r="V281" s="35">
        <v>111368.29045150818</v>
      </c>
      <c r="W281" s="35">
        <v>91448.556997742693</v>
      </c>
      <c r="X281" s="35">
        <v>92224.987285318173</v>
      </c>
      <c r="Y281" s="35">
        <v>85517.510959590712</v>
      </c>
      <c r="Z281" s="35">
        <v>82711.400755897455</v>
      </c>
      <c r="AA281" s="35">
        <v>78252.156004932083</v>
      </c>
      <c r="AB281" s="35">
        <v>86232.219632474371</v>
      </c>
      <c r="AC281" s="35">
        <v>106042.43600903684</v>
      </c>
      <c r="AD281" s="35">
        <v>79952.764350874277</v>
      </c>
      <c r="AE281" s="35">
        <v>118244.59299032201</v>
      </c>
      <c r="AF281" s="35">
        <v>78491.577970444909</v>
      </c>
      <c r="AG281" s="35">
        <v>91626.35195557581</v>
      </c>
    </row>
    <row r="282" spans="1:33" ht="27" thickBot="1" x14ac:dyDescent="0.3">
      <c r="A282" s="13" t="s">
        <v>95</v>
      </c>
      <c r="B282" s="14" t="s">
        <v>5</v>
      </c>
      <c r="C282" s="15">
        <v>3937514.1271671955</v>
      </c>
      <c r="D282" s="36">
        <v>131941.95721718611</v>
      </c>
      <c r="E282" s="36">
        <v>130070.36135389429</v>
      </c>
      <c r="F282" s="36">
        <v>111431.76691626097</v>
      </c>
      <c r="G282" s="36">
        <v>120559.06097937211</v>
      </c>
      <c r="H282" s="36">
        <v>169582.51152710262</v>
      </c>
      <c r="I282" s="36">
        <v>89803.724586953584</v>
      </c>
      <c r="J282" s="36">
        <v>88400.535892889835</v>
      </c>
      <c r="K282" s="36">
        <v>135760.67578828221</v>
      </c>
      <c r="L282" s="36">
        <v>117885.40286511618</v>
      </c>
      <c r="M282" s="36">
        <v>119033.19980183001</v>
      </c>
      <c r="N282" s="36">
        <v>130613.35714596388</v>
      </c>
      <c r="O282" s="36">
        <v>150738.44654352849</v>
      </c>
      <c r="P282" s="36">
        <v>138169.48174333933</v>
      </c>
      <c r="Q282" s="36">
        <v>88946.737275668522</v>
      </c>
      <c r="R282" s="36">
        <v>134785.5116390255</v>
      </c>
      <c r="S282" s="36">
        <v>128556.77524321394</v>
      </c>
      <c r="T282" s="36">
        <v>137433.36865732993</v>
      </c>
      <c r="U282" s="36">
        <v>135607.04198966207</v>
      </c>
      <c r="V282" s="36">
        <v>198924.45606478566</v>
      </c>
      <c r="W282" s="36">
        <v>122315.99833595837</v>
      </c>
      <c r="X282" s="36">
        <v>148398.95171441374</v>
      </c>
      <c r="Y282" s="36">
        <v>129261.77064380304</v>
      </c>
      <c r="Z282" s="36">
        <v>165654.33376106087</v>
      </c>
      <c r="AA282" s="36">
        <v>111884.49796507004</v>
      </c>
      <c r="AB282" s="36">
        <v>126501.91341352745</v>
      </c>
      <c r="AC282" s="36">
        <v>152758.90691194634</v>
      </c>
      <c r="AD282" s="36">
        <v>126536.86217077079</v>
      </c>
      <c r="AE282" s="36">
        <v>176975.81557199644</v>
      </c>
      <c r="AF282" s="36">
        <v>83091.25673462158</v>
      </c>
      <c r="AG282" s="36">
        <v>135889.44671262184</v>
      </c>
    </row>
    <row r="283" spans="1:33" x14ac:dyDescent="0.25">
      <c r="A283" s="8" t="s">
        <v>96</v>
      </c>
      <c r="B283" s="8" t="s">
        <v>2</v>
      </c>
      <c r="C283" s="9">
        <v>1367389.3340752122</v>
      </c>
      <c r="D283" s="34">
        <v>44755.766722832355</v>
      </c>
      <c r="E283" s="34">
        <v>36371.257602557263</v>
      </c>
      <c r="F283" s="34">
        <v>39192.346931030959</v>
      </c>
      <c r="G283" s="34">
        <v>31732.598102956534</v>
      </c>
      <c r="H283" s="34">
        <v>55269.657393048605</v>
      </c>
      <c r="I283" s="34">
        <v>61341.747203493243</v>
      </c>
      <c r="J283" s="34">
        <v>52159.194872489876</v>
      </c>
      <c r="K283" s="34">
        <v>44755.766722832355</v>
      </c>
      <c r="L283" s="34">
        <v>36371.257602557263</v>
      </c>
      <c r="M283" s="34">
        <v>39192.346931030959</v>
      </c>
      <c r="N283" s="34">
        <v>41984.063926322058</v>
      </c>
      <c r="O283" s="34">
        <v>46900.018164612724</v>
      </c>
      <c r="P283" s="34">
        <v>56762.075361714626</v>
      </c>
      <c r="Q283" s="34">
        <v>37734.635254357934</v>
      </c>
      <c r="R283" s="34">
        <v>44396.447550880279</v>
      </c>
      <c r="S283" s="34">
        <v>38991.44040912683</v>
      </c>
      <c r="T283" s="34">
        <v>41963.771176358932</v>
      </c>
      <c r="U283" s="34">
        <v>38942.403547796566</v>
      </c>
      <c r="V283" s="34">
        <v>49310.594169796314</v>
      </c>
      <c r="W283" s="34">
        <v>50865.852099869735</v>
      </c>
      <c r="X283" s="34">
        <v>44602.504306346891</v>
      </c>
      <c r="Y283" s="34">
        <v>47231.701503306031</v>
      </c>
      <c r="Z283" s="34">
        <v>41359.273624376423</v>
      </c>
      <c r="AA283" s="34">
        <v>35176.960518425345</v>
      </c>
      <c r="AB283" s="34">
        <v>43204.651500768348</v>
      </c>
      <c r="AC283" s="34">
        <v>46792.254416779964</v>
      </c>
      <c r="AD283" s="34">
        <v>51258.146990511872</v>
      </c>
      <c r="AE283" s="34">
        <v>55269.657393048605</v>
      </c>
      <c r="AF283" s="34">
        <v>61341.747203493243</v>
      </c>
      <c r="AG283" s="34">
        <v>52159.194872489876</v>
      </c>
    </row>
    <row r="284" spans="1:33" x14ac:dyDescent="0.25">
      <c r="A284" s="10" t="s">
        <v>96</v>
      </c>
      <c r="B284" s="11" t="s">
        <v>3</v>
      </c>
      <c r="C284" s="12">
        <v>1760144.4971161103</v>
      </c>
      <c r="D284" s="35">
        <v>49861.32834490182</v>
      </c>
      <c r="E284" s="35">
        <v>41778.907912025141</v>
      </c>
      <c r="F284" s="35">
        <v>38777.823966063916</v>
      </c>
      <c r="G284" s="35">
        <v>80230.378103294497</v>
      </c>
      <c r="H284" s="35">
        <v>89340.630250227347</v>
      </c>
      <c r="I284" s="35">
        <v>97700.775677952202</v>
      </c>
      <c r="J284" s="35">
        <v>59743.313848414327</v>
      </c>
      <c r="K284" s="35">
        <v>49861.32834490182</v>
      </c>
      <c r="L284" s="35">
        <v>41778.907912025141</v>
      </c>
      <c r="M284" s="35">
        <v>38777.823966063916</v>
      </c>
      <c r="N284" s="35">
        <v>52301.65476863207</v>
      </c>
      <c r="O284" s="35">
        <v>67891.701756102382</v>
      </c>
      <c r="P284" s="35">
        <v>61686.635448608613</v>
      </c>
      <c r="Q284" s="35">
        <v>37582.065774396695</v>
      </c>
      <c r="R284" s="35">
        <v>44876.354444410128</v>
      </c>
      <c r="S284" s="35">
        <v>34922.170638137381</v>
      </c>
      <c r="T284" s="35">
        <v>49388.272558245691</v>
      </c>
      <c r="U284" s="35">
        <v>51679.971077839262</v>
      </c>
      <c r="V284" s="35">
        <v>66274.892533595892</v>
      </c>
      <c r="W284" s="35">
        <v>79205.350261815285</v>
      </c>
      <c r="X284" s="35">
        <v>41005.175026112818</v>
      </c>
      <c r="Y284" s="35">
        <v>40728.588573462584</v>
      </c>
      <c r="Z284" s="35">
        <v>48691.025917600244</v>
      </c>
      <c r="AA284" s="35">
        <v>55257.712486079166</v>
      </c>
      <c r="AB284" s="35">
        <v>60643.492890965346</v>
      </c>
      <c r="AC284" s="35">
        <v>57147.211061573333</v>
      </c>
      <c r="AD284" s="35">
        <v>76226.283796069736</v>
      </c>
      <c r="AE284" s="35">
        <v>89340.630250227347</v>
      </c>
      <c r="AF284" s="35">
        <v>97700.775677952202</v>
      </c>
      <c r="AG284" s="35">
        <v>59743.313848414327</v>
      </c>
    </row>
    <row r="285" spans="1:33" x14ac:dyDescent="0.25">
      <c r="A285" s="10" t="s">
        <v>96</v>
      </c>
      <c r="B285" s="11" t="s">
        <v>4</v>
      </c>
      <c r="C285" s="12">
        <v>2586246.1469371999</v>
      </c>
      <c r="D285" s="35">
        <v>68058.205067370247</v>
      </c>
      <c r="E285" s="35">
        <v>62480.453994596501</v>
      </c>
      <c r="F285" s="35">
        <v>84818.153526111229</v>
      </c>
      <c r="G285" s="35">
        <v>95751.621971089786</v>
      </c>
      <c r="H285" s="35">
        <v>131816.02834765345</v>
      </c>
      <c r="I285" s="35">
        <v>106734.53959048365</v>
      </c>
      <c r="J285" s="35">
        <v>78939.40041219657</v>
      </c>
      <c r="K285" s="35">
        <v>68058.205067370247</v>
      </c>
      <c r="L285" s="35">
        <v>62480.453994596501</v>
      </c>
      <c r="M285" s="35">
        <v>84818.153526111229</v>
      </c>
      <c r="N285" s="35">
        <v>85407.246782451824</v>
      </c>
      <c r="O285" s="35">
        <v>100879.993005458</v>
      </c>
      <c r="P285" s="35">
        <v>93154.544829674633</v>
      </c>
      <c r="Q285" s="35">
        <v>74095.423078753782</v>
      </c>
      <c r="R285" s="35">
        <v>68040.245712323769</v>
      </c>
      <c r="S285" s="35">
        <v>68559.177619509384</v>
      </c>
      <c r="T285" s="35">
        <v>75567.115023964856</v>
      </c>
      <c r="U285" s="35">
        <v>83532.149935113688</v>
      </c>
      <c r="V285" s="35">
        <v>111225.85126300818</v>
      </c>
      <c r="W285" s="35">
        <v>117237.04446238432</v>
      </c>
      <c r="X285" s="35">
        <v>75085.981058028061</v>
      </c>
      <c r="Y285" s="35">
        <v>72035.105145489506</v>
      </c>
      <c r="Z285" s="35">
        <v>65694.061167228108</v>
      </c>
      <c r="AA285" s="35">
        <v>74956.761060547185</v>
      </c>
      <c r="AB285" s="35">
        <v>79629.901044911021</v>
      </c>
      <c r="AC285" s="35">
        <v>90460.814258809725</v>
      </c>
      <c r="AD285" s="35">
        <v>89239.547641630721</v>
      </c>
      <c r="AE285" s="35">
        <v>131816.02834765345</v>
      </c>
      <c r="AF285" s="35">
        <v>106734.53959048365</v>
      </c>
      <c r="AG285" s="35">
        <v>78939.40041219657</v>
      </c>
    </row>
    <row r="286" spans="1:33" ht="15.75" thickBot="1" x14ac:dyDescent="0.3">
      <c r="A286" s="13" t="s">
        <v>96</v>
      </c>
      <c r="B286" s="14" t="s">
        <v>5</v>
      </c>
      <c r="C286" s="15">
        <v>1552763.9396789875</v>
      </c>
      <c r="D286" s="36">
        <v>45917.718019022032</v>
      </c>
      <c r="E286" s="36">
        <v>38723.435620204902</v>
      </c>
      <c r="F286" s="36">
        <v>50414.765459933085</v>
      </c>
      <c r="G286" s="36">
        <v>63291.591215222528</v>
      </c>
      <c r="H286" s="36">
        <v>77423.512067800315</v>
      </c>
      <c r="I286" s="36">
        <v>74292.318832148594</v>
      </c>
      <c r="J286" s="36">
        <v>63394.118849534141</v>
      </c>
      <c r="K286" s="36">
        <v>45917.718019022032</v>
      </c>
      <c r="L286" s="36">
        <v>38723.435620204902</v>
      </c>
      <c r="M286" s="36">
        <v>50414.765459933085</v>
      </c>
      <c r="N286" s="36">
        <v>45941.422514485472</v>
      </c>
      <c r="O286" s="36">
        <v>41816.546139933482</v>
      </c>
      <c r="P286" s="36">
        <v>55233.024545748267</v>
      </c>
      <c r="Q286" s="36">
        <v>41261.758116616809</v>
      </c>
      <c r="R286" s="36">
        <v>37906.798229551823</v>
      </c>
      <c r="S286" s="36">
        <v>40270.395035705667</v>
      </c>
      <c r="T286" s="36">
        <v>41151.717791771451</v>
      </c>
      <c r="U286" s="36">
        <v>48379.82136669926</v>
      </c>
      <c r="V286" s="36">
        <v>53508.213628674406</v>
      </c>
      <c r="W286" s="36">
        <v>61593.61060492714</v>
      </c>
      <c r="X286" s="36">
        <v>44508.785427219067</v>
      </c>
      <c r="Y286" s="36">
        <v>42765.869360809906</v>
      </c>
      <c r="Z286" s="36">
        <v>38554.552281046272</v>
      </c>
      <c r="AA286" s="36">
        <v>41235.518695610648</v>
      </c>
      <c r="AB286" s="36">
        <v>48087.524755432627</v>
      </c>
      <c r="AC286" s="36">
        <v>48565.500186295241</v>
      </c>
      <c r="AD286" s="36">
        <v>58359.552085951043</v>
      </c>
      <c r="AE286" s="36">
        <v>77423.512067800315</v>
      </c>
      <c r="AF286" s="36">
        <v>74292.318832148594</v>
      </c>
      <c r="AG286" s="36">
        <v>63394.118849534141</v>
      </c>
    </row>
    <row r="287" spans="1:33" x14ac:dyDescent="0.25">
      <c r="A287" s="8" t="s">
        <v>97</v>
      </c>
      <c r="B287" s="8" t="s">
        <v>2</v>
      </c>
      <c r="C287" s="9">
        <v>1056931.6169813387</v>
      </c>
      <c r="D287" s="34">
        <v>35798.130052692686</v>
      </c>
      <c r="E287" s="34">
        <v>29063.205588448483</v>
      </c>
      <c r="F287" s="34">
        <v>30266.298443799289</v>
      </c>
      <c r="G287" s="34">
        <v>39911.167467337029</v>
      </c>
      <c r="H287" s="34">
        <v>38704.106836754676</v>
      </c>
      <c r="I287" s="34">
        <v>44423.652356258914</v>
      </c>
      <c r="J287" s="34">
        <v>32003.876876532599</v>
      </c>
      <c r="K287" s="34">
        <v>31871.568166876561</v>
      </c>
      <c r="L287" s="34">
        <v>25886.96931767276</v>
      </c>
      <c r="M287" s="34">
        <v>26196.539995694257</v>
      </c>
      <c r="N287" s="34">
        <v>19451.649034863458</v>
      </c>
      <c r="O287" s="34">
        <v>50024.001152421581</v>
      </c>
      <c r="P287" s="34">
        <v>44746.523254625834</v>
      </c>
      <c r="Q287" s="34">
        <v>34938.187835781129</v>
      </c>
      <c r="R287" s="34">
        <v>35798.130052692686</v>
      </c>
      <c r="S287" s="34">
        <v>29063.205588448483</v>
      </c>
      <c r="T287" s="34">
        <v>30266.298443799289</v>
      </c>
      <c r="U287" s="34">
        <v>39911.167467337029</v>
      </c>
      <c r="V287" s="34">
        <v>38704.106836754676</v>
      </c>
      <c r="W287" s="34">
        <v>44423.652356258914</v>
      </c>
      <c r="X287" s="34">
        <v>32003.876876532599</v>
      </c>
      <c r="Y287" s="34">
        <v>31871.568166876561</v>
      </c>
      <c r="Z287" s="34">
        <v>25886.96931767276</v>
      </c>
      <c r="AA287" s="34">
        <v>26196.539995694257</v>
      </c>
      <c r="AB287" s="34">
        <v>27977.962097059743</v>
      </c>
      <c r="AC287" s="34">
        <v>34007.925347724798</v>
      </c>
      <c r="AD287" s="34">
        <v>47825.625811899306</v>
      </c>
      <c r="AE287" s="34">
        <v>50024.001152421581</v>
      </c>
      <c r="AF287" s="34">
        <v>44746.523254625834</v>
      </c>
      <c r="AG287" s="34">
        <v>34938.187835781129</v>
      </c>
    </row>
    <row r="288" spans="1:33" x14ac:dyDescent="0.25">
      <c r="A288" s="10" t="s">
        <v>97</v>
      </c>
      <c r="B288" s="11" t="s">
        <v>3</v>
      </c>
      <c r="C288" s="12">
        <v>2223519.0993255726</v>
      </c>
      <c r="D288" s="35">
        <v>50108.02243828262</v>
      </c>
      <c r="E288" s="35">
        <v>54648.591843386232</v>
      </c>
      <c r="F288" s="35">
        <v>64277.343138888951</v>
      </c>
      <c r="G288" s="35">
        <v>81339.21083389665</v>
      </c>
      <c r="H288" s="35">
        <v>76466.281955735583</v>
      </c>
      <c r="I288" s="35">
        <v>91953.81937770189</v>
      </c>
      <c r="J288" s="35">
        <v>45532.145038631606</v>
      </c>
      <c r="K288" s="35">
        <v>56443.244002403415</v>
      </c>
      <c r="L288" s="35">
        <v>48123.887266335412</v>
      </c>
      <c r="M288" s="35">
        <v>46383.947988731961</v>
      </c>
      <c r="N288" s="35">
        <v>85361.149329503125</v>
      </c>
      <c r="O288" s="35">
        <v>147760.61017647464</v>
      </c>
      <c r="P288" s="35">
        <v>114046.42817636282</v>
      </c>
      <c r="Q288" s="35">
        <v>66633.150575630774</v>
      </c>
      <c r="R288" s="35">
        <v>50108.02243828262</v>
      </c>
      <c r="S288" s="35">
        <v>54648.591843386232</v>
      </c>
      <c r="T288" s="35">
        <v>64277.343138888951</v>
      </c>
      <c r="U288" s="35">
        <v>81339.21083389665</v>
      </c>
      <c r="V288" s="35">
        <v>76466.281955735583</v>
      </c>
      <c r="W288" s="35">
        <v>91953.81937770189</v>
      </c>
      <c r="X288" s="35">
        <v>45532.145038631606</v>
      </c>
      <c r="Y288" s="35">
        <v>56443.244002403415</v>
      </c>
      <c r="Z288" s="35">
        <v>48123.887266335412</v>
      </c>
      <c r="AA288" s="35">
        <v>46383.947988731961</v>
      </c>
      <c r="AB288" s="35">
        <v>78860.299413973917</v>
      </c>
      <c r="AC288" s="35">
        <v>76869.025255731918</v>
      </c>
      <c r="AD288" s="35">
        <v>94995.25970143851</v>
      </c>
      <c r="AE288" s="35">
        <v>147760.61017647464</v>
      </c>
      <c r="AF288" s="35">
        <v>114046.42817636282</v>
      </c>
      <c r="AG288" s="35">
        <v>66633.150575630774</v>
      </c>
    </row>
    <row r="289" spans="1:33" x14ac:dyDescent="0.25">
      <c r="A289" s="10" t="s">
        <v>97</v>
      </c>
      <c r="B289" s="11" t="s">
        <v>4</v>
      </c>
      <c r="C289" s="12">
        <v>1563285.359983772</v>
      </c>
      <c r="D289" s="35">
        <v>44237.076071014759</v>
      </c>
      <c r="E289" s="35">
        <v>44907.347004468436</v>
      </c>
      <c r="F289" s="35">
        <v>48025.031753189047</v>
      </c>
      <c r="G289" s="35">
        <v>49745.54188663853</v>
      </c>
      <c r="H289" s="35">
        <v>59799.033840480406</v>
      </c>
      <c r="I289" s="35">
        <v>70905.315861256342</v>
      </c>
      <c r="J289" s="35">
        <v>42972.832560514631</v>
      </c>
      <c r="K289" s="35">
        <v>44903.86801889589</v>
      </c>
      <c r="L289" s="35">
        <v>39039.693440151939</v>
      </c>
      <c r="M289" s="35">
        <v>35519.765577666331</v>
      </c>
      <c r="N289" s="35">
        <v>49214.961563481047</v>
      </c>
      <c r="O289" s="35">
        <v>80696.477126145779</v>
      </c>
      <c r="P289" s="35">
        <v>65276.521507725854</v>
      </c>
      <c r="Q289" s="35">
        <v>46223.360855644532</v>
      </c>
      <c r="R289" s="35">
        <v>44237.076071014759</v>
      </c>
      <c r="S289" s="35">
        <v>44907.347004468436</v>
      </c>
      <c r="T289" s="35">
        <v>48025.031753189047</v>
      </c>
      <c r="U289" s="35">
        <v>49745.54188663853</v>
      </c>
      <c r="V289" s="35">
        <v>59799.033840480406</v>
      </c>
      <c r="W289" s="35">
        <v>70905.315861256342</v>
      </c>
      <c r="X289" s="35">
        <v>42972.832560514631</v>
      </c>
      <c r="Y289" s="35">
        <v>44903.86801889589</v>
      </c>
      <c r="Z289" s="35">
        <v>39039.693440151939</v>
      </c>
      <c r="AA289" s="35">
        <v>35519.765577666331</v>
      </c>
      <c r="AB289" s="35">
        <v>45166.338801227088</v>
      </c>
      <c r="AC289" s="35">
        <v>59332.738866501466</v>
      </c>
      <c r="AD289" s="35">
        <v>65067.589744977478</v>
      </c>
      <c r="AE289" s="35">
        <v>80696.477126145779</v>
      </c>
      <c r="AF289" s="35">
        <v>65276.521507725854</v>
      </c>
      <c r="AG289" s="35">
        <v>46223.360855644532</v>
      </c>
    </row>
    <row r="290" spans="1:33" ht="15.75" thickBot="1" x14ac:dyDescent="0.3">
      <c r="A290" s="13" t="s">
        <v>97</v>
      </c>
      <c r="B290" s="14" t="s">
        <v>5</v>
      </c>
      <c r="C290" s="15">
        <v>2141799.9190851664</v>
      </c>
      <c r="D290" s="36">
        <v>71645.459665430244</v>
      </c>
      <c r="E290" s="36">
        <v>57780.645185154419</v>
      </c>
      <c r="F290" s="36">
        <v>74443.664985199677</v>
      </c>
      <c r="G290" s="36">
        <v>64594.917323420828</v>
      </c>
      <c r="H290" s="36">
        <v>65401.157284462439</v>
      </c>
      <c r="I290" s="36">
        <v>105438.21433295176</v>
      </c>
      <c r="J290" s="36">
        <v>58121.309351912292</v>
      </c>
      <c r="K290" s="36">
        <v>61936.498669251239</v>
      </c>
      <c r="L290" s="36">
        <v>59520.594725414965</v>
      </c>
      <c r="M290" s="36">
        <v>52832.66368003848</v>
      </c>
      <c r="N290" s="36">
        <v>79200.968708183747</v>
      </c>
      <c r="O290" s="36">
        <v>111278.7196182263</v>
      </c>
      <c r="P290" s="36">
        <v>87230.028457251989</v>
      </c>
      <c r="Q290" s="36">
        <v>65586.342910195599</v>
      </c>
      <c r="R290" s="36">
        <v>71645.459665430244</v>
      </c>
      <c r="S290" s="36">
        <v>57780.645185154419</v>
      </c>
      <c r="T290" s="36">
        <v>74443.664985199677</v>
      </c>
      <c r="U290" s="36">
        <v>64594.917323420828</v>
      </c>
      <c r="V290" s="36">
        <v>65401.157284462439</v>
      </c>
      <c r="W290" s="36">
        <v>105438.21433295176</v>
      </c>
      <c r="X290" s="36">
        <v>58121.309351912292</v>
      </c>
      <c r="Y290" s="36">
        <v>61936.498669251239</v>
      </c>
      <c r="Z290" s="36">
        <v>59520.594725414965</v>
      </c>
      <c r="AA290" s="36">
        <v>52832.66368003848</v>
      </c>
      <c r="AB290" s="36">
        <v>58317.070871767413</v>
      </c>
      <c r="AC290" s="36">
        <v>58187.784865270361</v>
      </c>
      <c r="AD290" s="36">
        <v>74473.662262124868</v>
      </c>
      <c r="AE290" s="36">
        <v>111278.7196182263</v>
      </c>
      <c r="AF290" s="36">
        <v>87230.028457251989</v>
      </c>
      <c r="AG290" s="36">
        <v>65586.342910195599</v>
      </c>
    </row>
    <row r="291" spans="1:33" ht="15.75" customHeight="1" x14ac:dyDescent="0.25"/>
    <row r="292" spans="1:33" s="50" customFormat="1" ht="15.75" x14ac:dyDescent="0.25">
      <c r="C292" s="51">
        <v>567150948.66367102</v>
      </c>
      <c r="D292" s="51">
        <v>17787033.842094343</v>
      </c>
      <c r="E292" s="51">
        <v>17704549.777034767</v>
      </c>
      <c r="F292" s="51">
        <v>18072960.210485335</v>
      </c>
      <c r="G292" s="51">
        <v>19762974.25399125</v>
      </c>
      <c r="H292" s="51">
        <v>21458928.686736148</v>
      </c>
      <c r="I292" s="51">
        <v>20569932.420056477</v>
      </c>
      <c r="J292" s="51">
        <v>17535819.282657463</v>
      </c>
      <c r="K292" s="51">
        <v>17513708.316871278</v>
      </c>
      <c r="L292" s="51">
        <v>17816637.855923846</v>
      </c>
      <c r="M292" s="51">
        <v>17488832.962282959</v>
      </c>
      <c r="N292" s="51">
        <v>19611383.881104983</v>
      </c>
      <c r="O292" s="51">
        <v>20471701.82270759</v>
      </c>
      <c r="P292" s="51">
        <v>20004100.464828085</v>
      </c>
      <c r="Q292" s="51">
        <v>17150715.863055158</v>
      </c>
      <c r="R292" s="51">
        <v>16662098.718426967</v>
      </c>
      <c r="S292" s="51">
        <v>16917906.29438873</v>
      </c>
      <c r="T292" s="51">
        <v>17571588.766651746</v>
      </c>
      <c r="U292" s="51">
        <v>19415809.044579398</v>
      </c>
      <c r="V292" s="51">
        <v>20690881.085406534</v>
      </c>
      <c r="W292" s="51">
        <v>20411480.208037194</v>
      </c>
      <c r="X292" s="51">
        <v>18214255.521099851</v>
      </c>
      <c r="Y292" s="51">
        <v>18172641.645106826</v>
      </c>
      <c r="Z292" s="51">
        <v>17332054.648412026</v>
      </c>
      <c r="AA292" s="51">
        <v>16963508.934141725</v>
      </c>
      <c r="AB292" s="51">
        <v>18673511.228672221</v>
      </c>
      <c r="AC292" s="51">
        <v>20810609.316463076</v>
      </c>
      <c r="AD292" s="51">
        <v>20610655.682137005</v>
      </c>
      <c r="AE292" s="51">
        <v>22549373.229432359</v>
      </c>
      <c r="AF292" s="51">
        <v>21077585.7759193</v>
      </c>
      <c r="AG292" s="51">
        <v>18127708.924966104</v>
      </c>
    </row>
    <row r="294" spans="1:33" ht="15.75" thickBot="1" x14ac:dyDescent="0.3"/>
    <row r="295" spans="1:33" x14ac:dyDescent="0.25">
      <c r="B295" s="21" t="s">
        <v>2</v>
      </c>
      <c r="C295" s="20">
        <f>C3+C7+C15+C11+C19+C23+C27+C31+C35+C39+C43+C47+C51+C55+C59+C63+C67+C71+C75+C79+C83+C87+C91+C95+C99+C103+C107+C111+C115+C119+C123+C127+C131+C135+C139+C143+C147+C151+C155+C159+C163+C167+C171+C175+C179+C183+C187+C191+C195+C199+C203+C207+C211+C215+C219+C223+C227+C231+C235+C239+C243+C247+C251+C255+C259+C263+C267+C271+C275+C279+C283+C287</f>
        <v>124768418.01886272</v>
      </c>
      <c r="D295" s="20">
        <f t="shared" ref="D295:AG298" si="0">D3+D7+D15+D11+D19+D23+D27+D31+D35+D39+D43+D47+D51+D55+D59+D63+D67+D71+D75+D79+D83+D87+D91+D95+D99+D103+D107+D111+D115+D119+D123+D127+D131+D135+D139+D143+D147+D151+D155+D159+D163+D167+D171+D175+D179+D183+D187+D191+D195+D199+D203+D207+D211+D215+D219+D223+D227+D231+D235+D239+D243+D247+D251+D255+D259+D263+D267+D271+D275+D279+D283+D287</f>
        <v>4048072.9576903018</v>
      </c>
      <c r="E295" s="20">
        <f t="shared" si="0"/>
        <v>4094980.1138765467</v>
      </c>
      <c r="F295" s="20">
        <f t="shared" si="0"/>
        <v>4124616.3243708611</v>
      </c>
      <c r="G295" s="20">
        <f t="shared" si="0"/>
        <v>4444733.6277518999</v>
      </c>
      <c r="H295" s="20">
        <f t="shared" si="0"/>
        <v>4476186.47447279</v>
      </c>
      <c r="I295" s="20">
        <f t="shared" si="0"/>
        <v>4592634.300832293</v>
      </c>
      <c r="J295" s="20">
        <f t="shared" si="0"/>
        <v>3938042.8055366208</v>
      </c>
      <c r="K295" s="20">
        <f t="shared" si="0"/>
        <v>3847971.7104159724</v>
      </c>
      <c r="L295" s="20">
        <f t="shared" si="0"/>
        <v>3942188.9977562921</v>
      </c>
      <c r="M295" s="20">
        <f t="shared" si="0"/>
        <v>3871972.7677930011</v>
      </c>
      <c r="N295" s="20">
        <f t="shared" si="0"/>
        <v>4282570.5639030784</v>
      </c>
      <c r="O295" s="20">
        <f t="shared" si="0"/>
        <v>4199858.224479571</v>
      </c>
      <c r="P295" s="20">
        <f t="shared" si="0"/>
        <v>4319585.5401959568</v>
      </c>
      <c r="Q295" s="20">
        <f t="shared" si="0"/>
        <v>3847201.9561848328</v>
      </c>
      <c r="R295" s="20">
        <f t="shared" si="0"/>
        <v>3781345.1438309425</v>
      </c>
      <c r="S295" s="20">
        <f t="shared" si="0"/>
        <v>3829090.9325716831</v>
      </c>
      <c r="T295" s="20">
        <f t="shared" si="0"/>
        <v>3931649.4601242635</v>
      </c>
      <c r="U295" s="20">
        <f t="shared" si="0"/>
        <v>4210983.018961736</v>
      </c>
      <c r="V295" s="20">
        <f t="shared" si="0"/>
        <v>4162857.4863888212</v>
      </c>
      <c r="W295" s="20">
        <f t="shared" si="0"/>
        <v>4324573.140926796</v>
      </c>
      <c r="X295" s="20">
        <f t="shared" si="0"/>
        <v>4057067.0244944212</v>
      </c>
      <c r="Y295" s="20">
        <f t="shared" si="0"/>
        <v>4245250.2737850593</v>
      </c>
      <c r="Z295" s="20">
        <f t="shared" si="0"/>
        <v>4121757.7200687546</v>
      </c>
      <c r="AA295" s="20">
        <f t="shared" si="0"/>
        <v>3881083.9707674561</v>
      </c>
      <c r="AB295" s="20">
        <f t="shared" si="0"/>
        <v>4077496.8331970642</v>
      </c>
      <c r="AC295" s="20">
        <f t="shared" si="0"/>
        <v>4299965.9142758297</v>
      </c>
      <c r="AD295" s="20">
        <f t="shared" si="0"/>
        <v>4408320.4069789946</v>
      </c>
      <c r="AE295" s="20">
        <f t="shared" si="0"/>
        <v>4671880.3515515644</v>
      </c>
      <c r="AF295" s="20">
        <f t="shared" si="0"/>
        <v>4659269.3936297558</v>
      </c>
      <c r="AG295" s="20">
        <f t="shared" si="0"/>
        <v>4075210.5820495449</v>
      </c>
    </row>
    <row r="296" spans="1:33" x14ac:dyDescent="0.25">
      <c r="B296" s="22" t="s">
        <v>3</v>
      </c>
      <c r="C296" s="20">
        <f t="shared" ref="C296:R298" si="1">C4+C8+C16+C12+C20+C24+C28+C32+C36+C40+C44+C48+C52+C56+C60+C64+C68+C72+C76+C80+C84+C88+C92+C96+C100+C104+C108+C112+C116+C120+C124+C128+C132+C136+C140+C144+C148+C152+C156+C160+C164+C168+C172+C176+C180+C184+C188+C192+C196+C200+C204+C208+C212+C216+C220+C224+C228+C232+C236+C240+C244+C248+C252+C256+C260+C264+C268+C272+C276+C280+C284+C288</f>
        <v>117075343.83716968</v>
      </c>
      <c r="D296" s="20">
        <f t="shared" si="1"/>
        <v>3614135.4541486641</v>
      </c>
      <c r="E296" s="20">
        <f t="shared" si="1"/>
        <v>3527133.8169275732</v>
      </c>
      <c r="F296" s="20">
        <f t="shared" si="1"/>
        <v>3675880.5449714945</v>
      </c>
      <c r="G296" s="20">
        <f t="shared" si="1"/>
        <v>4113445.8612291133</v>
      </c>
      <c r="H296" s="20">
        <f t="shared" si="1"/>
        <v>4717438.7375997985</v>
      </c>
      <c r="I296" s="20">
        <f t="shared" si="1"/>
        <v>4241891.0272541652</v>
      </c>
      <c r="J296" s="20">
        <f t="shared" si="1"/>
        <v>3517827.3705344489</v>
      </c>
      <c r="K296" s="20">
        <f t="shared" si="1"/>
        <v>3504971.2270200844</v>
      </c>
      <c r="L296" s="20">
        <f t="shared" si="1"/>
        <v>3594658.2491546804</v>
      </c>
      <c r="M296" s="20">
        <f t="shared" si="1"/>
        <v>3428936.1215658151</v>
      </c>
      <c r="N296" s="20">
        <f t="shared" si="1"/>
        <v>3999366.6333900737</v>
      </c>
      <c r="O296" s="20">
        <f t="shared" si="1"/>
        <v>4473730.5824044179</v>
      </c>
      <c r="P296" s="20">
        <f t="shared" si="1"/>
        <v>4251150.5461641168</v>
      </c>
      <c r="Q296" s="20">
        <f t="shared" si="1"/>
        <v>3479197.4198628804</v>
      </c>
      <c r="R296" s="20">
        <f t="shared" si="1"/>
        <v>3258487.9979873602</v>
      </c>
      <c r="S296" s="20">
        <f t="shared" si="0"/>
        <v>3441058.1030006735</v>
      </c>
      <c r="T296" s="20">
        <f t="shared" si="0"/>
        <v>3525783.0445601465</v>
      </c>
      <c r="U296" s="20">
        <f t="shared" si="0"/>
        <v>4170331.7491807332</v>
      </c>
      <c r="V296" s="20">
        <f t="shared" si="0"/>
        <v>4512043.863295408</v>
      </c>
      <c r="W296" s="20">
        <f t="shared" si="0"/>
        <v>4329150.4834371908</v>
      </c>
      <c r="X296" s="20">
        <f t="shared" si="0"/>
        <v>3442941.020516492</v>
      </c>
      <c r="Y296" s="20">
        <f t="shared" si="0"/>
        <v>3415499.5932066757</v>
      </c>
      <c r="Z296" s="20">
        <f t="shared" si="0"/>
        <v>3306383.9902934441</v>
      </c>
      <c r="AA296" s="20">
        <f t="shared" si="0"/>
        <v>3213279.83998923</v>
      </c>
      <c r="AB296" s="20">
        <f t="shared" si="0"/>
        <v>3906305.4310801188</v>
      </c>
      <c r="AC296" s="20">
        <f t="shared" si="0"/>
        <v>4763826.332401922</v>
      </c>
      <c r="AD296" s="20">
        <f t="shared" si="0"/>
        <v>4316476.4307471495</v>
      </c>
      <c r="AE296" s="20">
        <f t="shared" si="0"/>
        <v>4987566.9942419361</v>
      </c>
      <c r="AF296" s="20">
        <f t="shared" si="0"/>
        <v>4432489.4037064174</v>
      </c>
      <c r="AG296" s="20">
        <f t="shared" si="0"/>
        <v>3913955.9672974655</v>
      </c>
    </row>
    <row r="297" spans="1:33" x14ac:dyDescent="0.25">
      <c r="B297" s="22" t="s">
        <v>4</v>
      </c>
      <c r="C297" s="20">
        <f t="shared" si="1"/>
        <v>152626959.21196631</v>
      </c>
      <c r="D297" s="20">
        <f t="shared" si="0"/>
        <v>4749913.920935465</v>
      </c>
      <c r="E297" s="20">
        <f t="shared" si="0"/>
        <v>4732564.2042449433</v>
      </c>
      <c r="F297" s="20">
        <f t="shared" si="0"/>
        <v>4959062.7693999354</v>
      </c>
      <c r="G297" s="20">
        <f t="shared" si="0"/>
        <v>5430719.7490173727</v>
      </c>
      <c r="H297" s="20">
        <f t="shared" si="0"/>
        <v>6016408.2177538304</v>
      </c>
      <c r="I297" s="20">
        <f t="shared" si="0"/>
        <v>5544865.9054482663</v>
      </c>
      <c r="J297" s="20">
        <f t="shared" si="0"/>
        <v>4695369.8605720568</v>
      </c>
      <c r="K297" s="20">
        <f t="shared" si="0"/>
        <v>4734790.984111459</v>
      </c>
      <c r="L297" s="20">
        <f t="shared" si="0"/>
        <v>4807037.0161795504</v>
      </c>
      <c r="M297" s="20">
        <f t="shared" si="0"/>
        <v>4842874.3201331804</v>
      </c>
      <c r="N297" s="20">
        <f t="shared" si="0"/>
        <v>5345589.4215564467</v>
      </c>
      <c r="O297" s="20">
        <f t="shared" si="0"/>
        <v>5657757.3632974913</v>
      </c>
      <c r="P297" s="20">
        <f t="shared" si="0"/>
        <v>5291370.0964102745</v>
      </c>
      <c r="Q297" s="20">
        <f t="shared" si="0"/>
        <v>4552502.2257265691</v>
      </c>
      <c r="R297" s="20">
        <f t="shared" si="0"/>
        <v>4502812.8737544641</v>
      </c>
      <c r="S297" s="20">
        <f t="shared" si="0"/>
        <v>4510254.0914424947</v>
      </c>
      <c r="T297" s="20">
        <f t="shared" si="0"/>
        <v>4785926.6777158957</v>
      </c>
      <c r="U297" s="20">
        <f t="shared" si="0"/>
        <v>5311202.3725755047</v>
      </c>
      <c r="V297" s="20">
        <f t="shared" si="0"/>
        <v>5801048.5708503341</v>
      </c>
      <c r="W297" s="20">
        <f t="shared" si="0"/>
        <v>5580111.9927442325</v>
      </c>
      <c r="X297" s="20">
        <f t="shared" si="0"/>
        <v>4932876.2847504281</v>
      </c>
      <c r="Y297" s="20">
        <f t="shared" si="0"/>
        <v>4797875.4908297593</v>
      </c>
      <c r="Z297" s="20">
        <f t="shared" si="0"/>
        <v>4456885.7010534052</v>
      </c>
      <c r="AA297" s="20">
        <f t="shared" si="0"/>
        <v>4406560.4507638533</v>
      </c>
      <c r="AB297" s="20">
        <f t="shared" si="0"/>
        <v>5028408.6252203649</v>
      </c>
      <c r="AC297" s="20">
        <f t="shared" si="0"/>
        <v>5405437.7507003276</v>
      </c>
      <c r="AD297" s="20">
        <f t="shared" si="0"/>
        <v>5333510.4009863278</v>
      </c>
      <c r="AE297" s="20">
        <f t="shared" si="0"/>
        <v>6175835.5406723367</v>
      </c>
      <c r="AF297" s="20">
        <f t="shared" si="0"/>
        <v>5516143.3017186215</v>
      </c>
      <c r="AG297" s="20">
        <f t="shared" si="0"/>
        <v>4721243.0314010791</v>
      </c>
    </row>
    <row r="298" spans="1:33" ht="15.75" thickBot="1" x14ac:dyDescent="0.3">
      <c r="B298" s="23" t="s">
        <v>5</v>
      </c>
      <c r="C298" s="20">
        <f t="shared" si="1"/>
        <v>172680227.5956721</v>
      </c>
      <c r="D298" s="20">
        <f t="shared" si="0"/>
        <v>5374911.5093199089</v>
      </c>
      <c r="E298" s="20">
        <f t="shared" si="0"/>
        <v>5349871.6419857163</v>
      </c>
      <c r="F298" s="20">
        <f t="shared" si="0"/>
        <v>5313400.5717430571</v>
      </c>
      <c r="G298" s="20">
        <f t="shared" si="0"/>
        <v>5774075.0159928538</v>
      </c>
      <c r="H298" s="20">
        <f t="shared" si="0"/>
        <v>6248895.2569097178</v>
      </c>
      <c r="I298" s="20">
        <f t="shared" si="0"/>
        <v>6190541.1865217453</v>
      </c>
      <c r="J298" s="20">
        <f t="shared" si="0"/>
        <v>5384579.2460143389</v>
      </c>
      <c r="K298" s="20">
        <f t="shared" si="0"/>
        <v>5425974.3953237552</v>
      </c>
      <c r="L298" s="20">
        <f t="shared" si="0"/>
        <v>5472753.5928333411</v>
      </c>
      <c r="M298" s="20">
        <f t="shared" si="0"/>
        <v>5345049.752790953</v>
      </c>
      <c r="N298" s="20">
        <f t="shared" si="0"/>
        <v>5983857.2622553799</v>
      </c>
      <c r="O298" s="20">
        <f t="shared" si="0"/>
        <v>6140355.6525261179</v>
      </c>
      <c r="P298" s="20">
        <f t="shared" si="0"/>
        <v>6141994.2820577556</v>
      </c>
      <c r="Q298" s="20">
        <f t="shared" si="0"/>
        <v>5271814.2612808654</v>
      </c>
      <c r="R298" s="20">
        <f t="shared" si="0"/>
        <v>5119452.7028542031</v>
      </c>
      <c r="S298" s="20">
        <f t="shared" si="0"/>
        <v>5137503.1673738649</v>
      </c>
      <c r="T298" s="20">
        <f t="shared" si="0"/>
        <v>5328229.5842514401</v>
      </c>
      <c r="U298" s="20">
        <f t="shared" si="0"/>
        <v>5723291.9038614212</v>
      </c>
      <c r="V298" s="20">
        <f t="shared" si="0"/>
        <v>6214931.1648719683</v>
      </c>
      <c r="W298" s="20">
        <f t="shared" si="0"/>
        <v>6177644.590928982</v>
      </c>
      <c r="X298" s="20">
        <f t="shared" si="0"/>
        <v>5781371.1913385158</v>
      </c>
      <c r="Y298" s="20">
        <f t="shared" si="0"/>
        <v>5714016.2872853372</v>
      </c>
      <c r="Z298" s="20">
        <f t="shared" si="0"/>
        <v>5447027.2369964346</v>
      </c>
      <c r="AA298" s="20">
        <f t="shared" si="0"/>
        <v>5462584.6726211905</v>
      </c>
      <c r="AB298" s="20">
        <f t="shared" si="0"/>
        <v>5661300.339174673</v>
      </c>
      <c r="AC298" s="20">
        <f t="shared" si="0"/>
        <v>6341379.319084988</v>
      </c>
      <c r="AD298" s="20">
        <f t="shared" si="0"/>
        <v>6552348.4434245396</v>
      </c>
      <c r="AE298" s="20">
        <f t="shared" si="0"/>
        <v>6714090.34296651</v>
      </c>
      <c r="AF298" s="20">
        <f t="shared" si="0"/>
        <v>6469683.6768645234</v>
      </c>
      <c r="AG298" s="20">
        <f t="shared" si="0"/>
        <v>5417299.3442180222</v>
      </c>
    </row>
    <row r="299" spans="1:33" ht="19.5" thickBot="1" x14ac:dyDescent="0.35">
      <c r="B299" s="29" t="s">
        <v>73</v>
      </c>
      <c r="C299" s="30">
        <f>SUM(C295:C298)</f>
        <v>567150948.66367078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F8A3-C2F0-4955-9416-51D895A8726F}">
  <dimension ref="A1:F291"/>
  <sheetViews>
    <sheetView workbookViewId="0">
      <selection activeCell="J15" sqref="J15"/>
    </sheetView>
  </sheetViews>
  <sheetFormatPr defaultRowHeight="15" x14ac:dyDescent="0.25"/>
  <cols>
    <col min="1" max="1" width="26.42578125" bestFit="1" customWidth="1"/>
    <col min="2" max="2" width="12.85546875" bestFit="1" customWidth="1"/>
    <col min="3" max="3" width="17.28515625" bestFit="1" customWidth="1"/>
    <col min="4" max="4" width="17.28515625" customWidth="1"/>
    <col min="5" max="5" width="10.42578125" bestFit="1" customWidth="1"/>
    <col min="6" max="6" width="26" style="7" bestFit="1" customWidth="1"/>
  </cols>
  <sheetData>
    <row r="1" spans="1:6" ht="18.75" x14ac:dyDescent="0.3">
      <c r="A1" s="18" t="s">
        <v>64</v>
      </c>
      <c r="B1" s="18" t="s">
        <v>88</v>
      </c>
      <c r="C1" s="18" t="s">
        <v>89</v>
      </c>
      <c r="D1" s="18"/>
      <c r="E1" s="18" t="s">
        <v>90</v>
      </c>
      <c r="F1" s="40" t="s">
        <v>91</v>
      </c>
    </row>
    <row r="2" spans="1:6" x14ac:dyDescent="0.25">
      <c r="A2" t="s">
        <v>7</v>
      </c>
      <c r="B2">
        <v>1</v>
      </c>
      <c r="C2" t="s">
        <v>4</v>
      </c>
      <c r="D2" t="str">
        <f>A2&amp;C2</f>
        <v>KIAMBUBAKERY</v>
      </c>
      <c r="E2" t="s">
        <v>98</v>
      </c>
      <c r="F2" s="7">
        <v>3477931.5292685255</v>
      </c>
    </row>
    <row r="3" spans="1:6" x14ac:dyDescent="0.25">
      <c r="A3" t="s">
        <v>7</v>
      </c>
      <c r="B3">
        <v>1</v>
      </c>
      <c r="C3" t="s">
        <v>3</v>
      </c>
      <c r="D3" t="str">
        <f t="shared" ref="D3:D66" si="0">A3&amp;C3</f>
        <v>KIAMBUBUTCHERY</v>
      </c>
      <c r="E3" t="s">
        <v>98</v>
      </c>
      <c r="F3" s="7">
        <v>7312577.2850437453</v>
      </c>
    </row>
    <row r="4" spans="1:6" x14ac:dyDescent="0.25">
      <c r="A4" t="s">
        <v>7</v>
      </c>
      <c r="B4">
        <v>1</v>
      </c>
      <c r="C4" t="s">
        <v>2</v>
      </c>
      <c r="D4" t="str">
        <f t="shared" si="0"/>
        <v>KIAMBUDELI</v>
      </c>
      <c r="E4" t="s">
        <v>98</v>
      </c>
      <c r="F4" s="7">
        <v>4608683.2467690641</v>
      </c>
    </row>
    <row r="5" spans="1:6" x14ac:dyDescent="0.25">
      <c r="A5" t="s">
        <v>7</v>
      </c>
      <c r="B5">
        <v>1</v>
      </c>
      <c r="C5" t="s">
        <v>5</v>
      </c>
      <c r="D5" t="str">
        <f t="shared" si="0"/>
        <v>KIAMBUVEGES</v>
      </c>
      <c r="E5" t="s">
        <v>98</v>
      </c>
      <c r="F5" s="7">
        <v>9094053.3516398743</v>
      </c>
    </row>
    <row r="6" spans="1:6" x14ac:dyDescent="0.25">
      <c r="A6" t="s">
        <v>1</v>
      </c>
      <c r="B6">
        <v>2</v>
      </c>
      <c r="C6" t="s">
        <v>4</v>
      </c>
      <c r="D6" t="str">
        <f t="shared" si="0"/>
        <v>RUAKABAKERY</v>
      </c>
      <c r="E6" t="s">
        <v>98</v>
      </c>
      <c r="F6" s="7">
        <v>4052004.7705934695</v>
      </c>
    </row>
    <row r="7" spans="1:6" x14ac:dyDescent="0.25">
      <c r="A7" t="s">
        <v>1</v>
      </c>
      <c r="B7">
        <v>2</v>
      </c>
      <c r="C7" t="s">
        <v>3</v>
      </c>
      <c r="D7" t="str">
        <f t="shared" si="0"/>
        <v>RUAKABUTCHERY</v>
      </c>
      <c r="E7" t="s">
        <v>98</v>
      </c>
      <c r="F7" s="7">
        <v>4514287.3753054244</v>
      </c>
    </row>
    <row r="8" spans="1:6" x14ac:dyDescent="0.25">
      <c r="A8" t="s">
        <v>1</v>
      </c>
      <c r="B8">
        <v>2</v>
      </c>
      <c r="C8" t="s">
        <v>2</v>
      </c>
      <c r="D8" t="str">
        <f t="shared" si="0"/>
        <v>RUAKADELI</v>
      </c>
      <c r="E8" t="s">
        <v>98</v>
      </c>
      <c r="F8" s="7">
        <v>4644854.2451024298</v>
      </c>
    </row>
    <row r="9" spans="1:6" x14ac:dyDescent="0.25">
      <c r="A9" t="s">
        <v>1</v>
      </c>
      <c r="B9">
        <v>2</v>
      </c>
      <c r="C9" t="s">
        <v>5</v>
      </c>
      <c r="D9" t="str">
        <f t="shared" si="0"/>
        <v>RUAKAVEGES</v>
      </c>
      <c r="E9" t="s">
        <v>98</v>
      </c>
      <c r="F9" s="7">
        <v>2508886.6525179511</v>
      </c>
    </row>
    <row r="10" spans="1:6" x14ac:dyDescent="0.25">
      <c r="A10" t="s">
        <v>6</v>
      </c>
      <c r="B10">
        <v>3</v>
      </c>
      <c r="C10" t="s">
        <v>4</v>
      </c>
      <c r="D10" t="str">
        <f t="shared" si="0"/>
        <v>RUAIBAKERY</v>
      </c>
      <c r="E10" t="s">
        <v>98</v>
      </c>
      <c r="F10" s="7">
        <v>3878267.2223237376</v>
      </c>
    </row>
    <row r="11" spans="1:6" x14ac:dyDescent="0.25">
      <c r="A11" t="s">
        <v>6</v>
      </c>
      <c r="B11">
        <v>3</v>
      </c>
      <c r="C11" t="s">
        <v>3</v>
      </c>
      <c r="D11" t="str">
        <f t="shared" si="0"/>
        <v>RUAIBUTCHERY</v>
      </c>
      <c r="E11" t="s">
        <v>98</v>
      </c>
      <c r="F11" s="7">
        <v>1369456.0393886841</v>
      </c>
    </row>
    <row r="12" spans="1:6" x14ac:dyDescent="0.25">
      <c r="A12" t="s">
        <v>6</v>
      </c>
      <c r="B12">
        <v>3</v>
      </c>
      <c r="C12" t="s">
        <v>2</v>
      </c>
      <c r="D12" t="str">
        <f t="shared" si="0"/>
        <v>RUAIDELI</v>
      </c>
      <c r="E12" t="s">
        <v>98</v>
      </c>
      <c r="F12" s="7">
        <v>2271349.2351356298</v>
      </c>
    </row>
    <row r="13" spans="1:6" x14ac:dyDescent="0.25">
      <c r="A13" t="s">
        <v>6</v>
      </c>
      <c r="B13">
        <v>3</v>
      </c>
      <c r="C13" t="s">
        <v>5</v>
      </c>
      <c r="D13" t="str">
        <f t="shared" si="0"/>
        <v>RUAIVEGES</v>
      </c>
      <c r="E13" t="s">
        <v>98</v>
      </c>
      <c r="F13" s="7">
        <v>1364275.8093426598</v>
      </c>
    </row>
    <row r="14" spans="1:6" x14ac:dyDescent="0.25">
      <c r="A14" t="s">
        <v>9</v>
      </c>
      <c r="B14">
        <v>4</v>
      </c>
      <c r="C14" t="s">
        <v>4</v>
      </c>
      <c r="D14" t="str">
        <f t="shared" si="0"/>
        <v>EBP 1BAKERY</v>
      </c>
      <c r="E14" t="s">
        <v>98</v>
      </c>
      <c r="F14" s="7">
        <v>1382223.1846320101</v>
      </c>
    </row>
    <row r="15" spans="1:6" x14ac:dyDescent="0.25">
      <c r="A15" t="s">
        <v>9</v>
      </c>
      <c r="B15">
        <v>4</v>
      </c>
      <c r="C15" t="s">
        <v>3</v>
      </c>
      <c r="D15" t="str">
        <f t="shared" si="0"/>
        <v>EBP 1BUTCHERY</v>
      </c>
      <c r="E15" t="s">
        <v>98</v>
      </c>
      <c r="F15" s="7">
        <v>1817527.9823509541</v>
      </c>
    </row>
    <row r="16" spans="1:6" x14ac:dyDescent="0.25">
      <c r="A16" t="s">
        <v>9</v>
      </c>
      <c r="B16">
        <v>4</v>
      </c>
      <c r="C16" t="s">
        <v>2</v>
      </c>
      <c r="D16" t="str">
        <f t="shared" si="0"/>
        <v>EBP 1DELI</v>
      </c>
      <c r="E16" t="s">
        <v>98</v>
      </c>
      <c r="F16" s="7">
        <v>1911756.1857579895</v>
      </c>
    </row>
    <row r="17" spans="1:6" x14ac:dyDescent="0.25">
      <c r="A17" t="s">
        <v>9</v>
      </c>
      <c r="B17">
        <v>4</v>
      </c>
      <c r="C17" t="s">
        <v>5</v>
      </c>
      <c r="D17" t="str">
        <f t="shared" si="0"/>
        <v>EBP 1VEGES</v>
      </c>
      <c r="E17" t="s">
        <v>98</v>
      </c>
      <c r="F17" s="7">
        <v>1967822.8240148281</v>
      </c>
    </row>
    <row r="18" spans="1:6" x14ac:dyDescent="0.25">
      <c r="A18" t="s">
        <v>65</v>
      </c>
      <c r="B18">
        <v>5</v>
      </c>
      <c r="C18" t="s">
        <v>4</v>
      </c>
      <c r="D18" t="str">
        <f t="shared" si="0"/>
        <v>KahawaBAKERY</v>
      </c>
      <c r="E18" t="s">
        <v>98</v>
      </c>
      <c r="F18" s="7">
        <v>2180551.7910802923</v>
      </c>
    </row>
    <row r="19" spans="1:6" x14ac:dyDescent="0.25">
      <c r="A19" t="s">
        <v>65</v>
      </c>
      <c r="B19">
        <v>5</v>
      </c>
      <c r="C19" t="s">
        <v>3</v>
      </c>
      <c r="D19" t="str">
        <f t="shared" si="0"/>
        <v>KahawaBUTCHERY</v>
      </c>
      <c r="E19" t="s">
        <v>98</v>
      </c>
      <c r="F19" s="7">
        <v>843072.41509825946</v>
      </c>
    </row>
    <row r="20" spans="1:6" x14ac:dyDescent="0.25">
      <c r="A20" t="s">
        <v>65</v>
      </c>
      <c r="B20">
        <v>5</v>
      </c>
      <c r="C20" t="s">
        <v>2</v>
      </c>
      <c r="D20" t="str">
        <f t="shared" si="0"/>
        <v>KahawaDELI</v>
      </c>
      <c r="E20" t="s">
        <v>98</v>
      </c>
      <c r="F20" s="7">
        <v>2106034.4493071912</v>
      </c>
    </row>
    <row r="21" spans="1:6" x14ac:dyDescent="0.25">
      <c r="A21" t="s">
        <v>65</v>
      </c>
      <c r="B21">
        <v>5</v>
      </c>
      <c r="C21" t="s">
        <v>5</v>
      </c>
      <c r="D21" t="str">
        <f t="shared" si="0"/>
        <v>KahawaVEGES</v>
      </c>
      <c r="E21" t="s">
        <v>98</v>
      </c>
      <c r="F21" s="7">
        <v>984188.19761056185</v>
      </c>
    </row>
    <row r="22" spans="1:6" x14ac:dyDescent="0.25">
      <c r="A22" t="s">
        <v>8</v>
      </c>
      <c r="B22">
        <v>6</v>
      </c>
      <c r="C22" t="s">
        <v>4</v>
      </c>
      <c r="D22" t="str">
        <f t="shared" si="0"/>
        <v>KIKUYUBAKERY</v>
      </c>
      <c r="E22" t="s">
        <v>98</v>
      </c>
      <c r="F22" s="7">
        <v>1892238.1059495383</v>
      </c>
    </row>
    <row r="23" spans="1:6" x14ac:dyDescent="0.25">
      <c r="A23" t="s">
        <v>8</v>
      </c>
      <c r="B23">
        <v>6</v>
      </c>
      <c r="C23" t="s">
        <v>3</v>
      </c>
      <c r="D23" t="str">
        <f t="shared" si="0"/>
        <v>KIKUYUBUTCHERY</v>
      </c>
      <c r="E23" t="s">
        <v>98</v>
      </c>
      <c r="F23" s="7">
        <v>404486.8153551814</v>
      </c>
    </row>
    <row r="24" spans="1:6" x14ac:dyDescent="0.25">
      <c r="A24" t="s">
        <v>8</v>
      </c>
      <c r="B24">
        <v>6</v>
      </c>
      <c r="C24" t="s">
        <v>2</v>
      </c>
      <c r="D24" t="str">
        <f t="shared" si="0"/>
        <v>KIKUYUDELI</v>
      </c>
      <c r="E24" t="s">
        <v>98</v>
      </c>
      <c r="F24" s="7">
        <v>733762.56450909341</v>
      </c>
    </row>
    <row r="25" spans="1:6" x14ac:dyDescent="0.25">
      <c r="A25" t="s">
        <v>8</v>
      </c>
      <c r="B25">
        <v>6</v>
      </c>
      <c r="C25" t="s">
        <v>5</v>
      </c>
      <c r="D25" t="str">
        <f t="shared" si="0"/>
        <v>KIKUYUVEGES</v>
      </c>
      <c r="E25" t="s">
        <v>98</v>
      </c>
      <c r="F25" s="7">
        <v>266445.97098171682</v>
      </c>
    </row>
    <row r="26" spans="1:6" x14ac:dyDescent="0.25">
      <c r="A26" t="s">
        <v>10</v>
      </c>
      <c r="B26">
        <v>7</v>
      </c>
      <c r="C26" t="s">
        <v>4</v>
      </c>
      <c r="D26" t="str">
        <f t="shared" si="0"/>
        <v>RUIRUBAKERY</v>
      </c>
      <c r="E26" t="s">
        <v>98</v>
      </c>
      <c r="F26" s="7">
        <v>2117280.0361045692</v>
      </c>
    </row>
    <row r="27" spans="1:6" x14ac:dyDescent="0.25">
      <c r="A27" t="s">
        <v>10</v>
      </c>
      <c r="B27">
        <v>7</v>
      </c>
      <c r="C27" t="s">
        <v>3</v>
      </c>
      <c r="D27" t="str">
        <f t="shared" si="0"/>
        <v>RUIRUBUTCHERY</v>
      </c>
      <c r="E27" t="s">
        <v>98</v>
      </c>
      <c r="F27" s="7">
        <v>2038449.5123502263</v>
      </c>
    </row>
    <row r="28" spans="1:6" x14ac:dyDescent="0.25">
      <c r="A28" t="s">
        <v>10</v>
      </c>
      <c r="B28">
        <v>7</v>
      </c>
      <c r="C28" t="s">
        <v>2</v>
      </c>
      <c r="D28" t="str">
        <f t="shared" si="0"/>
        <v>RUIRUDELI</v>
      </c>
      <c r="E28" t="s">
        <v>98</v>
      </c>
      <c r="F28" s="7">
        <v>1767783.9258355002</v>
      </c>
    </row>
    <row r="29" spans="1:6" x14ac:dyDescent="0.25">
      <c r="A29" t="s">
        <v>10</v>
      </c>
      <c r="B29">
        <v>7</v>
      </c>
      <c r="C29" t="s">
        <v>5</v>
      </c>
      <c r="D29" t="str">
        <f t="shared" si="0"/>
        <v>RUIRUVEGES</v>
      </c>
      <c r="E29" t="s">
        <v>98</v>
      </c>
      <c r="F29" s="7">
        <v>1869611.8469328482</v>
      </c>
    </row>
    <row r="30" spans="1:6" x14ac:dyDescent="0.25">
      <c r="A30" t="s">
        <v>11</v>
      </c>
      <c r="B30">
        <v>8</v>
      </c>
      <c r="C30" t="s">
        <v>4</v>
      </c>
      <c r="D30" t="str">
        <f t="shared" si="0"/>
        <v>LAVINGTONBAKERY</v>
      </c>
      <c r="E30" t="s">
        <v>98</v>
      </c>
      <c r="F30" s="7">
        <v>2506717.5948303356</v>
      </c>
    </row>
    <row r="31" spans="1:6" x14ac:dyDescent="0.25">
      <c r="A31" t="s">
        <v>11</v>
      </c>
      <c r="B31">
        <v>8</v>
      </c>
      <c r="C31" t="s">
        <v>3</v>
      </c>
      <c r="D31" t="str">
        <f t="shared" si="0"/>
        <v>LAVINGTONBUTCHERY</v>
      </c>
      <c r="E31" t="s">
        <v>98</v>
      </c>
      <c r="F31" s="7">
        <v>7809296.2736768732</v>
      </c>
    </row>
    <row r="32" spans="1:6" x14ac:dyDescent="0.25">
      <c r="A32" t="s">
        <v>11</v>
      </c>
      <c r="B32">
        <v>8</v>
      </c>
      <c r="C32" t="s">
        <v>2</v>
      </c>
      <c r="D32" t="str">
        <f t="shared" si="0"/>
        <v>LAVINGTONDELI</v>
      </c>
      <c r="E32" t="s">
        <v>98</v>
      </c>
      <c r="F32" s="7">
        <v>3817445.5538704013</v>
      </c>
    </row>
    <row r="33" spans="1:6" x14ac:dyDescent="0.25">
      <c r="A33" t="s">
        <v>11</v>
      </c>
      <c r="B33">
        <v>8</v>
      </c>
      <c r="C33" t="s">
        <v>5</v>
      </c>
      <c r="D33" t="str">
        <f t="shared" si="0"/>
        <v>LAVINGTONVEGES</v>
      </c>
      <c r="E33" t="s">
        <v>98</v>
      </c>
      <c r="F33" s="7">
        <v>10441043.628178572</v>
      </c>
    </row>
    <row r="34" spans="1:6" x14ac:dyDescent="0.25">
      <c r="A34" t="s">
        <v>16</v>
      </c>
      <c r="B34">
        <v>9</v>
      </c>
      <c r="C34" t="s">
        <v>4</v>
      </c>
      <c r="D34" t="str">
        <f t="shared" si="0"/>
        <v>PIPELINEBAKERY</v>
      </c>
      <c r="E34" t="s">
        <v>98</v>
      </c>
      <c r="F34" s="7">
        <v>668143.824617662</v>
      </c>
    </row>
    <row r="35" spans="1:6" x14ac:dyDescent="0.25">
      <c r="A35" t="s">
        <v>16</v>
      </c>
      <c r="B35">
        <v>9</v>
      </c>
      <c r="C35" t="s">
        <v>3</v>
      </c>
      <c r="D35" t="str">
        <f t="shared" si="0"/>
        <v>PIPELINEBUTCHERY</v>
      </c>
      <c r="E35" t="s">
        <v>98</v>
      </c>
      <c r="F35" s="7">
        <v>0</v>
      </c>
    </row>
    <row r="36" spans="1:6" x14ac:dyDescent="0.25">
      <c r="A36" t="s">
        <v>16</v>
      </c>
      <c r="B36">
        <v>9</v>
      </c>
      <c r="C36" t="s">
        <v>2</v>
      </c>
      <c r="D36" t="str">
        <f t="shared" si="0"/>
        <v>PIPELINEDELI</v>
      </c>
      <c r="E36" t="s">
        <v>98</v>
      </c>
      <c r="F36" s="7">
        <v>34202.124018306742</v>
      </c>
    </row>
    <row r="37" spans="1:6" x14ac:dyDescent="0.25">
      <c r="A37" t="s">
        <v>16</v>
      </c>
      <c r="B37">
        <v>9</v>
      </c>
      <c r="C37" t="s">
        <v>5</v>
      </c>
      <c r="D37" t="str">
        <f t="shared" si="0"/>
        <v>PIPELINEVEGES</v>
      </c>
      <c r="E37" t="s">
        <v>98</v>
      </c>
      <c r="F37" s="7">
        <v>15857.574524891694</v>
      </c>
    </row>
    <row r="38" spans="1:6" x14ac:dyDescent="0.25">
      <c r="A38" t="s">
        <v>17</v>
      </c>
      <c r="B38">
        <v>10</v>
      </c>
      <c r="C38" t="s">
        <v>4</v>
      </c>
      <c r="D38" t="str">
        <f t="shared" si="0"/>
        <v>DONHOLMBAKERY</v>
      </c>
      <c r="E38" t="s">
        <v>98</v>
      </c>
      <c r="F38" s="7">
        <v>2021169.7334814754</v>
      </c>
    </row>
    <row r="39" spans="1:6" x14ac:dyDescent="0.25">
      <c r="A39" t="s">
        <v>17</v>
      </c>
      <c r="B39">
        <v>10</v>
      </c>
      <c r="C39" t="s">
        <v>3</v>
      </c>
      <c r="D39" t="str">
        <f t="shared" si="0"/>
        <v>DONHOLMBUTCHERY</v>
      </c>
      <c r="E39" t="s">
        <v>98</v>
      </c>
      <c r="F39" s="7">
        <v>699075.64633712277</v>
      </c>
    </row>
    <row r="40" spans="1:6" x14ac:dyDescent="0.25">
      <c r="A40" t="s">
        <v>17</v>
      </c>
      <c r="B40">
        <v>10</v>
      </c>
      <c r="C40" t="s">
        <v>2</v>
      </c>
      <c r="D40" t="str">
        <f t="shared" si="0"/>
        <v>DONHOLMDELI</v>
      </c>
      <c r="E40" t="s">
        <v>98</v>
      </c>
      <c r="F40" s="7">
        <v>1862836.0044198215</v>
      </c>
    </row>
    <row r="41" spans="1:6" x14ac:dyDescent="0.25">
      <c r="A41" t="s">
        <v>17</v>
      </c>
      <c r="B41">
        <v>10</v>
      </c>
      <c r="C41" t="s">
        <v>5</v>
      </c>
      <c r="D41" t="str">
        <f t="shared" si="0"/>
        <v>DONHOLMVEGES</v>
      </c>
      <c r="E41" t="s">
        <v>98</v>
      </c>
      <c r="F41" s="7">
        <v>808446.26874451817</v>
      </c>
    </row>
    <row r="42" spans="1:6" x14ac:dyDescent="0.25">
      <c r="A42" t="s">
        <v>19</v>
      </c>
      <c r="B42">
        <v>11</v>
      </c>
      <c r="C42" t="s">
        <v>4</v>
      </c>
      <c r="D42" t="str">
        <f t="shared" si="0"/>
        <v>OUTERINGBAKERY</v>
      </c>
      <c r="E42" t="s">
        <v>98</v>
      </c>
      <c r="F42" s="7">
        <v>645842.06655085238</v>
      </c>
    </row>
    <row r="43" spans="1:6" x14ac:dyDescent="0.25">
      <c r="A43" t="s">
        <v>19</v>
      </c>
      <c r="B43">
        <v>11</v>
      </c>
      <c r="C43" t="s">
        <v>3</v>
      </c>
      <c r="D43" t="str">
        <f t="shared" si="0"/>
        <v>OUTERINGBUTCHERY</v>
      </c>
      <c r="E43" t="s">
        <v>98</v>
      </c>
      <c r="F43" s="7">
        <v>0</v>
      </c>
    </row>
    <row r="44" spans="1:6" x14ac:dyDescent="0.25">
      <c r="A44" t="s">
        <v>19</v>
      </c>
      <c r="B44">
        <v>11</v>
      </c>
      <c r="C44" t="s">
        <v>2</v>
      </c>
      <c r="D44" t="str">
        <f t="shared" si="0"/>
        <v>OUTERINGDELI</v>
      </c>
      <c r="E44" t="s">
        <v>98</v>
      </c>
      <c r="F44" s="7">
        <v>166636.1499277796</v>
      </c>
    </row>
    <row r="45" spans="1:6" x14ac:dyDescent="0.25">
      <c r="A45" t="s">
        <v>19</v>
      </c>
      <c r="B45">
        <v>11</v>
      </c>
      <c r="C45" t="s">
        <v>5</v>
      </c>
      <c r="D45" t="str">
        <f t="shared" si="0"/>
        <v>OUTERINGVEGES</v>
      </c>
      <c r="E45" t="s">
        <v>98</v>
      </c>
      <c r="F45" s="7">
        <v>140075.6461208323</v>
      </c>
    </row>
    <row r="46" spans="1:6" x14ac:dyDescent="0.25">
      <c r="A46" t="s">
        <v>20</v>
      </c>
      <c r="B46">
        <v>12</v>
      </c>
      <c r="C46" t="s">
        <v>4</v>
      </c>
      <c r="D46" t="str">
        <f t="shared" si="0"/>
        <v>FEDHABAKERY</v>
      </c>
      <c r="E46" t="s">
        <v>98</v>
      </c>
      <c r="F46" s="7">
        <v>3040413.6820357512</v>
      </c>
    </row>
    <row r="47" spans="1:6" x14ac:dyDescent="0.25">
      <c r="A47" t="s">
        <v>20</v>
      </c>
      <c r="B47">
        <v>12</v>
      </c>
      <c r="C47" t="s">
        <v>3</v>
      </c>
      <c r="D47" t="str">
        <f t="shared" si="0"/>
        <v>FEDHABUTCHERY</v>
      </c>
      <c r="E47" t="s">
        <v>98</v>
      </c>
      <c r="F47" s="7">
        <v>1732165.7052954922</v>
      </c>
    </row>
    <row r="48" spans="1:6" x14ac:dyDescent="0.25">
      <c r="A48" t="s">
        <v>20</v>
      </c>
      <c r="B48">
        <v>12</v>
      </c>
      <c r="C48" t="s">
        <v>2</v>
      </c>
      <c r="D48" t="str">
        <f t="shared" si="0"/>
        <v>FEDHADELI</v>
      </c>
      <c r="E48" t="s">
        <v>98</v>
      </c>
      <c r="F48" s="7">
        <v>1720913.7417863728</v>
      </c>
    </row>
    <row r="49" spans="1:6" x14ac:dyDescent="0.25">
      <c r="A49" t="s">
        <v>20</v>
      </c>
      <c r="B49">
        <v>12</v>
      </c>
      <c r="C49" t="s">
        <v>5</v>
      </c>
      <c r="D49" t="str">
        <f t="shared" si="0"/>
        <v>FEDHAVEGES</v>
      </c>
      <c r="E49" t="s">
        <v>98</v>
      </c>
      <c r="F49" s="7">
        <v>1561453.0415790973</v>
      </c>
    </row>
    <row r="50" spans="1:6" x14ac:dyDescent="0.25">
      <c r="A50" t="s">
        <v>21</v>
      </c>
      <c r="B50">
        <v>13</v>
      </c>
      <c r="C50" t="s">
        <v>4</v>
      </c>
      <c r="D50" t="str">
        <f t="shared" si="0"/>
        <v>RONGAI EXPRESSBAKERY</v>
      </c>
      <c r="E50" t="s">
        <v>98</v>
      </c>
      <c r="F50" s="7">
        <v>2077460.5385081274</v>
      </c>
    </row>
    <row r="51" spans="1:6" x14ac:dyDescent="0.25">
      <c r="A51" t="s">
        <v>21</v>
      </c>
      <c r="B51">
        <v>13</v>
      </c>
      <c r="C51" t="s">
        <v>3</v>
      </c>
      <c r="D51" t="str">
        <f t="shared" si="0"/>
        <v>RONGAI EXPRESSBUTCHERY</v>
      </c>
      <c r="E51" t="s">
        <v>98</v>
      </c>
      <c r="F51" s="7">
        <v>267671.4874772341</v>
      </c>
    </row>
    <row r="52" spans="1:6" x14ac:dyDescent="0.25">
      <c r="A52" t="s">
        <v>21</v>
      </c>
      <c r="B52">
        <v>13</v>
      </c>
      <c r="C52" t="s">
        <v>2</v>
      </c>
      <c r="D52" t="str">
        <f t="shared" si="0"/>
        <v>RONGAI EXPRESSDELI</v>
      </c>
      <c r="E52" t="s">
        <v>98</v>
      </c>
      <c r="F52" s="7">
        <v>1284498.5901448687</v>
      </c>
    </row>
    <row r="53" spans="1:6" x14ac:dyDescent="0.25">
      <c r="A53" t="s">
        <v>21</v>
      </c>
      <c r="B53">
        <v>13</v>
      </c>
      <c r="C53" t="s">
        <v>5</v>
      </c>
      <c r="D53" t="str">
        <f t="shared" si="0"/>
        <v>RONGAI EXPRESSVEGES</v>
      </c>
      <c r="E53" t="s">
        <v>98</v>
      </c>
      <c r="F53" s="7">
        <v>458997.09284045256</v>
      </c>
    </row>
    <row r="54" spans="1:6" x14ac:dyDescent="0.25">
      <c r="A54" t="s">
        <v>22</v>
      </c>
      <c r="B54">
        <v>14</v>
      </c>
      <c r="C54" t="s">
        <v>4</v>
      </c>
      <c r="D54" t="str">
        <f t="shared" si="0"/>
        <v>UTAWALA MAINBAKERY</v>
      </c>
      <c r="E54" t="s">
        <v>98</v>
      </c>
      <c r="F54" s="7">
        <v>1971269.8339837368</v>
      </c>
    </row>
    <row r="55" spans="1:6" x14ac:dyDescent="0.25">
      <c r="A55" t="s">
        <v>22</v>
      </c>
      <c r="B55">
        <v>14</v>
      </c>
      <c r="C55" t="s">
        <v>3</v>
      </c>
      <c r="D55" t="str">
        <f t="shared" si="0"/>
        <v>UTAWALA MAINBUTCHERY</v>
      </c>
      <c r="E55" t="s">
        <v>98</v>
      </c>
      <c r="F55" s="7">
        <v>1438168.7569106999</v>
      </c>
    </row>
    <row r="56" spans="1:6" x14ac:dyDescent="0.25">
      <c r="A56" t="s">
        <v>22</v>
      </c>
      <c r="B56">
        <v>14</v>
      </c>
      <c r="C56" t="s">
        <v>2</v>
      </c>
      <c r="D56" t="str">
        <f t="shared" si="0"/>
        <v>UTAWALA MAINDELI</v>
      </c>
      <c r="E56" t="s">
        <v>98</v>
      </c>
      <c r="F56" s="7">
        <v>1732409.9140846892</v>
      </c>
    </row>
    <row r="57" spans="1:6" x14ac:dyDescent="0.25">
      <c r="A57" t="s">
        <v>22</v>
      </c>
      <c r="B57">
        <v>14</v>
      </c>
      <c r="C57" t="s">
        <v>5</v>
      </c>
      <c r="D57" t="str">
        <f t="shared" si="0"/>
        <v>UTAWALA MAINVEGES</v>
      </c>
      <c r="E57" t="s">
        <v>98</v>
      </c>
      <c r="F57" s="7">
        <v>1158624.7883074824</v>
      </c>
    </row>
    <row r="58" spans="1:6" x14ac:dyDescent="0.25">
      <c r="A58" t="s">
        <v>23</v>
      </c>
      <c r="B58">
        <v>15</v>
      </c>
      <c r="C58" t="s">
        <v>4</v>
      </c>
      <c r="D58" t="str">
        <f t="shared" si="0"/>
        <v>KONDELEBAKERY</v>
      </c>
      <c r="E58" t="s">
        <v>98</v>
      </c>
      <c r="F58" s="7">
        <v>2189007.1102069467</v>
      </c>
    </row>
    <row r="59" spans="1:6" x14ac:dyDescent="0.25">
      <c r="A59" t="s">
        <v>23</v>
      </c>
      <c r="B59">
        <v>15</v>
      </c>
      <c r="C59" t="s">
        <v>3</v>
      </c>
      <c r="D59" t="str">
        <f t="shared" si="0"/>
        <v>KONDELEBUTCHERY</v>
      </c>
      <c r="E59" t="s">
        <v>98</v>
      </c>
      <c r="F59" s="7">
        <v>10622.048899058445</v>
      </c>
    </row>
    <row r="60" spans="1:6" x14ac:dyDescent="0.25">
      <c r="A60" t="s">
        <v>23</v>
      </c>
      <c r="B60">
        <v>15</v>
      </c>
      <c r="C60" t="s">
        <v>2</v>
      </c>
      <c r="D60" t="str">
        <f t="shared" si="0"/>
        <v>KONDELEDELI</v>
      </c>
      <c r="E60" t="s">
        <v>98</v>
      </c>
      <c r="F60" s="7">
        <v>703969.19485529</v>
      </c>
    </row>
    <row r="61" spans="1:6" x14ac:dyDescent="0.25">
      <c r="A61" t="s">
        <v>23</v>
      </c>
      <c r="B61">
        <v>15</v>
      </c>
      <c r="C61" t="s">
        <v>5</v>
      </c>
      <c r="D61" t="str">
        <f t="shared" si="0"/>
        <v>KONDELEVEGES</v>
      </c>
      <c r="E61" t="s">
        <v>98</v>
      </c>
      <c r="F61" s="7">
        <v>700684.55003558542</v>
      </c>
    </row>
    <row r="62" spans="1:6" x14ac:dyDescent="0.25">
      <c r="A62" t="s">
        <v>24</v>
      </c>
      <c r="B62">
        <v>16</v>
      </c>
      <c r="C62" t="s">
        <v>4</v>
      </c>
      <c r="D62" t="str">
        <f t="shared" si="0"/>
        <v>NYALENDABAKERY</v>
      </c>
      <c r="E62" t="s">
        <v>98</v>
      </c>
      <c r="F62" s="7">
        <v>1540232.5135956486</v>
      </c>
    </row>
    <row r="63" spans="1:6" x14ac:dyDescent="0.25">
      <c r="A63" t="s">
        <v>24</v>
      </c>
      <c r="B63">
        <v>16</v>
      </c>
      <c r="C63" t="s">
        <v>3</v>
      </c>
      <c r="D63" t="str">
        <f t="shared" si="0"/>
        <v>NYALENDABUTCHERY</v>
      </c>
      <c r="E63" t="s">
        <v>98</v>
      </c>
      <c r="F63" s="7">
        <v>528293.47354787088</v>
      </c>
    </row>
    <row r="64" spans="1:6" x14ac:dyDescent="0.25">
      <c r="A64" t="s">
        <v>24</v>
      </c>
      <c r="B64">
        <v>16</v>
      </c>
      <c r="C64" t="s">
        <v>2</v>
      </c>
      <c r="D64" t="str">
        <f t="shared" si="0"/>
        <v>NYALENDADELI</v>
      </c>
      <c r="E64" t="s">
        <v>98</v>
      </c>
      <c r="F64" s="7">
        <v>819856.19350869826</v>
      </c>
    </row>
    <row r="65" spans="1:6" x14ac:dyDescent="0.25">
      <c r="A65" t="s">
        <v>24</v>
      </c>
      <c r="B65">
        <v>16</v>
      </c>
      <c r="C65" t="s">
        <v>5</v>
      </c>
      <c r="D65" t="str">
        <f t="shared" si="0"/>
        <v>NYALENDAVEGES</v>
      </c>
      <c r="E65" t="s">
        <v>98</v>
      </c>
      <c r="F65" s="7">
        <v>649429.59762116603</v>
      </c>
    </row>
    <row r="66" spans="1:6" x14ac:dyDescent="0.25">
      <c r="A66" t="s">
        <v>25</v>
      </c>
      <c r="B66">
        <v>17</v>
      </c>
      <c r="C66" t="s">
        <v>4</v>
      </c>
      <c r="D66" t="str">
        <f t="shared" si="0"/>
        <v>MAYFAIRBAKERY</v>
      </c>
      <c r="E66" t="s">
        <v>98</v>
      </c>
      <c r="F66" s="7">
        <v>2013953.7914463426</v>
      </c>
    </row>
    <row r="67" spans="1:6" x14ac:dyDescent="0.25">
      <c r="A67" t="s">
        <v>25</v>
      </c>
      <c r="B67">
        <v>17</v>
      </c>
      <c r="C67" t="s">
        <v>3</v>
      </c>
      <c r="D67" t="str">
        <f t="shared" ref="D67:D130" si="1">A67&amp;C67</f>
        <v>MAYFAIRBUTCHERY</v>
      </c>
      <c r="E67" t="s">
        <v>98</v>
      </c>
      <c r="F67" s="7">
        <v>45768.580715209762</v>
      </c>
    </row>
    <row r="68" spans="1:6" x14ac:dyDescent="0.25">
      <c r="A68" t="s">
        <v>25</v>
      </c>
      <c r="B68">
        <v>17</v>
      </c>
      <c r="C68" t="s">
        <v>2</v>
      </c>
      <c r="D68" t="str">
        <f t="shared" si="1"/>
        <v>MAYFAIRDELI</v>
      </c>
      <c r="E68" t="s">
        <v>98</v>
      </c>
      <c r="F68" s="7">
        <v>989890.57602250599</v>
      </c>
    </row>
    <row r="69" spans="1:6" x14ac:dyDescent="0.25">
      <c r="A69" t="s">
        <v>25</v>
      </c>
      <c r="B69">
        <v>17</v>
      </c>
      <c r="C69" t="s">
        <v>5</v>
      </c>
      <c r="D69" t="str">
        <f t="shared" si="1"/>
        <v>MAYFAIRVEGES</v>
      </c>
      <c r="E69" t="s">
        <v>98</v>
      </c>
      <c r="F69" s="7">
        <v>396105.8302905577</v>
      </c>
    </row>
    <row r="70" spans="1:6" x14ac:dyDescent="0.25">
      <c r="A70" t="s">
        <v>80</v>
      </c>
      <c r="B70">
        <v>18</v>
      </c>
      <c r="C70" t="s">
        <v>4</v>
      </c>
      <c r="D70" t="str">
        <f t="shared" si="1"/>
        <v>WAIYAKI WAYBAKERY</v>
      </c>
      <c r="E70" t="s">
        <v>98</v>
      </c>
      <c r="F70" s="7">
        <v>1633365.6255912283</v>
      </c>
    </row>
    <row r="71" spans="1:6" x14ac:dyDescent="0.25">
      <c r="A71" t="s">
        <v>80</v>
      </c>
      <c r="B71">
        <v>18</v>
      </c>
      <c r="C71" t="s">
        <v>3</v>
      </c>
      <c r="D71" t="str">
        <f t="shared" si="1"/>
        <v>WAIYAKI WAYBUTCHERY</v>
      </c>
      <c r="E71" t="s">
        <v>98</v>
      </c>
      <c r="F71" s="7">
        <v>2500596.5574390977</v>
      </c>
    </row>
    <row r="72" spans="1:6" x14ac:dyDescent="0.25">
      <c r="A72" t="s">
        <v>80</v>
      </c>
      <c r="B72">
        <v>18</v>
      </c>
      <c r="C72" t="s">
        <v>2</v>
      </c>
      <c r="D72" t="str">
        <f t="shared" si="1"/>
        <v>WAIYAKI WAYDELI</v>
      </c>
      <c r="E72" t="s">
        <v>98</v>
      </c>
      <c r="F72" s="7">
        <v>1822572.2276590343</v>
      </c>
    </row>
    <row r="73" spans="1:6" x14ac:dyDescent="0.25">
      <c r="A73" t="s">
        <v>80</v>
      </c>
      <c r="B73">
        <v>18</v>
      </c>
      <c r="C73" t="s">
        <v>5</v>
      </c>
      <c r="D73" t="str">
        <f t="shared" si="1"/>
        <v>WAIYAKI WAYVEGES</v>
      </c>
      <c r="E73" t="s">
        <v>98</v>
      </c>
      <c r="F73" s="7">
        <v>3205896.9854122852</v>
      </c>
    </row>
    <row r="74" spans="1:6" x14ac:dyDescent="0.25">
      <c r="A74" t="s">
        <v>12</v>
      </c>
      <c r="B74">
        <v>19</v>
      </c>
      <c r="C74" t="s">
        <v>4</v>
      </c>
      <c r="D74" t="str">
        <f t="shared" si="1"/>
        <v>JIPANGEBAKERY</v>
      </c>
      <c r="E74" t="s">
        <v>98</v>
      </c>
      <c r="F74" s="7">
        <v>2432781.8667357108</v>
      </c>
    </row>
    <row r="75" spans="1:6" x14ac:dyDescent="0.25">
      <c r="A75" t="s">
        <v>12</v>
      </c>
      <c r="B75">
        <v>19</v>
      </c>
      <c r="C75" t="s">
        <v>3</v>
      </c>
      <c r="D75" t="str">
        <f t="shared" si="1"/>
        <v>JIPANGEBUTCHERY</v>
      </c>
      <c r="E75" t="s">
        <v>98</v>
      </c>
      <c r="F75" s="7">
        <v>3283409.7240660163</v>
      </c>
    </row>
    <row r="76" spans="1:6" x14ac:dyDescent="0.25">
      <c r="A76" t="s">
        <v>12</v>
      </c>
      <c r="B76">
        <v>19</v>
      </c>
      <c r="C76" t="s">
        <v>2</v>
      </c>
      <c r="D76" t="str">
        <f t="shared" si="1"/>
        <v>JIPANGEDELI</v>
      </c>
      <c r="E76" t="s">
        <v>98</v>
      </c>
      <c r="F76" s="7">
        <v>3413665.5543773924</v>
      </c>
    </row>
    <row r="77" spans="1:6" x14ac:dyDescent="0.25">
      <c r="A77" t="s">
        <v>12</v>
      </c>
      <c r="B77">
        <v>19</v>
      </c>
      <c r="C77" t="s">
        <v>5</v>
      </c>
      <c r="D77" t="str">
        <f t="shared" si="1"/>
        <v>JIPANGEVEGES</v>
      </c>
      <c r="E77" t="s">
        <v>98</v>
      </c>
      <c r="F77" s="7">
        <v>4827181.6607296309</v>
      </c>
    </row>
    <row r="78" spans="1:6" x14ac:dyDescent="0.25">
      <c r="A78" t="s">
        <v>68</v>
      </c>
      <c r="B78">
        <v>20</v>
      </c>
      <c r="C78" t="s">
        <v>4</v>
      </c>
      <c r="D78" t="str">
        <f t="shared" si="1"/>
        <v>RONGAI MAINBAKERY</v>
      </c>
      <c r="E78" t="s">
        <v>98</v>
      </c>
      <c r="F78" s="7">
        <v>1415534.9510334951</v>
      </c>
    </row>
    <row r="79" spans="1:6" x14ac:dyDescent="0.25">
      <c r="A79" t="s">
        <v>68</v>
      </c>
      <c r="B79">
        <v>20</v>
      </c>
      <c r="C79" t="s">
        <v>3</v>
      </c>
      <c r="D79" t="str">
        <f t="shared" si="1"/>
        <v>RONGAI MAINBUTCHERY</v>
      </c>
      <c r="E79" t="s">
        <v>98</v>
      </c>
      <c r="F79" s="7">
        <v>968395.32029721327</v>
      </c>
    </row>
    <row r="80" spans="1:6" x14ac:dyDescent="0.25">
      <c r="A80" t="s">
        <v>68</v>
      </c>
      <c r="B80">
        <v>20</v>
      </c>
      <c r="C80" t="s">
        <v>2</v>
      </c>
      <c r="D80" t="str">
        <f t="shared" si="1"/>
        <v>RONGAI MAINDELI</v>
      </c>
      <c r="E80" t="s">
        <v>98</v>
      </c>
      <c r="F80" s="7">
        <v>1154641.4909345401</v>
      </c>
    </row>
    <row r="81" spans="1:6" x14ac:dyDescent="0.25">
      <c r="A81" t="s">
        <v>68</v>
      </c>
      <c r="B81">
        <v>20</v>
      </c>
      <c r="C81" t="s">
        <v>5</v>
      </c>
      <c r="D81" t="str">
        <f t="shared" si="1"/>
        <v>RONGAI MAINVEGES</v>
      </c>
      <c r="E81" t="s">
        <v>98</v>
      </c>
      <c r="F81" s="7">
        <v>1644727.4863664568</v>
      </c>
    </row>
    <row r="82" spans="1:6" x14ac:dyDescent="0.25">
      <c r="A82" t="s">
        <v>13</v>
      </c>
      <c r="B82">
        <v>21</v>
      </c>
      <c r="C82" t="s">
        <v>4</v>
      </c>
      <c r="D82" t="str">
        <f t="shared" si="1"/>
        <v>CHAKABAKERY</v>
      </c>
      <c r="E82" t="s">
        <v>98</v>
      </c>
      <c r="F82" s="7">
        <v>1482444.4034112906</v>
      </c>
    </row>
    <row r="83" spans="1:6" x14ac:dyDescent="0.25">
      <c r="A83" t="s">
        <v>13</v>
      </c>
      <c r="B83">
        <v>21</v>
      </c>
      <c r="C83" t="s">
        <v>3</v>
      </c>
      <c r="D83" t="str">
        <f t="shared" si="1"/>
        <v>CHAKABUTCHERY</v>
      </c>
      <c r="E83" t="s">
        <v>98</v>
      </c>
      <c r="F83" s="7">
        <v>2541112.9636881202</v>
      </c>
    </row>
    <row r="84" spans="1:6" x14ac:dyDescent="0.25">
      <c r="A84" t="s">
        <v>13</v>
      </c>
      <c r="B84">
        <v>21</v>
      </c>
      <c r="C84" t="s">
        <v>2</v>
      </c>
      <c r="D84" t="str">
        <f t="shared" si="1"/>
        <v>CHAKADELI</v>
      </c>
      <c r="E84" t="s">
        <v>98</v>
      </c>
      <c r="F84" s="7">
        <v>2395653.9559272984</v>
      </c>
    </row>
    <row r="85" spans="1:6" x14ac:dyDescent="0.25">
      <c r="A85" t="s">
        <v>13</v>
      </c>
      <c r="B85">
        <v>21</v>
      </c>
      <c r="C85" t="s">
        <v>5</v>
      </c>
      <c r="D85" t="str">
        <f t="shared" si="1"/>
        <v>CHAKAVEGES</v>
      </c>
      <c r="E85" t="s">
        <v>98</v>
      </c>
      <c r="F85" s="7">
        <v>4414410.714278779</v>
      </c>
    </row>
    <row r="86" spans="1:6" x14ac:dyDescent="0.25">
      <c r="A86" t="s">
        <v>14</v>
      </c>
      <c r="B86">
        <v>22</v>
      </c>
      <c r="C86" t="s">
        <v>4</v>
      </c>
      <c r="D86" t="str">
        <f t="shared" si="1"/>
        <v>EBP 2BAKERY</v>
      </c>
      <c r="E86" t="s">
        <v>98</v>
      </c>
      <c r="F86" s="7">
        <v>1016287.7123856321</v>
      </c>
    </row>
    <row r="87" spans="1:6" x14ac:dyDescent="0.25">
      <c r="A87" t="s">
        <v>14</v>
      </c>
      <c r="B87">
        <v>22</v>
      </c>
      <c r="C87" t="s">
        <v>3</v>
      </c>
      <c r="D87" t="str">
        <f t="shared" si="1"/>
        <v>EBP 2BUTCHERY</v>
      </c>
      <c r="E87" t="s">
        <v>98</v>
      </c>
      <c r="F87" s="7">
        <v>1460103.5625627132</v>
      </c>
    </row>
    <row r="88" spans="1:6" x14ac:dyDescent="0.25">
      <c r="A88" t="s">
        <v>14</v>
      </c>
      <c r="B88">
        <v>22</v>
      </c>
      <c r="C88" t="s">
        <v>2</v>
      </c>
      <c r="D88" t="str">
        <f t="shared" si="1"/>
        <v>EBP 2DELI</v>
      </c>
      <c r="E88" t="s">
        <v>98</v>
      </c>
      <c r="F88" s="7">
        <v>1408000.4742446982</v>
      </c>
    </row>
    <row r="89" spans="1:6" x14ac:dyDescent="0.25">
      <c r="A89" t="s">
        <v>14</v>
      </c>
      <c r="B89">
        <v>22</v>
      </c>
      <c r="C89" t="s">
        <v>5</v>
      </c>
      <c r="D89" t="str">
        <f t="shared" si="1"/>
        <v>EBP 2VEGES</v>
      </c>
      <c r="E89" t="s">
        <v>98</v>
      </c>
      <c r="F89" s="7">
        <v>2956837.208553493</v>
      </c>
    </row>
    <row r="90" spans="1:6" x14ac:dyDescent="0.25">
      <c r="A90" t="s">
        <v>15</v>
      </c>
      <c r="B90">
        <v>23</v>
      </c>
      <c r="C90" t="s">
        <v>4</v>
      </c>
      <c r="D90" t="str">
        <f t="shared" si="1"/>
        <v>UTAWALA EXPRESSBAKERY</v>
      </c>
      <c r="E90" t="s">
        <v>98</v>
      </c>
      <c r="F90" s="7">
        <v>1653078.0895075006</v>
      </c>
    </row>
    <row r="91" spans="1:6" x14ac:dyDescent="0.25">
      <c r="A91" t="s">
        <v>15</v>
      </c>
      <c r="B91">
        <v>23</v>
      </c>
      <c r="C91" t="s">
        <v>3</v>
      </c>
      <c r="D91" t="str">
        <f t="shared" si="1"/>
        <v>UTAWALA EXPRESSBUTCHERY</v>
      </c>
      <c r="E91" t="s">
        <v>98</v>
      </c>
      <c r="F91" s="7">
        <v>554024.41020704026</v>
      </c>
    </row>
    <row r="92" spans="1:6" x14ac:dyDescent="0.25">
      <c r="A92" t="s">
        <v>15</v>
      </c>
      <c r="B92">
        <v>23</v>
      </c>
      <c r="C92" t="s">
        <v>2</v>
      </c>
      <c r="D92" t="str">
        <f t="shared" si="1"/>
        <v>UTAWALA EXPRESSDELI</v>
      </c>
      <c r="E92" t="s">
        <v>98</v>
      </c>
      <c r="F92" s="7">
        <v>978023.93605539633</v>
      </c>
    </row>
    <row r="93" spans="1:6" x14ac:dyDescent="0.25">
      <c r="A93" t="s">
        <v>15</v>
      </c>
      <c r="B93">
        <v>23</v>
      </c>
      <c r="C93" t="s">
        <v>5</v>
      </c>
      <c r="D93" t="str">
        <f t="shared" si="1"/>
        <v>UTAWALA EXPRESSVEGES</v>
      </c>
      <c r="E93" t="s">
        <v>98</v>
      </c>
      <c r="F93" s="7">
        <v>693453.41428166954</v>
      </c>
    </row>
    <row r="94" spans="1:6" x14ac:dyDescent="0.25">
      <c r="A94" t="s">
        <v>18</v>
      </c>
      <c r="B94">
        <v>24</v>
      </c>
      <c r="C94" t="s">
        <v>4</v>
      </c>
      <c r="D94" t="str">
        <f t="shared" si="1"/>
        <v>KAHAWA WESTBAKERY</v>
      </c>
      <c r="E94" t="s">
        <v>98</v>
      </c>
      <c r="F94" s="7">
        <v>2270956.3696277854</v>
      </c>
    </row>
    <row r="95" spans="1:6" x14ac:dyDescent="0.25">
      <c r="A95" t="s">
        <v>18</v>
      </c>
      <c r="B95">
        <v>24</v>
      </c>
      <c r="C95" t="s">
        <v>3</v>
      </c>
      <c r="D95" t="str">
        <f t="shared" si="1"/>
        <v>KAHAWA WESTBUTCHERY</v>
      </c>
      <c r="E95" t="s">
        <v>98</v>
      </c>
      <c r="F95" s="7">
        <v>1316751.2239801413</v>
      </c>
    </row>
    <row r="96" spans="1:6" x14ac:dyDescent="0.25">
      <c r="A96" t="s">
        <v>18</v>
      </c>
      <c r="B96">
        <v>24</v>
      </c>
      <c r="C96" t="s">
        <v>2</v>
      </c>
      <c r="D96" t="str">
        <f t="shared" si="1"/>
        <v>KAHAWA WESTDELI</v>
      </c>
      <c r="E96" t="s">
        <v>98</v>
      </c>
      <c r="F96" s="7">
        <v>1302115.0346585915</v>
      </c>
    </row>
    <row r="97" spans="1:6" x14ac:dyDescent="0.25">
      <c r="A97" t="s">
        <v>18</v>
      </c>
      <c r="B97">
        <v>24</v>
      </c>
      <c r="C97" t="s">
        <v>5</v>
      </c>
      <c r="D97" t="str">
        <f t="shared" si="1"/>
        <v>KAHAWA WESTVEGES</v>
      </c>
      <c r="E97" t="s">
        <v>98</v>
      </c>
      <c r="F97" s="7">
        <v>775791.46413599362</v>
      </c>
    </row>
    <row r="98" spans="1:6" x14ac:dyDescent="0.25">
      <c r="A98" t="s">
        <v>26</v>
      </c>
      <c r="B98">
        <v>25</v>
      </c>
      <c r="C98" t="s">
        <v>4</v>
      </c>
      <c r="D98" t="str">
        <f t="shared" si="1"/>
        <v>ROYSAMBUBAKERY</v>
      </c>
      <c r="E98" t="s">
        <v>98</v>
      </c>
      <c r="F98" s="7">
        <v>921880.03362911381</v>
      </c>
    </row>
    <row r="99" spans="1:6" x14ac:dyDescent="0.25">
      <c r="A99" t="s">
        <v>26</v>
      </c>
      <c r="B99">
        <v>25</v>
      </c>
      <c r="C99" t="s">
        <v>3</v>
      </c>
      <c r="D99" t="str">
        <f t="shared" si="1"/>
        <v>ROYSAMBUBUTCHERY</v>
      </c>
      <c r="E99" t="s">
        <v>98</v>
      </c>
      <c r="F99" s="7">
        <v>662182.40996575239</v>
      </c>
    </row>
    <row r="100" spans="1:6" x14ac:dyDescent="0.25">
      <c r="A100" t="s">
        <v>26</v>
      </c>
      <c r="B100">
        <v>25</v>
      </c>
      <c r="C100" t="s">
        <v>2</v>
      </c>
      <c r="D100" t="str">
        <f t="shared" si="1"/>
        <v>ROYSAMBUDELI</v>
      </c>
      <c r="E100" t="s">
        <v>98</v>
      </c>
      <c r="F100" s="7">
        <v>1162986.0310066086</v>
      </c>
    </row>
    <row r="101" spans="1:6" x14ac:dyDescent="0.25">
      <c r="A101" t="s">
        <v>26</v>
      </c>
      <c r="B101">
        <v>25</v>
      </c>
      <c r="C101" t="s">
        <v>5</v>
      </c>
      <c r="D101" t="str">
        <f t="shared" si="1"/>
        <v>ROYSAMBUVEGES</v>
      </c>
      <c r="E101" t="s">
        <v>98</v>
      </c>
      <c r="F101" s="7">
        <v>857165.91029506805</v>
      </c>
    </row>
    <row r="102" spans="1:6" x14ac:dyDescent="0.25">
      <c r="A102" t="s">
        <v>27</v>
      </c>
      <c r="B102">
        <v>26</v>
      </c>
      <c r="C102" t="s">
        <v>4</v>
      </c>
      <c r="D102" t="str">
        <f t="shared" si="1"/>
        <v>BURUBURUBAKERY</v>
      </c>
      <c r="E102" t="s">
        <v>98</v>
      </c>
      <c r="F102" s="7">
        <v>2572222.5959151341</v>
      </c>
    </row>
    <row r="103" spans="1:6" x14ac:dyDescent="0.25">
      <c r="A103" t="s">
        <v>27</v>
      </c>
      <c r="B103">
        <v>26</v>
      </c>
      <c r="C103" t="s">
        <v>3</v>
      </c>
      <c r="D103" t="str">
        <f t="shared" si="1"/>
        <v>BURUBURUBUTCHERY</v>
      </c>
      <c r="E103" t="s">
        <v>98</v>
      </c>
      <c r="F103" s="7">
        <v>1505965.5209531398</v>
      </c>
    </row>
    <row r="104" spans="1:6" x14ac:dyDescent="0.25">
      <c r="A104" t="s">
        <v>27</v>
      </c>
      <c r="B104">
        <v>26</v>
      </c>
      <c r="C104" t="s">
        <v>2</v>
      </c>
      <c r="D104" t="str">
        <f t="shared" si="1"/>
        <v>BURUBURUDELI</v>
      </c>
      <c r="E104" t="s">
        <v>98</v>
      </c>
      <c r="F104" s="7">
        <v>1928008.9893544409</v>
      </c>
    </row>
    <row r="105" spans="1:6" x14ac:dyDescent="0.25">
      <c r="A105" t="s">
        <v>27</v>
      </c>
      <c r="B105">
        <v>26</v>
      </c>
      <c r="C105" t="s">
        <v>5</v>
      </c>
      <c r="D105" t="str">
        <f t="shared" si="1"/>
        <v>BURUBURUVEGES</v>
      </c>
      <c r="E105" t="s">
        <v>98</v>
      </c>
      <c r="F105" s="7">
        <v>1968150.4238247753</v>
      </c>
    </row>
    <row r="106" spans="1:6" x14ac:dyDescent="0.25">
      <c r="A106" t="s">
        <v>30</v>
      </c>
      <c r="B106">
        <v>27</v>
      </c>
      <c r="C106" t="s">
        <v>4</v>
      </c>
      <c r="D106" t="str">
        <f t="shared" si="1"/>
        <v>TOM MBOYABAKERY</v>
      </c>
      <c r="E106" t="s">
        <v>98</v>
      </c>
      <c r="F106" s="7">
        <v>3664966.8829616127</v>
      </c>
    </row>
    <row r="107" spans="1:6" x14ac:dyDescent="0.25">
      <c r="A107" t="s">
        <v>30</v>
      </c>
      <c r="B107">
        <v>27</v>
      </c>
      <c r="C107" t="s">
        <v>3</v>
      </c>
      <c r="D107" t="str">
        <f t="shared" si="1"/>
        <v>TOM MBOYABUTCHERY</v>
      </c>
      <c r="E107" t="s">
        <v>98</v>
      </c>
      <c r="F107" s="7">
        <v>37249.406943518552</v>
      </c>
    </row>
    <row r="108" spans="1:6" x14ac:dyDescent="0.25">
      <c r="A108" t="s">
        <v>30</v>
      </c>
      <c r="B108">
        <v>27</v>
      </c>
      <c r="C108" t="s">
        <v>2</v>
      </c>
      <c r="D108" t="str">
        <f t="shared" si="1"/>
        <v>TOM MBOYADELI</v>
      </c>
      <c r="E108" t="s">
        <v>98</v>
      </c>
      <c r="F108" s="7">
        <v>4242000.8639142727</v>
      </c>
    </row>
    <row r="109" spans="1:6" x14ac:dyDescent="0.25">
      <c r="A109" t="s">
        <v>30</v>
      </c>
      <c r="B109">
        <v>27</v>
      </c>
      <c r="C109" t="s">
        <v>5</v>
      </c>
      <c r="D109" t="str">
        <f t="shared" si="1"/>
        <v>TOM MBOYAVEGES</v>
      </c>
      <c r="E109" t="s">
        <v>98</v>
      </c>
      <c r="F109" s="7">
        <v>753919.93181338278</v>
      </c>
    </row>
    <row r="110" spans="1:6" x14ac:dyDescent="0.25">
      <c r="A110" t="s">
        <v>28</v>
      </c>
      <c r="B110">
        <v>28</v>
      </c>
      <c r="C110" t="s">
        <v>4</v>
      </c>
      <c r="D110" t="str">
        <f t="shared" si="1"/>
        <v>KERICHOBAKERY</v>
      </c>
      <c r="E110" t="s">
        <v>98</v>
      </c>
      <c r="F110" s="7">
        <v>1243106.149506968</v>
      </c>
    </row>
    <row r="111" spans="1:6" x14ac:dyDescent="0.25">
      <c r="A111" t="s">
        <v>28</v>
      </c>
      <c r="B111">
        <v>28</v>
      </c>
      <c r="C111" t="s">
        <v>3</v>
      </c>
      <c r="D111" t="str">
        <f t="shared" si="1"/>
        <v>KERICHOBUTCHERY</v>
      </c>
      <c r="E111" t="s">
        <v>98</v>
      </c>
      <c r="F111" s="7">
        <v>31056.55837044588</v>
      </c>
    </row>
    <row r="112" spans="1:6" x14ac:dyDescent="0.25">
      <c r="A112" t="s">
        <v>28</v>
      </c>
      <c r="B112">
        <v>28</v>
      </c>
      <c r="C112" t="s">
        <v>2</v>
      </c>
      <c r="D112" t="str">
        <f t="shared" si="1"/>
        <v>KERICHODELI</v>
      </c>
      <c r="E112" t="s">
        <v>98</v>
      </c>
      <c r="F112" s="7">
        <v>205491.81446948805</v>
      </c>
    </row>
    <row r="113" spans="1:6" x14ac:dyDescent="0.25">
      <c r="A113" t="s">
        <v>28</v>
      </c>
      <c r="B113">
        <v>28</v>
      </c>
      <c r="C113" t="s">
        <v>5</v>
      </c>
      <c r="D113" t="str">
        <f t="shared" si="1"/>
        <v>KERICHOVEGES</v>
      </c>
      <c r="E113" t="s">
        <v>98</v>
      </c>
      <c r="F113" s="7">
        <v>0</v>
      </c>
    </row>
    <row r="114" spans="1:6" x14ac:dyDescent="0.25">
      <c r="A114" t="s">
        <v>29</v>
      </c>
      <c r="B114">
        <v>29</v>
      </c>
      <c r="C114" t="s">
        <v>4</v>
      </c>
      <c r="D114" t="str">
        <f t="shared" si="1"/>
        <v>MFANGANOBAKERY</v>
      </c>
      <c r="E114" t="s">
        <v>98</v>
      </c>
      <c r="F114" s="7">
        <v>6437781.2917692112</v>
      </c>
    </row>
    <row r="115" spans="1:6" x14ac:dyDescent="0.25">
      <c r="A115" t="s">
        <v>29</v>
      </c>
      <c r="B115">
        <v>29</v>
      </c>
      <c r="C115" t="s">
        <v>3</v>
      </c>
      <c r="D115" t="str">
        <f t="shared" si="1"/>
        <v>MFANGANOBUTCHERY</v>
      </c>
      <c r="E115" t="s">
        <v>98</v>
      </c>
      <c r="F115" s="7">
        <v>1397207.2319175063</v>
      </c>
    </row>
    <row r="116" spans="1:6" x14ac:dyDescent="0.25">
      <c r="A116" t="s">
        <v>29</v>
      </c>
      <c r="B116">
        <v>29</v>
      </c>
      <c r="C116" t="s">
        <v>2</v>
      </c>
      <c r="D116" t="str">
        <f t="shared" si="1"/>
        <v>MFANGANODELI</v>
      </c>
      <c r="E116" t="s">
        <v>98</v>
      </c>
      <c r="F116" s="7">
        <v>3465134.89471584</v>
      </c>
    </row>
    <row r="117" spans="1:6" x14ac:dyDescent="0.25">
      <c r="A117" t="s">
        <v>29</v>
      </c>
      <c r="B117">
        <v>29</v>
      </c>
      <c r="C117" t="s">
        <v>5</v>
      </c>
      <c r="D117" t="str">
        <f t="shared" si="1"/>
        <v>MFANGANOVEGES</v>
      </c>
      <c r="E117" t="s">
        <v>98</v>
      </c>
      <c r="F117" s="7">
        <v>977121.80431463651</v>
      </c>
    </row>
    <row r="118" spans="1:6" x14ac:dyDescent="0.25">
      <c r="A118" t="s">
        <v>31</v>
      </c>
      <c r="B118">
        <v>30</v>
      </c>
      <c r="C118" t="s">
        <v>4</v>
      </c>
      <c r="D118" t="str">
        <f t="shared" si="1"/>
        <v>KILIMANIBAKERY</v>
      </c>
      <c r="E118" t="s">
        <v>98</v>
      </c>
      <c r="F118" s="7">
        <v>2619215.0098693389</v>
      </c>
    </row>
    <row r="119" spans="1:6" x14ac:dyDescent="0.25">
      <c r="A119" t="s">
        <v>31</v>
      </c>
      <c r="B119">
        <v>30</v>
      </c>
      <c r="C119" t="s">
        <v>3</v>
      </c>
      <c r="D119" t="str">
        <f t="shared" si="1"/>
        <v>KILIMANIBUTCHERY</v>
      </c>
      <c r="E119" t="s">
        <v>98</v>
      </c>
      <c r="F119" s="7">
        <v>5741114.6815683395</v>
      </c>
    </row>
    <row r="120" spans="1:6" x14ac:dyDescent="0.25">
      <c r="A120" t="s">
        <v>31</v>
      </c>
      <c r="B120">
        <v>30</v>
      </c>
      <c r="C120" t="s">
        <v>2</v>
      </c>
      <c r="D120" t="str">
        <f t="shared" si="1"/>
        <v>KILIMANIDELI</v>
      </c>
      <c r="E120" t="s">
        <v>98</v>
      </c>
      <c r="F120" s="7">
        <v>3522587.8684039554</v>
      </c>
    </row>
    <row r="121" spans="1:6" x14ac:dyDescent="0.25">
      <c r="A121" t="s">
        <v>31</v>
      </c>
      <c r="B121">
        <v>30</v>
      </c>
      <c r="C121" t="s">
        <v>5</v>
      </c>
      <c r="D121" t="str">
        <f t="shared" si="1"/>
        <v>KILIMANIVEGES</v>
      </c>
      <c r="E121" t="s">
        <v>98</v>
      </c>
      <c r="F121" s="7">
        <v>8850050.7215821166</v>
      </c>
    </row>
    <row r="122" spans="1:6" x14ac:dyDescent="0.25">
      <c r="A122" t="s">
        <v>33</v>
      </c>
      <c r="B122">
        <v>31</v>
      </c>
      <c r="C122" t="s">
        <v>4</v>
      </c>
      <c r="D122" t="str">
        <f t="shared" si="1"/>
        <v>EMBAKASIBAKERY</v>
      </c>
      <c r="E122" t="s">
        <v>98</v>
      </c>
      <c r="F122" s="7">
        <v>2148247.9797958964</v>
      </c>
    </row>
    <row r="123" spans="1:6" x14ac:dyDescent="0.25">
      <c r="A123" t="s">
        <v>33</v>
      </c>
      <c r="B123">
        <v>31</v>
      </c>
      <c r="C123" t="s">
        <v>3</v>
      </c>
      <c r="D123" t="str">
        <f t="shared" si="1"/>
        <v>EMBAKASIBUTCHERY</v>
      </c>
      <c r="E123" t="s">
        <v>98</v>
      </c>
      <c r="F123" s="7">
        <v>2394513.4516168288</v>
      </c>
    </row>
    <row r="124" spans="1:6" x14ac:dyDescent="0.25">
      <c r="A124" t="s">
        <v>33</v>
      </c>
      <c r="B124">
        <v>31</v>
      </c>
      <c r="C124" t="s">
        <v>2</v>
      </c>
      <c r="D124" t="str">
        <f t="shared" si="1"/>
        <v>EMBAKASIDELI</v>
      </c>
      <c r="E124" t="s">
        <v>98</v>
      </c>
      <c r="F124" s="7">
        <v>1977343.7090922976</v>
      </c>
    </row>
    <row r="125" spans="1:6" x14ac:dyDescent="0.25">
      <c r="A125" t="s">
        <v>33</v>
      </c>
      <c r="B125">
        <v>31</v>
      </c>
      <c r="C125" t="s">
        <v>5</v>
      </c>
      <c r="D125" t="str">
        <f t="shared" si="1"/>
        <v>EMBAKASIVEGES</v>
      </c>
      <c r="E125" t="s">
        <v>98</v>
      </c>
      <c r="F125" s="7">
        <v>4267561.9334498104</v>
      </c>
    </row>
    <row r="126" spans="1:6" x14ac:dyDescent="0.25">
      <c r="A126" t="s">
        <v>32</v>
      </c>
      <c r="B126">
        <v>32</v>
      </c>
      <c r="C126" t="s">
        <v>4</v>
      </c>
      <c r="D126" t="str">
        <f t="shared" si="1"/>
        <v>OGINGA ODINGABAKERY</v>
      </c>
      <c r="E126" t="s">
        <v>98</v>
      </c>
      <c r="F126" s="7">
        <v>1647344.5207441095</v>
      </c>
    </row>
    <row r="127" spans="1:6" x14ac:dyDescent="0.25">
      <c r="A127" t="s">
        <v>32</v>
      </c>
      <c r="B127">
        <v>32</v>
      </c>
      <c r="C127" t="s">
        <v>3</v>
      </c>
      <c r="D127" t="str">
        <f t="shared" si="1"/>
        <v>OGINGA ODINGABUTCHERY</v>
      </c>
      <c r="E127" t="s">
        <v>98</v>
      </c>
      <c r="F127" s="7">
        <v>1011650.9654219599</v>
      </c>
    </row>
    <row r="128" spans="1:6" x14ac:dyDescent="0.25">
      <c r="A128" t="s">
        <v>32</v>
      </c>
      <c r="B128">
        <v>32</v>
      </c>
      <c r="C128" t="s">
        <v>2</v>
      </c>
      <c r="D128" t="str">
        <f t="shared" si="1"/>
        <v>OGINGA ODINGADELI</v>
      </c>
      <c r="E128" t="s">
        <v>98</v>
      </c>
      <c r="F128" s="7">
        <v>867213.27549162018</v>
      </c>
    </row>
    <row r="129" spans="1:6" x14ac:dyDescent="0.25">
      <c r="A129" t="s">
        <v>32</v>
      </c>
      <c r="B129">
        <v>32</v>
      </c>
      <c r="C129" t="s">
        <v>5</v>
      </c>
      <c r="D129" t="str">
        <f t="shared" si="1"/>
        <v>OGINGA ODINGAVEGES</v>
      </c>
      <c r="E129" t="s">
        <v>98</v>
      </c>
      <c r="F129" s="7">
        <v>1532195.8190734221</v>
      </c>
    </row>
    <row r="130" spans="1:6" x14ac:dyDescent="0.25">
      <c r="A130" t="s">
        <v>34</v>
      </c>
      <c r="B130">
        <v>33</v>
      </c>
      <c r="C130" t="s">
        <v>4</v>
      </c>
      <c r="D130" t="str">
        <f t="shared" si="1"/>
        <v>KISERIANBAKERY</v>
      </c>
      <c r="E130" t="s">
        <v>98</v>
      </c>
      <c r="F130" s="7">
        <v>2049345.8603024641</v>
      </c>
    </row>
    <row r="131" spans="1:6" x14ac:dyDescent="0.25">
      <c r="A131" t="s">
        <v>34</v>
      </c>
      <c r="B131">
        <v>33</v>
      </c>
      <c r="C131" t="s">
        <v>3</v>
      </c>
      <c r="D131" t="str">
        <f t="shared" ref="D131:D194" si="2">A131&amp;C131</f>
        <v>KISERIANBUTCHERY</v>
      </c>
      <c r="E131" t="s">
        <v>98</v>
      </c>
      <c r="F131" s="7">
        <v>1111144.5559443901</v>
      </c>
    </row>
    <row r="132" spans="1:6" x14ac:dyDescent="0.25">
      <c r="A132" t="s">
        <v>34</v>
      </c>
      <c r="B132">
        <v>33</v>
      </c>
      <c r="C132" t="s">
        <v>2</v>
      </c>
      <c r="D132" t="str">
        <f t="shared" si="2"/>
        <v>KISERIANDELI</v>
      </c>
      <c r="E132" t="s">
        <v>98</v>
      </c>
      <c r="F132" s="7">
        <v>1314828.3226078229</v>
      </c>
    </row>
    <row r="133" spans="1:6" x14ac:dyDescent="0.25">
      <c r="A133" t="s">
        <v>34</v>
      </c>
      <c r="B133">
        <v>33</v>
      </c>
      <c r="C133" t="s">
        <v>5</v>
      </c>
      <c r="D133" t="str">
        <f t="shared" si="2"/>
        <v>KISERIANVEGES</v>
      </c>
      <c r="E133" t="s">
        <v>98</v>
      </c>
      <c r="F133" s="7">
        <v>1695931.9355301389</v>
      </c>
    </row>
    <row r="134" spans="1:6" x14ac:dyDescent="0.25">
      <c r="A134" t="s">
        <v>35</v>
      </c>
      <c r="B134">
        <v>34</v>
      </c>
      <c r="C134" t="s">
        <v>4</v>
      </c>
      <c r="D134" t="str">
        <f t="shared" si="2"/>
        <v>NANYUKIBAKERY</v>
      </c>
      <c r="E134" t="s">
        <v>98</v>
      </c>
      <c r="F134" s="7">
        <v>2486722.9961743304</v>
      </c>
    </row>
    <row r="135" spans="1:6" x14ac:dyDescent="0.25">
      <c r="A135" t="s">
        <v>35</v>
      </c>
      <c r="B135">
        <v>34</v>
      </c>
      <c r="C135" t="s">
        <v>3</v>
      </c>
      <c r="D135" t="str">
        <f t="shared" si="2"/>
        <v>NANYUKIBUTCHERY</v>
      </c>
      <c r="E135" t="s">
        <v>98</v>
      </c>
      <c r="F135" s="7">
        <v>2064383.5959271556</v>
      </c>
    </row>
    <row r="136" spans="1:6" x14ac:dyDescent="0.25">
      <c r="A136" t="s">
        <v>35</v>
      </c>
      <c r="B136">
        <v>34</v>
      </c>
      <c r="C136" t="s">
        <v>2</v>
      </c>
      <c r="D136" t="str">
        <f t="shared" si="2"/>
        <v>NANYUKIDELI</v>
      </c>
      <c r="E136" t="s">
        <v>98</v>
      </c>
      <c r="F136" s="7">
        <v>1900719.4687384837</v>
      </c>
    </row>
    <row r="137" spans="1:6" x14ac:dyDescent="0.25">
      <c r="A137" t="s">
        <v>35</v>
      </c>
      <c r="B137">
        <v>34</v>
      </c>
      <c r="C137" t="s">
        <v>5</v>
      </c>
      <c r="D137" t="str">
        <f t="shared" si="2"/>
        <v>NANYUKIVEGES</v>
      </c>
      <c r="E137" t="s">
        <v>98</v>
      </c>
      <c r="F137" s="7">
        <v>2524007.6374238362</v>
      </c>
    </row>
    <row r="138" spans="1:6" x14ac:dyDescent="0.25">
      <c r="A138" t="s">
        <v>69</v>
      </c>
      <c r="B138">
        <v>35</v>
      </c>
      <c r="C138" t="s">
        <v>4</v>
      </c>
      <c r="D138" t="str">
        <f t="shared" si="2"/>
        <v>MOMBASA ROADBAKERY</v>
      </c>
      <c r="E138" t="s">
        <v>98</v>
      </c>
      <c r="F138" s="7">
        <v>1378726.4225701585</v>
      </c>
    </row>
    <row r="139" spans="1:6" x14ac:dyDescent="0.25">
      <c r="A139" t="s">
        <v>69</v>
      </c>
      <c r="B139">
        <v>35</v>
      </c>
      <c r="C139" t="s">
        <v>3</v>
      </c>
      <c r="D139" t="str">
        <f t="shared" si="2"/>
        <v>MOMBASA ROADBUTCHERY</v>
      </c>
      <c r="E139" t="s">
        <v>98</v>
      </c>
      <c r="F139" s="7">
        <v>1136072.0141462807</v>
      </c>
    </row>
    <row r="140" spans="1:6" x14ac:dyDescent="0.25">
      <c r="A140" t="s">
        <v>69</v>
      </c>
      <c r="B140">
        <v>35</v>
      </c>
      <c r="C140" t="s">
        <v>2</v>
      </c>
      <c r="D140" t="str">
        <f t="shared" si="2"/>
        <v>MOMBASA ROADDELI</v>
      </c>
      <c r="E140" t="s">
        <v>98</v>
      </c>
      <c r="F140" s="7">
        <v>1541148.3716611448</v>
      </c>
    </row>
    <row r="141" spans="1:6" x14ac:dyDescent="0.25">
      <c r="A141" t="s">
        <v>69</v>
      </c>
      <c r="B141">
        <v>35</v>
      </c>
      <c r="C141" t="s">
        <v>5</v>
      </c>
      <c r="D141" t="str">
        <f t="shared" si="2"/>
        <v>MOMBASA ROADVEGES</v>
      </c>
      <c r="E141" t="s">
        <v>98</v>
      </c>
      <c r="F141" s="7">
        <v>2106844.5645863563</v>
      </c>
    </row>
    <row r="142" spans="1:6" x14ac:dyDescent="0.25">
      <c r="A142" t="s">
        <v>37</v>
      </c>
      <c r="B142">
        <v>36</v>
      </c>
      <c r="C142" t="s">
        <v>4</v>
      </c>
      <c r="D142" t="str">
        <f t="shared" si="2"/>
        <v>PIONEERBAKERY</v>
      </c>
      <c r="E142" t="s">
        <v>98</v>
      </c>
      <c r="F142" s="7">
        <v>2338093.9737157621</v>
      </c>
    </row>
    <row r="143" spans="1:6" x14ac:dyDescent="0.25">
      <c r="A143" t="s">
        <v>37</v>
      </c>
      <c r="B143">
        <v>36</v>
      </c>
      <c r="C143" t="s">
        <v>3</v>
      </c>
      <c r="D143" t="str">
        <f t="shared" si="2"/>
        <v>PIONEERBUTCHERY</v>
      </c>
      <c r="E143" t="s">
        <v>98</v>
      </c>
      <c r="F143" s="7">
        <v>650686.51629168913</v>
      </c>
    </row>
    <row r="144" spans="1:6" x14ac:dyDescent="0.25">
      <c r="A144" t="s">
        <v>37</v>
      </c>
      <c r="B144">
        <v>36</v>
      </c>
      <c r="C144" t="s">
        <v>2</v>
      </c>
      <c r="D144" t="str">
        <f t="shared" si="2"/>
        <v>PIONEERDELI</v>
      </c>
      <c r="E144" t="s">
        <v>98</v>
      </c>
      <c r="F144" s="7">
        <v>3393947.5047235652</v>
      </c>
    </row>
    <row r="145" spans="1:6" x14ac:dyDescent="0.25">
      <c r="A145" t="s">
        <v>37</v>
      </c>
      <c r="B145">
        <v>36</v>
      </c>
      <c r="C145" t="s">
        <v>5</v>
      </c>
      <c r="D145" t="str">
        <f t="shared" si="2"/>
        <v>PIONEERVEGES</v>
      </c>
      <c r="E145" t="s">
        <v>98</v>
      </c>
      <c r="F145" s="7">
        <v>970058.68763213325</v>
      </c>
    </row>
    <row r="146" spans="1:6" x14ac:dyDescent="0.25">
      <c r="A146" t="s">
        <v>81</v>
      </c>
      <c r="B146">
        <v>37</v>
      </c>
      <c r="C146" t="s">
        <v>4</v>
      </c>
      <c r="D146" t="str">
        <f t="shared" si="2"/>
        <v>MTWAPA EXPRESSBAKERY</v>
      </c>
      <c r="E146" t="s">
        <v>98</v>
      </c>
      <c r="F146" s="7">
        <v>1869166.5616945222</v>
      </c>
    </row>
    <row r="147" spans="1:6" x14ac:dyDescent="0.25">
      <c r="A147" t="s">
        <v>81</v>
      </c>
      <c r="B147">
        <v>37</v>
      </c>
      <c r="C147" t="s">
        <v>3</v>
      </c>
      <c r="D147" t="str">
        <f t="shared" si="2"/>
        <v>MTWAPA EXPRESSBUTCHERY</v>
      </c>
      <c r="E147" t="s">
        <v>98</v>
      </c>
      <c r="F147" s="7">
        <v>316861.1731443124</v>
      </c>
    </row>
    <row r="148" spans="1:6" x14ac:dyDescent="0.25">
      <c r="A148" t="s">
        <v>81</v>
      </c>
      <c r="B148">
        <v>37</v>
      </c>
      <c r="C148" t="s">
        <v>2</v>
      </c>
      <c r="D148" t="str">
        <f t="shared" si="2"/>
        <v>MTWAPA EXPRESSDELI</v>
      </c>
      <c r="E148" t="s">
        <v>98</v>
      </c>
      <c r="F148" s="7">
        <v>1017662.9069072374</v>
      </c>
    </row>
    <row r="149" spans="1:6" x14ac:dyDescent="0.25">
      <c r="A149" t="s">
        <v>81</v>
      </c>
      <c r="B149">
        <v>37</v>
      </c>
      <c r="C149" t="s">
        <v>5</v>
      </c>
      <c r="D149" t="str">
        <f t="shared" si="2"/>
        <v>MTWAPA EXPRESSVEGES</v>
      </c>
      <c r="E149" t="s">
        <v>98</v>
      </c>
      <c r="F149" s="7">
        <v>1064123.5718767669</v>
      </c>
    </row>
    <row r="150" spans="1:6" x14ac:dyDescent="0.25">
      <c r="A150" t="s">
        <v>38</v>
      </c>
      <c r="B150">
        <v>38</v>
      </c>
      <c r="C150" t="s">
        <v>4</v>
      </c>
      <c r="D150" t="str">
        <f t="shared" si="2"/>
        <v>ELDORETBAKERY</v>
      </c>
      <c r="E150" t="s">
        <v>98</v>
      </c>
      <c r="F150" s="7">
        <v>2682069.2035822603</v>
      </c>
    </row>
    <row r="151" spans="1:6" x14ac:dyDescent="0.25">
      <c r="A151" t="s">
        <v>38</v>
      </c>
      <c r="B151">
        <v>38</v>
      </c>
      <c r="C151" t="s">
        <v>3</v>
      </c>
      <c r="D151" t="str">
        <f t="shared" si="2"/>
        <v>ELDORETBUTCHERY</v>
      </c>
      <c r="E151" t="s">
        <v>98</v>
      </c>
      <c r="F151" s="7">
        <v>564938.57812607638</v>
      </c>
    </row>
    <row r="152" spans="1:6" x14ac:dyDescent="0.25">
      <c r="A152" t="s">
        <v>38</v>
      </c>
      <c r="B152">
        <v>38</v>
      </c>
      <c r="C152" t="s">
        <v>2</v>
      </c>
      <c r="D152" t="str">
        <f t="shared" si="2"/>
        <v>ELDORETDELI</v>
      </c>
      <c r="E152" t="s">
        <v>98</v>
      </c>
      <c r="F152" s="7">
        <v>1567105.8938110885</v>
      </c>
    </row>
    <row r="153" spans="1:6" x14ac:dyDescent="0.25">
      <c r="A153" t="s">
        <v>38</v>
      </c>
      <c r="B153">
        <v>38</v>
      </c>
      <c r="C153" t="s">
        <v>5</v>
      </c>
      <c r="D153" t="str">
        <f t="shared" si="2"/>
        <v>ELDORETVEGES</v>
      </c>
      <c r="E153" t="s">
        <v>98</v>
      </c>
      <c r="F153" s="7">
        <v>1981928.9047916562</v>
      </c>
    </row>
    <row r="154" spans="1:6" x14ac:dyDescent="0.25">
      <c r="A154" t="s">
        <v>36</v>
      </c>
      <c r="B154">
        <v>39</v>
      </c>
      <c r="C154" t="s">
        <v>4</v>
      </c>
      <c r="D154" t="str">
        <f t="shared" si="2"/>
        <v>KAKAMEGABAKERY</v>
      </c>
      <c r="E154" t="s">
        <v>98</v>
      </c>
      <c r="F154" s="7">
        <v>2615797.1262983731</v>
      </c>
    </row>
    <row r="155" spans="1:6" x14ac:dyDescent="0.25">
      <c r="A155" t="s">
        <v>36</v>
      </c>
      <c r="B155">
        <v>39</v>
      </c>
      <c r="C155" t="s">
        <v>3</v>
      </c>
      <c r="D155" t="str">
        <f t="shared" si="2"/>
        <v>KAKAMEGABUTCHERY</v>
      </c>
      <c r="E155" t="s">
        <v>98</v>
      </c>
      <c r="F155" s="7">
        <v>586581.69438502309</v>
      </c>
    </row>
    <row r="156" spans="1:6" x14ac:dyDescent="0.25">
      <c r="A156" t="s">
        <v>36</v>
      </c>
      <c r="B156">
        <v>39</v>
      </c>
      <c r="C156" t="s">
        <v>2</v>
      </c>
      <c r="D156" t="str">
        <f t="shared" si="2"/>
        <v>KAKAMEGADELI</v>
      </c>
      <c r="E156" t="s">
        <v>98</v>
      </c>
      <c r="F156" s="7">
        <v>1476015.8040675996</v>
      </c>
    </row>
    <row r="157" spans="1:6" x14ac:dyDescent="0.25">
      <c r="A157" t="s">
        <v>36</v>
      </c>
      <c r="B157">
        <v>39</v>
      </c>
      <c r="C157" t="s">
        <v>5</v>
      </c>
      <c r="D157" t="str">
        <f t="shared" si="2"/>
        <v>KAKAMEGAVEGES</v>
      </c>
      <c r="E157" t="s">
        <v>98</v>
      </c>
      <c r="F157" s="7">
        <v>1945853.2655043942</v>
      </c>
    </row>
    <row r="158" spans="1:6" x14ac:dyDescent="0.25">
      <c r="A158" t="s">
        <v>39</v>
      </c>
      <c r="B158">
        <v>40</v>
      </c>
      <c r="C158" t="s">
        <v>4</v>
      </c>
      <c r="D158" t="str">
        <f t="shared" si="2"/>
        <v>CHANIABAKERY</v>
      </c>
      <c r="E158" t="s">
        <v>98</v>
      </c>
      <c r="F158" s="7">
        <v>1839159.2470397318</v>
      </c>
    </row>
    <row r="159" spans="1:6" x14ac:dyDescent="0.25">
      <c r="A159" t="s">
        <v>39</v>
      </c>
      <c r="B159">
        <v>40</v>
      </c>
      <c r="C159" t="s">
        <v>3</v>
      </c>
      <c r="D159" t="str">
        <f t="shared" si="2"/>
        <v>CHANIABUTCHERY</v>
      </c>
      <c r="E159" t="s">
        <v>98</v>
      </c>
      <c r="F159" s="7">
        <v>2615904.8227359676</v>
      </c>
    </row>
    <row r="160" spans="1:6" x14ac:dyDescent="0.25">
      <c r="A160" t="s">
        <v>39</v>
      </c>
      <c r="B160">
        <v>40</v>
      </c>
      <c r="C160" t="s">
        <v>2</v>
      </c>
      <c r="D160" t="str">
        <f t="shared" si="2"/>
        <v>CHANIADELI</v>
      </c>
      <c r="E160" t="s">
        <v>98</v>
      </c>
      <c r="F160" s="7">
        <v>1243448.9611545159</v>
      </c>
    </row>
    <row r="161" spans="1:6" x14ac:dyDescent="0.25">
      <c r="A161" t="s">
        <v>39</v>
      </c>
      <c r="B161">
        <v>40</v>
      </c>
      <c r="C161" t="s">
        <v>5</v>
      </c>
      <c r="D161" t="str">
        <f t="shared" si="2"/>
        <v>CHANIAVEGES</v>
      </c>
      <c r="E161" t="s">
        <v>98</v>
      </c>
      <c r="F161" s="7">
        <v>2519764.6106884312</v>
      </c>
    </row>
    <row r="162" spans="1:6" x14ac:dyDescent="0.25">
      <c r="A162" t="s">
        <v>40</v>
      </c>
      <c r="B162">
        <v>41</v>
      </c>
      <c r="C162" t="s">
        <v>4</v>
      </c>
      <c r="D162" t="str">
        <f t="shared" si="2"/>
        <v>OTCBAKERY</v>
      </c>
      <c r="E162" t="s">
        <v>98</v>
      </c>
      <c r="F162" s="7">
        <v>5806577.3352949051</v>
      </c>
    </row>
    <row r="163" spans="1:6" x14ac:dyDescent="0.25">
      <c r="A163" t="s">
        <v>40</v>
      </c>
      <c r="B163">
        <v>41</v>
      </c>
      <c r="C163" t="s">
        <v>3</v>
      </c>
      <c r="D163" t="str">
        <f t="shared" si="2"/>
        <v>OTCBUTCHERY</v>
      </c>
      <c r="E163" t="s">
        <v>98</v>
      </c>
      <c r="F163" s="7">
        <v>516854.3208446966</v>
      </c>
    </row>
    <row r="164" spans="1:6" x14ac:dyDescent="0.25">
      <c r="A164" t="s">
        <v>40</v>
      </c>
      <c r="B164">
        <v>41</v>
      </c>
      <c r="C164" t="s">
        <v>2</v>
      </c>
      <c r="D164" t="str">
        <f t="shared" si="2"/>
        <v>OTCDELI</v>
      </c>
      <c r="E164" t="s">
        <v>98</v>
      </c>
      <c r="F164" s="7">
        <v>1755654.3921248731</v>
      </c>
    </row>
    <row r="165" spans="1:6" x14ac:dyDescent="0.25">
      <c r="A165" t="s">
        <v>40</v>
      </c>
      <c r="B165">
        <v>41</v>
      </c>
      <c r="C165" t="s">
        <v>5</v>
      </c>
      <c r="D165" t="str">
        <f t="shared" si="2"/>
        <v>OTCVEGES</v>
      </c>
      <c r="E165" t="s">
        <v>98</v>
      </c>
      <c r="F165" s="7">
        <v>28847.260985582667</v>
      </c>
    </row>
    <row r="166" spans="1:6" x14ac:dyDescent="0.25">
      <c r="A166" t="s">
        <v>41</v>
      </c>
      <c r="B166">
        <v>42</v>
      </c>
      <c r="C166" t="s">
        <v>4</v>
      </c>
      <c r="D166" t="str">
        <f t="shared" si="2"/>
        <v>MTWAPA MALLBAKERY</v>
      </c>
      <c r="E166" t="s">
        <v>98</v>
      </c>
      <c r="F166" s="7">
        <v>1051005.2700351975</v>
      </c>
    </row>
    <row r="167" spans="1:6" x14ac:dyDescent="0.25">
      <c r="A167" t="s">
        <v>41</v>
      </c>
      <c r="B167">
        <v>42</v>
      </c>
      <c r="C167" t="s">
        <v>3</v>
      </c>
      <c r="D167" t="str">
        <f t="shared" si="2"/>
        <v>MTWAPA MALLBUTCHERY</v>
      </c>
      <c r="E167" t="s">
        <v>98</v>
      </c>
      <c r="F167" s="7">
        <v>1223870.0378598364</v>
      </c>
    </row>
    <row r="168" spans="1:6" x14ac:dyDescent="0.25">
      <c r="A168" t="s">
        <v>41</v>
      </c>
      <c r="B168">
        <v>42</v>
      </c>
      <c r="C168" t="s">
        <v>2</v>
      </c>
      <c r="D168" t="str">
        <f t="shared" si="2"/>
        <v>MTWAPA MALLDELI</v>
      </c>
      <c r="E168" t="s">
        <v>98</v>
      </c>
      <c r="F168" s="7">
        <v>846314.2221789558</v>
      </c>
    </row>
    <row r="169" spans="1:6" x14ac:dyDescent="0.25">
      <c r="A169" t="s">
        <v>41</v>
      </c>
      <c r="B169">
        <v>42</v>
      </c>
      <c r="C169" t="s">
        <v>5</v>
      </c>
      <c r="D169" t="str">
        <f t="shared" si="2"/>
        <v>MTWAPA MALLVEGES</v>
      </c>
      <c r="E169" t="s">
        <v>98</v>
      </c>
      <c r="F169" s="7">
        <v>2674487.3489808501</v>
      </c>
    </row>
    <row r="170" spans="1:6" x14ac:dyDescent="0.25">
      <c r="A170" t="s">
        <v>42</v>
      </c>
      <c r="B170">
        <v>43</v>
      </c>
      <c r="C170" t="s">
        <v>4</v>
      </c>
      <c r="D170" t="str">
        <f t="shared" si="2"/>
        <v>KITALEBAKERY</v>
      </c>
      <c r="E170" t="s">
        <v>98</v>
      </c>
      <c r="F170" s="7">
        <v>1727729.1185480547</v>
      </c>
    </row>
    <row r="171" spans="1:6" x14ac:dyDescent="0.25">
      <c r="A171" t="s">
        <v>42</v>
      </c>
      <c r="B171">
        <v>43</v>
      </c>
      <c r="C171" t="s">
        <v>3</v>
      </c>
      <c r="D171" t="str">
        <f t="shared" si="2"/>
        <v>KITALEBUTCHERY</v>
      </c>
      <c r="E171" t="s">
        <v>98</v>
      </c>
      <c r="F171" s="7">
        <v>1131814.0721519662</v>
      </c>
    </row>
    <row r="172" spans="1:6" x14ac:dyDescent="0.25">
      <c r="A172" t="s">
        <v>42</v>
      </c>
      <c r="B172">
        <v>43</v>
      </c>
      <c r="C172" t="s">
        <v>2</v>
      </c>
      <c r="D172" t="str">
        <f t="shared" si="2"/>
        <v>KITALEDELI</v>
      </c>
      <c r="E172" t="s">
        <v>98</v>
      </c>
      <c r="F172" s="7">
        <v>829258.02263389761</v>
      </c>
    </row>
    <row r="173" spans="1:6" x14ac:dyDescent="0.25">
      <c r="A173" t="s">
        <v>42</v>
      </c>
      <c r="B173">
        <v>43</v>
      </c>
      <c r="C173" t="s">
        <v>5</v>
      </c>
      <c r="D173" t="str">
        <f t="shared" si="2"/>
        <v>KITALEVEGES</v>
      </c>
      <c r="E173" t="s">
        <v>98</v>
      </c>
      <c r="F173" s="7">
        <v>2274216.5454152981</v>
      </c>
    </row>
    <row r="174" spans="1:6" x14ac:dyDescent="0.25">
      <c r="A174" t="s">
        <v>43</v>
      </c>
      <c r="B174">
        <v>44</v>
      </c>
      <c r="C174" t="s">
        <v>4</v>
      </c>
      <c r="D174" t="str">
        <f t="shared" si="2"/>
        <v>KISIIBAKERY</v>
      </c>
      <c r="E174" t="s">
        <v>98</v>
      </c>
      <c r="F174" s="7">
        <v>1945826.3691573744</v>
      </c>
    </row>
    <row r="175" spans="1:6" x14ac:dyDescent="0.25">
      <c r="A175" t="s">
        <v>43</v>
      </c>
      <c r="B175">
        <v>44</v>
      </c>
      <c r="C175" t="s">
        <v>3</v>
      </c>
      <c r="D175" t="str">
        <f t="shared" si="2"/>
        <v>KISIIBUTCHERY</v>
      </c>
      <c r="E175" t="s">
        <v>98</v>
      </c>
      <c r="F175" s="7">
        <v>904122.40340675728</v>
      </c>
    </row>
    <row r="176" spans="1:6" x14ac:dyDescent="0.25">
      <c r="A176" t="s">
        <v>43</v>
      </c>
      <c r="B176">
        <v>44</v>
      </c>
      <c r="C176" t="s">
        <v>2</v>
      </c>
      <c r="D176" t="str">
        <f t="shared" si="2"/>
        <v>KISIIDELI</v>
      </c>
      <c r="E176" t="s">
        <v>98</v>
      </c>
      <c r="F176" s="7">
        <v>1804717.9453567178</v>
      </c>
    </row>
    <row r="177" spans="1:6" x14ac:dyDescent="0.25">
      <c r="A177" t="s">
        <v>43</v>
      </c>
      <c r="B177">
        <v>44</v>
      </c>
      <c r="C177" t="s">
        <v>5</v>
      </c>
      <c r="D177" t="str">
        <f t="shared" si="2"/>
        <v>KISIIVEGES</v>
      </c>
      <c r="E177" t="s">
        <v>98</v>
      </c>
      <c r="F177" s="7">
        <v>2036540.7179805511</v>
      </c>
    </row>
    <row r="178" spans="1:6" x14ac:dyDescent="0.25">
      <c r="A178" t="s">
        <v>44</v>
      </c>
      <c r="B178">
        <v>45</v>
      </c>
      <c r="C178" t="s">
        <v>4</v>
      </c>
      <c r="D178" t="str">
        <f t="shared" si="2"/>
        <v>WESTLANDSBAKERY</v>
      </c>
      <c r="E178" t="s">
        <v>98</v>
      </c>
      <c r="F178" s="7">
        <v>2091816.5204973756</v>
      </c>
    </row>
    <row r="179" spans="1:6" x14ac:dyDescent="0.25">
      <c r="A179" t="s">
        <v>44</v>
      </c>
      <c r="B179">
        <v>45</v>
      </c>
      <c r="C179" t="s">
        <v>3</v>
      </c>
      <c r="D179" t="str">
        <f t="shared" si="2"/>
        <v>WESTLANDSBUTCHERY</v>
      </c>
      <c r="E179" t="s">
        <v>98</v>
      </c>
      <c r="F179" s="7">
        <v>1510187.5078404965</v>
      </c>
    </row>
    <row r="180" spans="1:6" x14ac:dyDescent="0.25">
      <c r="A180" t="s">
        <v>44</v>
      </c>
      <c r="B180">
        <v>45</v>
      </c>
      <c r="C180" t="s">
        <v>2</v>
      </c>
      <c r="D180" t="str">
        <f t="shared" si="2"/>
        <v>WESTLANDSDELI</v>
      </c>
      <c r="E180" t="s">
        <v>98</v>
      </c>
      <c r="F180" s="7">
        <v>2895413.3686065562</v>
      </c>
    </row>
    <row r="181" spans="1:6" x14ac:dyDescent="0.25">
      <c r="A181" t="s">
        <v>44</v>
      </c>
      <c r="B181">
        <v>45</v>
      </c>
      <c r="C181" t="s">
        <v>5</v>
      </c>
      <c r="D181" t="str">
        <f t="shared" si="2"/>
        <v>WESTLANDSVEGES</v>
      </c>
      <c r="E181" t="s">
        <v>98</v>
      </c>
      <c r="F181" s="7">
        <v>2564340.7578108418</v>
      </c>
    </row>
    <row r="182" spans="1:6" x14ac:dyDescent="0.25">
      <c r="A182" t="s">
        <v>45</v>
      </c>
      <c r="B182">
        <v>46</v>
      </c>
      <c r="C182" t="s">
        <v>4</v>
      </c>
      <c r="D182" t="str">
        <f t="shared" si="2"/>
        <v>BANDARIBAKERY</v>
      </c>
      <c r="E182" t="s">
        <v>98</v>
      </c>
      <c r="F182" s="7">
        <v>2447113.9468776705</v>
      </c>
    </row>
    <row r="183" spans="1:6" x14ac:dyDescent="0.25">
      <c r="A183" t="s">
        <v>45</v>
      </c>
      <c r="B183">
        <v>46</v>
      </c>
      <c r="C183" t="s">
        <v>3</v>
      </c>
      <c r="D183" t="str">
        <f t="shared" si="2"/>
        <v>BANDARIBUTCHERY</v>
      </c>
      <c r="E183" t="s">
        <v>98</v>
      </c>
      <c r="F183" s="7">
        <v>822266.4985794198</v>
      </c>
    </row>
    <row r="184" spans="1:6" x14ac:dyDescent="0.25">
      <c r="A184" t="s">
        <v>45</v>
      </c>
      <c r="B184">
        <v>46</v>
      </c>
      <c r="C184" t="s">
        <v>2</v>
      </c>
      <c r="D184" t="str">
        <f t="shared" si="2"/>
        <v>BANDARIDELI</v>
      </c>
      <c r="E184" t="s">
        <v>98</v>
      </c>
      <c r="F184" s="7">
        <v>1490818.1814733122</v>
      </c>
    </row>
    <row r="185" spans="1:6" x14ac:dyDescent="0.25">
      <c r="A185" t="s">
        <v>45</v>
      </c>
      <c r="B185">
        <v>46</v>
      </c>
      <c r="C185" t="s">
        <v>5</v>
      </c>
      <c r="D185" t="str">
        <f t="shared" si="2"/>
        <v>BANDARIVEGES</v>
      </c>
      <c r="E185" t="s">
        <v>98</v>
      </c>
      <c r="F185" s="7">
        <v>3056796.5952733955</v>
      </c>
    </row>
    <row r="186" spans="1:6" x14ac:dyDescent="0.25">
      <c r="A186" t="s">
        <v>82</v>
      </c>
      <c r="B186">
        <v>47</v>
      </c>
      <c r="C186" t="s">
        <v>4</v>
      </c>
      <c r="D186" t="str">
        <f t="shared" si="2"/>
        <v>KITENGELA OBC MALLBAKERY</v>
      </c>
      <c r="E186" t="s">
        <v>98</v>
      </c>
      <c r="F186" s="7">
        <v>2552248.9457455506</v>
      </c>
    </row>
    <row r="187" spans="1:6" x14ac:dyDescent="0.25">
      <c r="A187" t="s">
        <v>82</v>
      </c>
      <c r="B187">
        <v>47</v>
      </c>
      <c r="C187" t="s">
        <v>3</v>
      </c>
      <c r="D187" t="str">
        <f t="shared" si="2"/>
        <v>KITENGELA OBC MALLBUTCHERY</v>
      </c>
      <c r="E187" t="s">
        <v>98</v>
      </c>
      <c r="F187" s="7">
        <v>2198050.1504384056</v>
      </c>
    </row>
    <row r="188" spans="1:6" x14ac:dyDescent="0.25">
      <c r="A188" t="s">
        <v>82</v>
      </c>
      <c r="B188">
        <v>47</v>
      </c>
      <c r="C188" t="s">
        <v>2</v>
      </c>
      <c r="D188" t="str">
        <f t="shared" si="2"/>
        <v>KITENGELA OBC MALLDELI</v>
      </c>
      <c r="E188" t="s">
        <v>98</v>
      </c>
      <c r="F188" s="7">
        <v>2039590.6905115158</v>
      </c>
    </row>
    <row r="189" spans="1:6" x14ac:dyDescent="0.25">
      <c r="A189" t="s">
        <v>82</v>
      </c>
      <c r="B189">
        <v>47</v>
      </c>
      <c r="C189" t="s">
        <v>5</v>
      </c>
      <c r="D189" t="str">
        <f t="shared" si="2"/>
        <v>KITENGELA OBC MALLVEGES</v>
      </c>
      <c r="E189" t="s">
        <v>98</v>
      </c>
      <c r="F189" s="7">
        <v>4723893.3796195965</v>
      </c>
    </row>
    <row r="190" spans="1:6" x14ac:dyDescent="0.25">
      <c r="A190" t="s">
        <v>47</v>
      </c>
      <c r="B190">
        <v>48</v>
      </c>
      <c r="C190" t="s">
        <v>4</v>
      </c>
      <c r="D190" t="str">
        <f t="shared" si="2"/>
        <v>MACHAKOS EXPRESSBAKERY</v>
      </c>
      <c r="E190" t="s">
        <v>98</v>
      </c>
      <c r="F190" s="7">
        <v>1867737.5573608887</v>
      </c>
    </row>
    <row r="191" spans="1:6" x14ac:dyDescent="0.25">
      <c r="A191" t="s">
        <v>47</v>
      </c>
      <c r="B191">
        <v>48</v>
      </c>
      <c r="C191" t="s">
        <v>3</v>
      </c>
      <c r="D191" t="str">
        <f t="shared" si="2"/>
        <v>MACHAKOS EXPRESSBUTCHERY</v>
      </c>
      <c r="E191" t="s">
        <v>98</v>
      </c>
      <c r="F191" s="7">
        <v>527751.95581173711</v>
      </c>
    </row>
    <row r="192" spans="1:6" x14ac:dyDescent="0.25">
      <c r="A192" t="s">
        <v>47</v>
      </c>
      <c r="B192">
        <v>48</v>
      </c>
      <c r="C192" t="s">
        <v>2</v>
      </c>
      <c r="D192" t="str">
        <f t="shared" si="2"/>
        <v>MACHAKOS EXPRESSDELI</v>
      </c>
      <c r="E192" t="s">
        <v>98</v>
      </c>
      <c r="F192" s="7">
        <v>917504.25926231954</v>
      </c>
    </row>
    <row r="193" spans="1:6" x14ac:dyDescent="0.25">
      <c r="A193" t="s">
        <v>47</v>
      </c>
      <c r="B193">
        <v>48</v>
      </c>
      <c r="C193" t="s">
        <v>5</v>
      </c>
      <c r="D193" t="str">
        <f t="shared" si="2"/>
        <v>MACHAKOS EXPRESSVEGES</v>
      </c>
      <c r="E193" t="s">
        <v>98</v>
      </c>
      <c r="F193" s="7">
        <v>430836.08518262999</v>
      </c>
    </row>
    <row r="194" spans="1:6" x14ac:dyDescent="0.25">
      <c r="A194" t="s">
        <v>48</v>
      </c>
      <c r="B194">
        <v>49</v>
      </c>
      <c r="C194" t="s">
        <v>4</v>
      </c>
      <c r="D194" t="str">
        <f t="shared" si="2"/>
        <v>MACHAKOS PIONEERBAKERY</v>
      </c>
      <c r="E194" t="s">
        <v>98</v>
      </c>
      <c r="F194" s="7">
        <v>1154228.5780563336</v>
      </c>
    </row>
    <row r="195" spans="1:6" x14ac:dyDescent="0.25">
      <c r="A195" t="s">
        <v>48</v>
      </c>
      <c r="B195">
        <v>49</v>
      </c>
      <c r="C195" t="s">
        <v>3</v>
      </c>
      <c r="D195" t="str">
        <f t="shared" ref="D195:D258" si="3">A195&amp;C195</f>
        <v>MACHAKOS PIONEERBUTCHERY</v>
      </c>
      <c r="E195" t="s">
        <v>98</v>
      </c>
      <c r="F195" s="7">
        <v>617568.44188459194</v>
      </c>
    </row>
    <row r="196" spans="1:6" x14ac:dyDescent="0.25">
      <c r="A196" t="s">
        <v>48</v>
      </c>
      <c r="B196">
        <v>49</v>
      </c>
      <c r="C196" t="s">
        <v>2</v>
      </c>
      <c r="D196" t="str">
        <f t="shared" si="3"/>
        <v>MACHAKOS PIONEERDELI</v>
      </c>
      <c r="E196" t="s">
        <v>98</v>
      </c>
      <c r="F196" s="7">
        <v>873624.61338974012</v>
      </c>
    </row>
    <row r="197" spans="1:6" x14ac:dyDescent="0.25">
      <c r="A197" t="s">
        <v>48</v>
      </c>
      <c r="B197">
        <v>49</v>
      </c>
      <c r="C197" t="s">
        <v>5</v>
      </c>
      <c r="D197" t="str">
        <f t="shared" si="3"/>
        <v>MACHAKOS PIONEERVEGES</v>
      </c>
      <c r="E197" t="s">
        <v>98</v>
      </c>
      <c r="F197" s="7">
        <v>787281.46994999447</v>
      </c>
    </row>
    <row r="198" spans="1:6" x14ac:dyDescent="0.25">
      <c r="A198" t="s">
        <v>49</v>
      </c>
      <c r="B198">
        <v>50</v>
      </c>
      <c r="C198" t="s">
        <v>4</v>
      </c>
      <c r="D198" t="str">
        <f t="shared" si="3"/>
        <v>MLOLONGOBAKERY</v>
      </c>
      <c r="E198" t="s">
        <v>98</v>
      </c>
      <c r="F198" s="7">
        <v>2586246.1469371999</v>
      </c>
    </row>
    <row r="199" spans="1:6" x14ac:dyDescent="0.25">
      <c r="A199" t="s">
        <v>49</v>
      </c>
      <c r="B199">
        <v>50</v>
      </c>
      <c r="C199" t="s">
        <v>3</v>
      </c>
      <c r="D199" t="str">
        <f t="shared" si="3"/>
        <v>MLOLONGOBUTCHERY</v>
      </c>
      <c r="E199" t="s">
        <v>98</v>
      </c>
      <c r="F199" s="7">
        <v>1760144.4971161103</v>
      </c>
    </row>
    <row r="200" spans="1:6" x14ac:dyDescent="0.25">
      <c r="A200" t="s">
        <v>49</v>
      </c>
      <c r="B200">
        <v>50</v>
      </c>
      <c r="C200" t="s">
        <v>2</v>
      </c>
      <c r="D200" t="str">
        <f t="shared" si="3"/>
        <v>MLOLONGODELI</v>
      </c>
      <c r="E200" t="s">
        <v>98</v>
      </c>
      <c r="F200" s="7">
        <v>1367389.3340752122</v>
      </c>
    </row>
    <row r="201" spans="1:6" x14ac:dyDescent="0.25">
      <c r="A201" t="s">
        <v>49</v>
      </c>
      <c r="B201">
        <v>50</v>
      </c>
      <c r="C201" t="s">
        <v>5</v>
      </c>
      <c r="D201" t="str">
        <f t="shared" si="3"/>
        <v>MLOLONGOVEGES</v>
      </c>
      <c r="E201" t="s">
        <v>98</v>
      </c>
      <c r="F201" s="7">
        <v>1552763.9396789875</v>
      </c>
    </row>
    <row r="202" spans="1:6" x14ac:dyDescent="0.25">
      <c r="A202" t="s">
        <v>50</v>
      </c>
      <c r="B202">
        <v>51</v>
      </c>
      <c r="C202" t="s">
        <v>4</v>
      </c>
      <c r="D202" t="str">
        <f t="shared" si="3"/>
        <v>KITUIBAKERY</v>
      </c>
      <c r="E202" t="s">
        <v>98</v>
      </c>
      <c r="F202" s="7">
        <v>1569926.7647826064</v>
      </c>
    </row>
    <row r="203" spans="1:6" x14ac:dyDescent="0.25">
      <c r="A203" t="s">
        <v>50</v>
      </c>
      <c r="B203">
        <v>51</v>
      </c>
      <c r="C203" t="s">
        <v>3</v>
      </c>
      <c r="D203" t="str">
        <f t="shared" si="3"/>
        <v>KITUIBUTCHERY</v>
      </c>
      <c r="E203" t="s">
        <v>98</v>
      </c>
      <c r="F203" s="7">
        <v>1609810.3640817802</v>
      </c>
    </row>
    <row r="204" spans="1:6" x14ac:dyDescent="0.25">
      <c r="A204" t="s">
        <v>50</v>
      </c>
      <c r="B204">
        <v>51</v>
      </c>
      <c r="C204" t="s">
        <v>2</v>
      </c>
      <c r="D204" t="str">
        <f t="shared" si="3"/>
        <v>KITUIDELI</v>
      </c>
      <c r="E204" t="s">
        <v>98</v>
      </c>
      <c r="F204" s="7">
        <v>1107600.406621469</v>
      </c>
    </row>
    <row r="205" spans="1:6" x14ac:dyDescent="0.25">
      <c r="A205" t="s">
        <v>50</v>
      </c>
      <c r="B205">
        <v>51</v>
      </c>
      <c r="C205" t="s">
        <v>5</v>
      </c>
      <c r="D205" t="str">
        <f t="shared" si="3"/>
        <v>KITUIVEGES</v>
      </c>
      <c r="E205" t="s">
        <v>98</v>
      </c>
      <c r="F205" s="7">
        <v>1606915.9108232474</v>
      </c>
    </row>
    <row r="206" spans="1:6" x14ac:dyDescent="0.25">
      <c r="A206" t="s">
        <v>83</v>
      </c>
      <c r="B206">
        <v>52</v>
      </c>
      <c r="C206" t="s">
        <v>4</v>
      </c>
      <c r="D206" t="str">
        <f t="shared" si="3"/>
        <v>T-MALLBAKERY</v>
      </c>
      <c r="E206" t="s">
        <v>98</v>
      </c>
      <c r="F206" s="7">
        <v>1427755.2025018125</v>
      </c>
    </row>
    <row r="207" spans="1:6" x14ac:dyDescent="0.25">
      <c r="A207" t="s">
        <v>83</v>
      </c>
      <c r="B207">
        <v>52</v>
      </c>
      <c r="C207" t="s">
        <v>3</v>
      </c>
      <c r="D207" t="str">
        <f t="shared" si="3"/>
        <v>T-MALLBUTCHERY</v>
      </c>
      <c r="E207" t="s">
        <v>98</v>
      </c>
      <c r="F207" s="7">
        <v>1201575.7687415027</v>
      </c>
    </row>
    <row r="208" spans="1:6" x14ac:dyDescent="0.25">
      <c r="A208" t="s">
        <v>83</v>
      </c>
      <c r="B208">
        <v>52</v>
      </c>
      <c r="C208" t="s">
        <v>2</v>
      </c>
      <c r="D208" t="str">
        <f t="shared" si="3"/>
        <v>T-MALLDELI</v>
      </c>
      <c r="E208" t="s">
        <v>98</v>
      </c>
      <c r="F208" s="7">
        <v>1645920.9797110036</v>
      </c>
    </row>
    <row r="209" spans="1:6" x14ac:dyDescent="0.25">
      <c r="A209" t="s">
        <v>83</v>
      </c>
      <c r="B209">
        <v>52</v>
      </c>
      <c r="C209" t="s">
        <v>5</v>
      </c>
      <c r="D209" t="str">
        <f t="shared" si="3"/>
        <v>T-MALLVEGES</v>
      </c>
      <c r="E209" t="s">
        <v>98</v>
      </c>
      <c r="F209" s="7">
        <v>2786541.6714284574</v>
      </c>
    </row>
    <row r="210" spans="1:6" x14ac:dyDescent="0.25">
      <c r="A210" t="s">
        <v>84</v>
      </c>
      <c r="B210">
        <v>53</v>
      </c>
      <c r="C210" t="s">
        <v>4</v>
      </c>
      <c r="D210" t="str">
        <f t="shared" si="3"/>
        <v>MILELE-NGONGBAKERY</v>
      </c>
      <c r="E210" t="s">
        <v>98</v>
      </c>
      <c r="F210" s="7">
        <v>1978964.0718625537</v>
      </c>
    </row>
    <row r="211" spans="1:6" x14ac:dyDescent="0.25">
      <c r="A211" t="s">
        <v>84</v>
      </c>
      <c r="B211">
        <v>53</v>
      </c>
      <c r="C211" t="s">
        <v>3</v>
      </c>
      <c r="D211" t="str">
        <f t="shared" si="3"/>
        <v>MILELE-NGONGBUTCHERY</v>
      </c>
      <c r="E211" t="s">
        <v>98</v>
      </c>
      <c r="F211" s="7">
        <v>1184700.418300807</v>
      </c>
    </row>
    <row r="212" spans="1:6" x14ac:dyDescent="0.25">
      <c r="A212" t="s">
        <v>84</v>
      </c>
      <c r="B212">
        <v>53</v>
      </c>
      <c r="C212" t="s">
        <v>2</v>
      </c>
      <c r="D212" t="str">
        <f t="shared" si="3"/>
        <v>MILELE-NGONGDELI</v>
      </c>
      <c r="E212" t="s">
        <v>98</v>
      </c>
      <c r="F212" s="7">
        <v>1287042.0145142169</v>
      </c>
    </row>
    <row r="213" spans="1:6" x14ac:dyDescent="0.25">
      <c r="A213" t="s">
        <v>84</v>
      </c>
      <c r="B213">
        <v>53</v>
      </c>
      <c r="C213" t="s">
        <v>5</v>
      </c>
      <c r="D213" t="str">
        <f t="shared" si="3"/>
        <v>MILELE-NGONGVEGES</v>
      </c>
      <c r="E213" t="s">
        <v>98</v>
      </c>
      <c r="F213" s="7">
        <v>1601309.2277551759</v>
      </c>
    </row>
    <row r="214" spans="1:6" x14ac:dyDescent="0.25">
      <c r="A214" t="s">
        <v>51</v>
      </c>
      <c r="B214">
        <v>54</v>
      </c>
      <c r="C214" t="s">
        <v>4</v>
      </c>
      <c r="D214" t="str">
        <f t="shared" si="3"/>
        <v>KARENBAKERY</v>
      </c>
      <c r="E214" t="s">
        <v>98</v>
      </c>
      <c r="F214" s="7">
        <v>1484895.2073528825</v>
      </c>
    </row>
    <row r="215" spans="1:6" x14ac:dyDescent="0.25">
      <c r="A215" t="s">
        <v>51</v>
      </c>
      <c r="B215">
        <v>54</v>
      </c>
      <c r="C215" t="s">
        <v>3</v>
      </c>
      <c r="D215" t="str">
        <f t="shared" si="3"/>
        <v>KARENBUTCHERY</v>
      </c>
      <c r="E215" t="s">
        <v>98</v>
      </c>
      <c r="F215" s="7">
        <v>1012064.9791442879</v>
      </c>
    </row>
    <row r="216" spans="1:6" x14ac:dyDescent="0.25">
      <c r="A216" t="s">
        <v>51</v>
      </c>
      <c r="B216">
        <v>54</v>
      </c>
      <c r="C216" t="s">
        <v>2</v>
      </c>
      <c r="D216" t="str">
        <f t="shared" si="3"/>
        <v>KARENDELI</v>
      </c>
      <c r="E216" t="s">
        <v>98</v>
      </c>
      <c r="F216" s="7">
        <v>1213423.0344103707</v>
      </c>
    </row>
    <row r="217" spans="1:6" x14ac:dyDescent="0.25">
      <c r="A217" t="s">
        <v>51</v>
      </c>
      <c r="B217">
        <v>54</v>
      </c>
      <c r="C217" t="s">
        <v>5</v>
      </c>
      <c r="D217" t="str">
        <f t="shared" si="3"/>
        <v>KARENVEGES</v>
      </c>
      <c r="E217" t="s">
        <v>98</v>
      </c>
      <c r="F217" s="7">
        <v>1884132.8032221205</v>
      </c>
    </row>
    <row r="218" spans="1:6" x14ac:dyDescent="0.25">
      <c r="A218" t="s">
        <v>70</v>
      </c>
      <c r="B218">
        <v>55</v>
      </c>
      <c r="C218" t="s">
        <v>4</v>
      </c>
      <c r="D218" t="str">
        <f t="shared" si="3"/>
        <v>SHABAABBAKERY</v>
      </c>
      <c r="E218" t="s">
        <v>98</v>
      </c>
      <c r="F218" s="7">
        <v>408927.41873738635</v>
      </c>
    </row>
    <row r="219" spans="1:6" x14ac:dyDescent="0.25">
      <c r="A219" t="s">
        <v>70</v>
      </c>
      <c r="B219">
        <v>55</v>
      </c>
      <c r="C219" t="s">
        <v>3</v>
      </c>
      <c r="D219" t="str">
        <f t="shared" si="3"/>
        <v>SHABAABBUTCHERY</v>
      </c>
      <c r="E219" t="s">
        <v>98</v>
      </c>
      <c r="F219" s="7">
        <v>0</v>
      </c>
    </row>
    <row r="220" spans="1:6" x14ac:dyDescent="0.25">
      <c r="A220" t="s">
        <v>70</v>
      </c>
      <c r="B220">
        <v>55</v>
      </c>
      <c r="C220" t="s">
        <v>2</v>
      </c>
      <c r="D220" t="str">
        <f t="shared" si="3"/>
        <v>SHABAABDELI</v>
      </c>
      <c r="E220" t="s">
        <v>98</v>
      </c>
      <c r="F220" s="7">
        <v>0</v>
      </c>
    </row>
    <row r="221" spans="1:6" x14ac:dyDescent="0.25">
      <c r="A221" t="s">
        <v>70</v>
      </c>
      <c r="B221">
        <v>55</v>
      </c>
      <c r="C221" t="s">
        <v>5</v>
      </c>
      <c r="D221" t="str">
        <f t="shared" si="3"/>
        <v>SHABAABVEGES</v>
      </c>
      <c r="E221" t="s">
        <v>98</v>
      </c>
      <c r="F221" s="7">
        <v>0</v>
      </c>
    </row>
    <row r="222" spans="1:6" x14ac:dyDescent="0.25">
      <c r="A222" t="s">
        <v>52</v>
      </c>
      <c r="B222">
        <v>56</v>
      </c>
      <c r="C222" t="s">
        <v>4</v>
      </c>
      <c r="D222" t="str">
        <f t="shared" si="3"/>
        <v>THOMEBAKERY</v>
      </c>
      <c r="E222" t="s">
        <v>98</v>
      </c>
      <c r="F222" s="7">
        <v>1512962.0888593746</v>
      </c>
    </row>
    <row r="223" spans="1:6" x14ac:dyDescent="0.25">
      <c r="A223" t="s">
        <v>52</v>
      </c>
      <c r="B223">
        <v>56</v>
      </c>
      <c r="C223" t="s">
        <v>3</v>
      </c>
      <c r="D223" t="str">
        <f t="shared" si="3"/>
        <v>THOMEBUTCHERY</v>
      </c>
      <c r="E223" t="s">
        <v>98</v>
      </c>
      <c r="F223" s="7">
        <v>1493983.7029185914</v>
      </c>
    </row>
    <row r="224" spans="1:6" x14ac:dyDescent="0.25">
      <c r="A224" t="s">
        <v>52</v>
      </c>
      <c r="B224">
        <v>56</v>
      </c>
      <c r="C224" t="s">
        <v>2</v>
      </c>
      <c r="D224" t="str">
        <f t="shared" si="3"/>
        <v>THOMEDELI</v>
      </c>
      <c r="E224" t="s">
        <v>98</v>
      </c>
      <c r="F224" s="7">
        <v>1582789.0141683861</v>
      </c>
    </row>
    <row r="225" spans="1:6" x14ac:dyDescent="0.25">
      <c r="A225" t="s">
        <v>52</v>
      </c>
      <c r="B225">
        <v>56</v>
      </c>
      <c r="C225" t="s">
        <v>5</v>
      </c>
      <c r="D225" t="str">
        <f t="shared" si="3"/>
        <v>THOMEVEGES</v>
      </c>
      <c r="E225" t="s">
        <v>98</v>
      </c>
      <c r="F225" s="7">
        <v>2969558.6806674795</v>
      </c>
    </row>
    <row r="226" spans="1:6" x14ac:dyDescent="0.25">
      <c r="A226" t="s">
        <v>53</v>
      </c>
      <c r="B226">
        <v>57</v>
      </c>
      <c r="C226" t="s">
        <v>4</v>
      </c>
      <c r="D226" t="str">
        <f t="shared" si="3"/>
        <v>KILELESHWABAKERY</v>
      </c>
      <c r="E226" t="s">
        <v>98</v>
      </c>
      <c r="F226" s="7">
        <v>1997086.1657997065</v>
      </c>
    </row>
    <row r="227" spans="1:6" x14ac:dyDescent="0.25">
      <c r="A227" t="s">
        <v>53</v>
      </c>
      <c r="B227">
        <v>57</v>
      </c>
      <c r="C227" t="s">
        <v>3</v>
      </c>
      <c r="D227" t="str">
        <f t="shared" si="3"/>
        <v>KILELESHWABUTCHERY</v>
      </c>
      <c r="E227" t="s">
        <v>98</v>
      </c>
      <c r="F227" s="7">
        <v>8337466.0777741931</v>
      </c>
    </row>
    <row r="228" spans="1:6" x14ac:dyDescent="0.25">
      <c r="A228" t="s">
        <v>53</v>
      </c>
      <c r="B228">
        <v>57</v>
      </c>
      <c r="C228" t="s">
        <v>2</v>
      </c>
      <c r="D228" t="str">
        <f t="shared" si="3"/>
        <v>KILELESHWADELI</v>
      </c>
      <c r="E228" t="s">
        <v>98</v>
      </c>
      <c r="F228" s="7">
        <v>2593588.0343737062</v>
      </c>
    </row>
    <row r="229" spans="1:6" x14ac:dyDescent="0.25">
      <c r="A229" t="s">
        <v>53</v>
      </c>
      <c r="B229">
        <v>57</v>
      </c>
      <c r="C229" t="s">
        <v>5</v>
      </c>
      <c r="D229" t="str">
        <f t="shared" si="3"/>
        <v>KILELESHWAVEGES</v>
      </c>
      <c r="E229" t="s">
        <v>98</v>
      </c>
      <c r="F229" s="7">
        <v>12000652.547504421</v>
      </c>
    </row>
    <row r="230" spans="1:6" x14ac:dyDescent="0.25">
      <c r="A230" t="s">
        <v>54</v>
      </c>
      <c r="B230">
        <v>58</v>
      </c>
      <c r="C230" t="s">
        <v>4</v>
      </c>
      <c r="D230" t="str">
        <f t="shared" si="3"/>
        <v>NYALIBAKERY</v>
      </c>
      <c r="E230" t="s">
        <v>98</v>
      </c>
      <c r="F230" s="7">
        <v>1426287.4685909662</v>
      </c>
    </row>
    <row r="231" spans="1:6" x14ac:dyDescent="0.25">
      <c r="A231" t="s">
        <v>54</v>
      </c>
      <c r="B231">
        <v>58</v>
      </c>
      <c r="C231" t="s">
        <v>3</v>
      </c>
      <c r="D231" t="str">
        <f t="shared" si="3"/>
        <v>NYALIBUTCHERY</v>
      </c>
      <c r="E231" t="s">
        <v>98</v>
      </c>
      <c r="F231" s="7">
        <v>1353264.1148413394</v>
      </c>
    </row>
    <row r="232" spans="1:6" x14ac:dyDescent="0.25">
      <c r="A232" t="s">
        <v>54</v>
      </c>
      <c r="B232">
        <v>58</v>
      </c>
      <c r="C232" t="s">
        <v>2</v>
      </c>
      <c r="D232" t="str">
        <f t="shared" si="3"/>
        <v>NYALIDELI</v>
      </c>
      <c r="E232" t="s">
        <v>98</v>
      </c>
      <c r="F232" s="7">
        <v>1096363.1301334535</v>
      </c>
    </row>
    <row r="233" spans="1:6" x14ac:dyDescent="0.25">
      <c r="A233" t="s">
        <v>54</v>
      </c>
      <c r="B233">
        <v>58</v>
      </c>
      <c r="C233" t="s">
        <v>5</v>
      </c>
      <c r="D233" t="str">
        <f t="shared" si="3"/>
        <v>NYALIVEGES</v>
      </c>
      <c r="E233" t="s">
        <v>98</v>
      </c>
      <c r="F233" s="7">
        <v>2837171.1906900634</v>
      </c>
    </row>
    <row r="234" spans="1:6" x14ac:dyDescent="0.25">
      <c r="A234" t="s">
        <v>55</v>
      </c>
      <c r="B234">
        <v>59</v>
      </c>
      <c r="C234" t="s">
        <v>4</v>
      </c>
      <c r="D234" t="str">
        <f t="shared" si="3"/>
        <v>OUTERING 2BAKERY</v>
      </c>
      <c r="E234" t="s">
        <v>98</v>
      </c>
      <c r="F234" s="7">
        <v>3147582.3713176739</v>
      </c>
    </row>
    <row r="235" spans="1:6" x14ac:dyDescent="0.25">
      <c r="A235" t="s">
        <v>55</v>
      </c>
      <c r="B235">
        <v>59</v>
      </c>
      <c r="C235" t="s">
        <v>3</v>
      </c>
      <c r="D235" t="str">
        <f t="shared" si="3"/>
        <v>OUTERING 2BUTCHERY</v>
      </c>
      <c r="E235" t="s">
        <v>98</v>
      </c>
      <c r="F235" s="7">
        <v>1088319.4287563416</v>
      </c>
    </row>
    <row r="236" spans="1:6" x14ac:dyDescent="0.25">
      <c r="A236" t="s">
        <v>55</v>
      </c>
      <c r="B236">
        <v>59</v>
      </c>
      <c r="C236" t="s">
        <v>2</v>
      </c>
      <c r="D236" t="str">
        <f t="shared" si="3"/>
        <v>OUTERING 2DELI</v>
      </c>
      <c r="E236" t="s">
        <v>98</v>
      </c>
      <c r="F236" s="7">
        <v>1826417.7152055234</v>
      </c>
    </row>
    <row r="237" spans="1:6" x14ac:dyDescent="0.25">
      <c r="A237" t="s">
        <v>55</v>
      </c>
      <c r="B237">
        <v>59</v>
      </c>
      <c r="C237" t="s">
        <v>5</v>
      </c>
      <c r="D237" t="str">
        <f t="shared" si="3"/>
        <v>OUTERING 2VEGES</v>
      </c>
      <c r="E237" t="s">
        <v>98</v>
      </c>
      <c r="F237" s="7">
        <v>1832168.2681077311</v>
      </c>
    </row>
    <row r="238" spans="1:6" x14ac:dyDescent="0.25">
      <c r="A238" t="s">
        <v>85</v>
      </c>
      <c r="B238">
        <v>60</v>
      </c>
      <c r="C238" t="s">
        <v>4</v>
      </c>
      <c r="D238" t="str">
        <f t="shared" si="3"/>
        <v>NAROK MORANBAKERY</v>
      </c>
      <c r="E238" t="s">
        <v>98</v>
      </c>
      <c r="F238" s="7">
        <v>2727825.3988084397</v>
      </c>
    </row>
    <row r="239" spans="1:6" x14ac:dyDescent="0.25">
      <c r="A239" t="s">
        <v>85</v>
      </c>
      <c r="B239">
        <v>60</v>
      </c>
      <c r="C239" t="s">
        <v>3</v>
      </c>
      <c r="D239" t="str">
        <f t="shared" si="3"/>
        <v>NAROK MORANBUTCHERY</v>
      </c>
      <c r="E239" t="s">
        <v>98</v>
      </c>
      <c r="F239" s="7">
        <v>1803072.3132873201</v>
      </c>
    </row>
    <row r="240" spans="1:6" x14ac:dyDescent="0.25">
      <c r="A240" t="s">
        <v>85</v>
      </c>
      <c r="B240">
        <v>60</v>
      </c>
      <c r="C240" t="s">
        <v>2</v>
      </c>
      <c r="D240" t="str">
        <f t="shared" si="3"/>
        <v>NAROK MORANDELI</v>
      </c>
      <c r="E240" t="s">
        <v>98</v>
      </c>
      <c r="F240" s="7">
        <v>2341973.2997396849</v>
      </c>
    </row>
    <row r="241" spans="1:6" x14ac:dyDescent="0.25">
      <c r="A241" t="s">
        <v>85</v>
      </c>
      <c r="B241">
        <v>60</v>
      </c>
      <c r="C241" t="s">
        <v>5</v>
      </c>
      <c r="D241" t="str">
        <f t="shared" si="3"/>
        <v>NAROK MORANVEGES</v>
      </c>
      <c r="E241" t="s">
        <v>98</v>
      </c>
      <c r="F241" s="7">
        <v>3937514.1271671955</v>
      </c>
    </row>
    <row r="242" spans="1:6" x14ac:dyDescent="0.25">
      <c r="A242" t="s">
        <v>66</v>
      </c>
      <c r="B242">
        <v>61</v>
      </c>
      <c r="C242" t="s">
        <v>4</v>
      </c>
      <c r="D242" t="str">
        <f t="shared" si="3"/>
        <v>JOSKABAKERY</v>
      </c>
      <c r="E242" t="s">
        <v>98</v>
      </c>
      <c r="F242" s="7">
        <v>1965586.3191669555</v>
      </c>
    </row>
    <row r="243" spans="1:6" x14ac:dyDescent="0.25">
      <c r="A243" t="s">
        <v>66</v>
      </c>
      <c r="B243">
        <v>61</v>
      </c>
      <c r="C243" t="s">
        <v>3</v>
      </c>
      <c r="D243" t="str">
        <f t="shared" si="3"/>
        <v>JOSKABUTCHERY</v>
      </c>
      <c r="E243" t="s">
        <v>98</v>
      </c>
      <c r="F243" s="7">
        <v>1684801.4559929082</v>
      </c>
    </row>
    <row r="244" spans="1:6" x14ac:dyDescent="0.25">
      <c r="A244" t="s">
        <v>66</v>
      </c>
      <c r="B244">
        <v>61</v>
      </c>
      <c r="C244" t="s">
        <v>2</v>
      </c>
      <c r="D244" t="str">
        <f t="shared" si="3"/>
        <v>JOSKADELI</v>
      </c>
      <c r="E244" t="s">
        <v>98</v>
      </c>
      <c r="F244" s="7">
        <v>1437613.8068726035</v>
      </c>
    </row>
    <row r="245" spans="1:6" x14ac:dyDescent="0.25">
      <c r="A245" t="s">
        <v>66</v>
      </c>
      <c r="B245">
        <v>61</v>
      </c>
      <c r="C245" t="s">
        <v>5</v>
      </c>
      <c r="D245" t="str">
        <f t="shared" si="3"/>
        <v>JOSKAVEGES</v>
      </c>
      <c r="E245" t="s">
        <v>98</v>
      </c>
      <c r="F245" s="7">
        <v>2163996.4003969599</v>
      </c>
    </row>
    <row r="246" spans="1:6" x14ac:dyDescent="0.25">
      <c r="A246" t="s">
        <v>71</v>
      </c>
      <c r="B246">
        <v>62</v>
      </c>
      <c r="C246" t="s">
        <v>4</v>
      </c>
      <c r="D246" t="str">
        <f t="shared" si="3"/>
        <v>CIRCLE MALLBAKERY</v>
      </c>
      <c r="E246" t="s">
        <v>98</v>
      </c>
      <c r="F246" s="7">
        <v>547327.5675970132</v>
      </c>
    </row>
    <row r="247" spans="1:6" x14ac:dyDescent="0.25">
      <c r="A247" t="s">
        <v>71</v>
      </c>
      <c r="B247">
        <v>62</v>
      </c>
      <c r="C247" t="s">
        <v>3</v>
      </c>
      <c r="D247" t="str">
        <f t="shared" si="3"/>
        <v>CIRCLE MALLBUTCHERY</v>
      </c>
      <c r="E247" t="s">
        <v>98</v>
      </c>
      <c r="F247" s="7">
        <v>886107.16835768207</v>
      </c>
    </row>
    <row r="248" spans="1:6" x14ac:dyDescent="0.25">
      <c r="A248" t="s">
        <v>71</v>
      </c>
      <c r="B248">
        <v>62</v>
      </c>
      <c r="C248" t="s">
        <v>2</v>
      </c>
      <c r="D248" t="str">
        <f t="shared" si="3"/>
        <v>CIRCLE MALLDELI</v>
      </c>
      <c r="E248" t="s">
        <v>98</v>
      </c>
      <c r="F248" s="7">
        <v>747318.45317209256</v>
      </c>
    </row>
    <row r="249" spans="1:6" x14ac:dyDescent="0.25">
      <c r="A249" t="s">
        <v>71</v>
      </c>
      <c r="B249">
        <v>62</v>
      </c>
      <c r="C249" t="s">
        <v>5</v>
      </c>
      <c r="D249" t="str">
        <f t="shared" si="3"/>
        <v>CIRCLE MALLVEGES</v>
      </c>
      <c r="E249" t="s">
        <v>98</v>
      </c>
      <c r="F249" s="7">
        <v>1706089.9591865386</v>
      </c>
    </row>
    <row r="250" spans="1:6" x14ac:dyDescent="0.25">
      <c r="A250" t="s">
        <v>72</v>
      </c>
      <c r="B250">
        <v>63</v>
      </c>
      <c r="C250" t="s">
        <v>4</v>
      </c>
      <c r="D250" t="str">
        <f t="shared" si="3"/>
        <v>BANANA RDBAKERY</v>
      </c>
      <c r="E250" t="s">
        <v>98</v>
      </c>
      <c r="F250" s="7">
        <v>2786541.6714284574</v>
      </c>
    </row>
    <row r="251" spans="1:6" x14ac:dyDescent="0.25">
      <c r="A251" t="s">
        <v>72</v>
      </c>
      <c r="B251">
        <v>63</v>
      </c>
      <c r="C251" t="s">
        <v>3</v>
      </c>
      <c r="D251" t="str">
        <f t="shared" si="3"/>
        <v>BANANA RDBUTCHERY</v>
      </c>
      <c r="E251" t="s">
        <v>98</v>
      </c>
      <c r="F251" s="7">
        <v>1427755.2025018125</v>
      </c>
    </row>
    <row r="252" spans="1:6" x14ac:dyDescent="0.25">
      <c r="A252" t="s">
        <v>72</v>
      </c>
      <c r="B252">
        <v>63</v>
      </c>
      <c r="C252" t="s">
        <v>2</v>
      </c>
      <c r="D252" t="str">
        <f t="shared" si="3"/>
        <v>BANANA RDDELI</v>
      </c>
      <c r="E252" t="s">
        <v>98</v>
      </c>
      <c r="F252" s="7">
        <v>1201575.7687415027</v>
      </c>
    </row>
    <row r="253" spans="1:6" x14ac:dyDescent="0.25">
      <c r="A253" t="s">
        <v>72</v>
      </c>
      <c r="B253">
        <v>63</v>
      </c>
      <c r="C253" t="s">
        <v>5</v>
      </c>
      <c r="D253" t="str">
        <f t="shared" si="3"/>
        <v>BANANA RDVEGES</v>
      </c>
      <c r="E253" t="s">
        <v>98</v>
      </c>
      <c r="F253" s="7">
        <v>1645920.9797110036</v>
      </c>
    </row>
    <row r="254" spans="1:6" x14ac:dyDescent="0.25">
      <c r="A254" t="s">
        <v>79</v>
      </c>
      <c r="B254">
        <v>64</v>
      </c>
      <c r="C254" t="s">
        <v>4</v>
      </c>
      <c r="D254" t="str">
        <f t="shared" si="3"/>
        <v>NAKURU STATEHOUSEBAKERY</v>
      </c>
      <c r="E254" t="s">
        <v>98</v>
      </c>
      <c r="F254" s="7">
        <v>2727825.3988084397</v>
      </c>
    </row>
    <row r="255" spans="1:6" x14ac:dyDescent="0.25">
      <c r="A255" t="s">
        <v>79</v>
      </c>
      <c r="B255">
        <v>64</v>
      </c>
      <c r="C255" t="s">
        <v>3</v>
      </c>
      <c r="D255" t="str">
        <f t="shared" si="3"/>
        <v>NAKURU STATEHOUSEBUTCHERY</v>
      </c>
      <c r="E255" t="s">
        <v>98</v>
      </c>
      <c r="F255" s="7">
        <v>1803072.3132873201</v>
      </c>
    </row>
    <row r="256" spans="1:6" x14ac:dyDescent="0.25">
      <c r="A256" t="s">
        <v>79</v>
      </c>
      <c r="B256">
        <v>64</v>
      </c>
      <c r="C256" t="s">
        <v>2</v>
      </c>
      <c r="D256" t="str">
        <f t="shared" si="3"/>
        <v>NAKURU STATEHOUSEDELI</v>
      </c>
      <c r="E256" t="s">
        <v>98</v>
      </c>
      <c r="F256" s="7">
        <v>2341973.2997396849</v>
      </c>
    </row>
    <row r="257" spans="1:6" x14ac:dyDescent="0.25">
      <c r="A257" t="s">
        <v>79</v>
      </c>
      <c r="B257">
        <v>64</v>
      </c>
      <c r="C257" t="s">
        <v>5</v>
      </c>
      <c r="D257" t="str">
        <f t="shared" si="3"/>
        <v>NAKURU STATEHOUSEVEGES</v>
      </c>
      <c r="E257" t="s">
        <v>98</v>
      </c>
      <c r="F257" s="7">
        <v>3937514.1271671955</v>
      </c>
    </row>
    <row r="258" spans="1:6" x14ac:dyDescent="0.25">
      <c r="A258" t="s">
        <v>86</v>
      </c>
      <c r="B258">
        <v>65</v>
      </c>
      <c r="C258" t="s">
        <v>4</v>
      </c>
      <c r="D258" t="str">
        <f t="shared" si="3"/>
        <v>KITENGELA TOWNBAKERY</v>
      </c>
      <c r="E258" t="s">
        <v>98</v>
      </c>
      <c r="F258" s="7">
        <v>1531349.3674473304</v>
      </c>
    </row>
    <row r="259" spans="1:6" x14ac:dyDescent="0.25">
      <c r="A259" t="s">
        <v>86</v>
      </c>
      <c r="B259">
        <v>65</v>
      </c>
      <c r="C259" t="s">
        <v>3</v>
      </c>
      <c r="D259" t="str">
        <f t="shared" ref="D259:D289" si="4">A259&amp;C259</f>
        <v>KITENGELA TOWNBUTCHERY</v>
      </c>
      <c r="E259" t="s">
        <v>98</v>
      </c>
      <c r="F259" s="7">
        <v>1223754.4143069093</v>
      </c>
    </row>
    <row r="260" spans="1:6" x14ac:dyDescent="0.25">
      <c r="A260" t="s">
        <v>86</v>
      </c>
      <c r="B260">
        <v>65</v>
      </c>
      <c r="C260" t="s">
        <v>2</v>
      </c>
      <c r="D260" t="str">
        <f t="shared" si="4"/>
        <v>KITENGELA TOWNDELI</v>
      </c>
      <c r="E260" t="s">
        <v>98</v>
      </c>
      <c r="F260" s="7">
        <v>2834336.0277717579</v>
      </c>
    </row>
    <row r="261" spans="1:6" x14ac:dyDescent="0.25">
      <c r="A261" t="s">
        <v>86</v>
      </c>
      <c r="B261">
        <v>65</v>
      </c>
      <c r="C261" t="s">
        <v>5</v>
      </c>
      <c r="D261" t="str">
        <f t="shared" si="4"/>
        <v>KITENGELA TOWNVEGES</v>
      </c>
      <c r="E261" t="s">
        <v>98</v>
      </c>
      <c r="F261" s="7">
        <v>1318830.0902630433</v>
      </c>
    </row>
    <row r="262" spans="1:6" x14ac:dyDescent="0.25">
      <c r="A262" t="s">
        <v>87</v>
      </c>
      <c r="B262">
        <v>66</v>
      </c>
      <c r="C262" t="s">
        <v>4</v>
      </c>
      <c r="D262" t="str">
        <f t="shared" si="4"/>
        <v>LIKONI FERRYBAKERY</v>
      </c>
      <c r="E262" t="s">
        <v>98</v>
      </c>
      <c r="F262" s="7">
        <v>1426287.4685909662</v>
      </c>
    </row>
    <row r="263" spans="1:6" x14ac:dyDescent="0.25">
      <c r="A263" t="s">
        <v>87</v>
      </c>
      <c r="B263">
        <v>66</v>
      </c>
      <c r="C263" t="s">
        <v>3</v>
      </c>
      <c r="D263" t="str">
        <f t="shared" si="4"/>
        <v>LIKONI FERRYBUTCHERY</v>
      </c>
      <c r="E263" t="s">
        <v>98</v>
      </c>
      <c r="F263" s="7">
        <v>1353264.1148413394</v>
      </c>
    </row>
    <row r="264" spans="1:6" x14ac:dyDescent="0.25">
      <c r="A264" t="s">
        <v>87</v>
      </c>
      <c r="B264">
        <v>66</v>
      </c>
      <c r="C264" t="s">
        <v>2</v>
      </c>
      <c r="D264" t="str">
        <f t="shared" si="4"/>
        <v>LIKONI FERRYDELI</v>
      </c>
      <c r="E264" t="s">
        <v>98</v>
      </c>
      <c r="F264" s="7">
        <v>1096363.1301334535</v>
      </c>
    </row>
    <row r="265" spans="1:6" x14ac:dyDescent="0.25">
      <c r="A265" t="s">
        <v>87</v>
      </c>
      <c r="B265">
        <v>66</v>
      </c>
      <c r="C265" t="s">
        <v>5</v>
      </c>
      <c r="D265" t="str">
        <f t="shared" si="4"/>
        <v>LIKONI FERRYVEGES</v>
      </c>
      <c r="E265" t="s">
        <v>98</v>
      </c>
      <c r="F265" s="7">
        <v>2837171.1906900634</v>
      </c>
    </row>
    <row r="266" spans="1:6" x14ac:dyDescent="0.25">
      <c r="A266" t="s">
        <v>92</v>
      </c>
      <c r="B266">
        <v>67</v>
      </c>
      <c r="C266" t="s">
        <v>4</v>
      </c>
      <c r="D266" t="str">
        <f t="shared" si="4"/>
        <v>ELGON VIEWBAKERY</v>
      </c>
      <c r="E266" t="s">
        <v>98</v>
      </c>
      <c r="F266" s="7">
        <v>2148247.9797958964</v>
      </c>
    </row>
    <row r="267" spans="1:6" x14ac:dyDescent="0.25">
      <c r="A267" t="s">
        <v>92</v>
      </c>
      <c r="B267">
        <v>67</v>
      </c>
      <c r="C267" t="s">
        <v>3</v>
      </c>
      <c r="D267" t="str">
        <f t="shared" si="4"/>
        <v>ELGON VIEWBUTCHERY</v>
      </c>
      <c r="E267" t="s">
        <v>98</v>
      </c>
      <c r="F267" s="7">
        <v>2394513.4516168288</v>
      </c>
    </row>
    <row r="268" spans="1:6" x14ac:dyDescent="0.25">
      <c r="A268" t="s">
        <v>92</v>
      </c>
      <c r="B268">
        <v>67</v>
      </c>
      <c r="C268" t="s">
        <v>2</v>
      </c>
      <c r="D268" t="str">
        <f t="shared" si="4"/>
        <v>ELGON VIEWDELI</v>
      </c>
      <c r="E268" t="s">
        <v>98</v>
      </c>
      <c r="F268" s="7">
        <v>1977343.7090922976</v>
      </c>
    </row>
    <row r="269" spans="1:6" x14ac:dyDescent="0.25">
      <c r="A269" t="s">
        <v>92</v>
      </c>
      <c r="B269">
        <v>67</v>
      </c>
      <c r="C269" t="s">
        <v>5</v>
      </c>
      <c r="D269" t="str">
        <f t="shared" si="4"/>
        <v>ELGON VIEWVEGES</v>
      </c>
      <c r="E269" t="s">
        <v>98</v>
      </c>
      <c r="F269" s="7">
        <v>4267561.9334498104</v>
      </c>
    </row>
    <row r="270" spans="1:6" x14ac:dyDescent="0.25">
      <c r="A270" t="s">
        <v>93</v>
      </c>
      <c r="B270">
        <v>68</v>
      </c>
      <c r="C270" t="s">
        <v>4</v>
      </c>
      <c r="D270" t="str">
        <f t="shared" si="4"/>
        <v>NGONG RD ADAMSBAKERY</v>
      </c>
      <c r="E270" t="s">
        <v>98</v>
      </c>
      <c r="F270" s="7">
        <v>1482444.4034112906</v>
      </c>
    </row>
    <row r="271" spans="1:6" x14ac:dyDescent="0.25">
      <c r="A271" t="s">
        <v>93</v>
      </c>
      <c r="B271">
        <v>68</v>
      </c>
      <c r="C271" t="s">
        <v>3</v>
      </c>
      <c r="D271" t="str">
        <f t="shared" si="4"/>
        <v>NGONG RD ADAMSBUTCHERY</v>
      </c>
      <c r="E271" t="s">
        <v>98</v>
      </c>
      <c r="F271" s="7">
        <v>2541112.9636881202</v>
      </c>
    </row>
    <row r="272" spans="1:6" x14ac:dyDescent="0.25">
      <c r="A272" t="s">
        <v>93</v>
      </c>
      <c r="B272">
        <v>68</v>
      </c>
      <c r="C272" t="s">
        <v>2</v>
      </c>
      <c r="D272" t="str">
        <f t="shared" si="4"/>
        <v>NGONG RD ADAMSDELI</v>
      </c>
      <c r="E272" t="s">
        <v>98</v>
      </c>
      <c r="F272" s="7">
        <v>2395653.9559272984</v>
      </c>
    </row>
    <row r="273" spans="1:6" x14ac:dyDescent="0.25">
      <c r="A273" t="s">
        <v>93</v>
      </c>
      <c r="B273">
        <v>68</v>
      </c>
      <c r="C273" t="s">
        <v>5</v>
      </c>
      <c r="D273" t="str">
        <f t="shared" si="4"/>
        <v>NGONG RD ADAMSVEGES</v>
      </c>
      <c r="E273" t="s">
        <v>98</v>
      </c>
      <c r="F273" s="7">
        <v>4414410.714278779</v>
      </c>
    </row>
    <row r="274" spans="1:6" x14ac:dyDescent="0.25">
      <c r="A274" t="s">
        <v>94</v>
      </c>
      <c r="B274">
        <v>69</v>
      </c>
      <c r="C274" t="s">
        <v>4</v>
      </c>
      <c r="D274" t="str">
        <f t="shared" si="4"/>
        <v>NAKURU SEC 58BAKERY</v>
      </c>
      <c r="E274" t="s">
        <v>98</v>
      </c>
      <c r="F274" s="7">
        <v>2148247.9797958964</v>
      </c>
    </row>
    <row r="275" spans="1:6" x14ac:dyDescent="0.25">
      <c r="A275" t="s">
        <v>94</v>
      </c>
      <c r="B275">
        <v>69</v>
      </c>
      <c r="C275" t="s">
        <v>3</v>
      </c>
      <c r="D275" t="str">
        <f t="shared" si="4"/>
        <v>NAKURU SEC 58BUTCHERY</v>
      </c>
      <c r="E275" t="s">
        <v>98</v>
      </c>
      <c r="F275" s="7">
        <v>2394513.4516168288</v>
      </c>
    </row>
    <row r="276" spans="1:6" x14ac:dyDescent="0.25">
      <c r="A276" t="s">
        <v>94</v>
      </c>
      <c r="B276">
        <v>69</v>
      </c>
      <c r="C276" t="s">
        <v>2</v>
      </c>
      <c r="D276" t="str">
        <f t="shared" si="4"/>
        <v>NAKURU SEC 58DELI</v>
      </c>
      <c r="E276" t="s">
        <v>98</v>
      </c>
      <c r="F276" s="7">
        <v>1977343.7090922976</v>
      </c>
    </row>
    <row r="277" spans="1:6" x14ac:dyDescent="0.25">
      <c r="A277" t="s">
        <v>94</v>
      </c>
      <c r="B277">
        <v>69</v>
      </c>
      <c r="C277" t="s">
        <v>5</v>
      </c>
      <c r="D277" t="str">
        <f t="shared" si="4"/>
        <v>NAKURU SEC 58VEGES</v>
      </c>
      <c r="E277" t="s">
        <v>98</v>
      </c>
      <c r="F277" s="7">
        <v>4267561.9334498104</v>
      </c>
    </row>
    <row r="278" spans="1:6" x14ac:dyDescent="0.25">
      <c r="A278" t="s">
        <v>95</v>
      </c>
      <c r="B278">
        <v>70</v>
      </c>
      <c r="C278" t="s">
        <v>4</v>
      </c>
      <c r="D278" t="str">
        <f t="shared" si="4"/>
        <v>NAKURU KENYATTA AVENUEBAKERY</v>
      </c>
      <c r="E278" t="s">
        <v>98</v>
      </c>
      <c r="F278" s="7">
        <v>2727825.3988084397</v>
      </c>
    </row>
    <row r="279" spans="1:6" x14ac:dyDescent="0.25">
      <c r="A279" t="s">
        <v>95</v>
      </c>
      <c r="B279">
        <v>70</v>
      </c>
      <c r="C279" t="s">
        <v>3</v>
      </c>
      <c r="D279" t="str">
        <f t="shared" si="4"/>
        <v>NAKURU KENYATTA AVENUEBUTCHERY</v>
      </c>
      <c r="E279" t="s">
        <v>98</v>
      </c>
      <c r="F279" s="7">
        <v>1803072.3132873201</v>
      </c>
    </row>
    <row r="280" spans="1:6" x14ac:dyDescent="0.25">
      <c r="A280" t="s">
        <v>95</v>
      </c>
      <c r="B280">
        <v>70</v>
      </c>
      <c r="C280" t="s">
        <v>2</v>
      </c>
      <c r="D280" t="str">
        <f t="shared" si="4"/>
        <v>NAKURU KENYATTA AVENUEDELI</v>
      </c>
      <c r="E280" t="s">
        <v>98</v>
      </c>
      <c r="F280" s="7">
        <v>2341973.2997396849</v>
      </c>
    </row>
    <row r="281" spans="1:6" x14ac:dyDescent="0.25">
      <c r="A281" t="s">
        <v>95</v>
      </c>
      <c r="B281">
        <v>70</v>
      </c>
      <c r="C281" t="s">
        <v>5</v>
      </c>
      <c r="D281" t="str">
        <f t="shared" si="4"/>
        <v>NAKURU KENYATTA AVENUEVEGES</v>
      </c>
      <c r="E281" t="s">
        <v>98</v>
      </c>
      <c r="F281" s="7">
        <v>3937514.1271671955</v>
      </c>
    </row>
    <row r="282" spans="1:6" x14ac:dyDescent="0.25">
      <c r="A282" t="s">
        <v>96</v>
      </c>
      <c r="B282">
        <v>71</v>
      </c>
      <c r="C282" t="s">
        <v>4</v>
      </c>
      <c r="D282" t="str">
        <f t="shared" si="4"/>
        <v>SYOKIMAU DIAMOND BIZBAKERY</v>
      </c>
      <c r="E282" t="s">
        <v>98</v>
      </c>
      <c r="F282" s="7">
        <v>2586246.1469371999</v>
      </c>
    </row>
    <row r="283" spans="1:6" x14ac:dyDescent="0.25">
      <c r="A283" t="s">
        <v>96</v>
      </c>
      <c r="B283">
        <v>71</v>
      </c>
      <c r="C283" t="s">
        <v>3</v>
      </c>
      <c r="D283" t="str">
        <f t="shared" si="4"/>
        <v>SYOKIMAU DIAMOND BIZBUTCHERY</v>
      </c>
      <c r="E283" t="s">
        <v>98</v>
      </c>
      <c r="F283" s="7">
        <v>1760144.4971161103</v>
      </c>
    </row>
    <row r="284" spans="1:6" x14ac:dyDescent="0.25">
      <c r="A284" t="s">
        <v>96</v>
      </c>
      <c r="B284">
        <v>71</v>
      </c>
      <c r="C284" t="s">
        <v>2</v>
      </c>
      <c r="D284" t="str">
        <f t="shared" si="4"/>
        <v>SYOKIMAU DIAMOND BIZDELI</v>
      </c>
      <c r="E284" t="s">
        <v>98</v>
      </c>
      <c r="F284" s="7">
        <v>1367389.3340752122</v>
      </c>
    </row>
    <row r="285" spans="1:6" x14ac:dyDescent="0.25">
      <c r="A285" t="s">
        <v>96</v>
      </c>
      <c r="B285">
        <v>71</v>
      </c>
      <c r="C285" t="s">
        <v>5</v>
      </c>
      <c r="D285" t="str">
        <f t="shared" si="4"/>
        <v>SYOKIMAU DIAMOND BIZVEGES</v>
      </c>
      <c r="E285" t="s">
        <v>98</v>
      </c>
      <c r="F285" s="7">
        <v>1552763.9396789875</v>
      </c>
    </row>
    <row r="286" spans="1:6" x14ac:dyDescent="0.25">
      <c r="A286" t="s">
        <v>97</v>
      </c>
      <c r="B286">
        <v>72</v>
      </c>
      <c r="C286" t="s">
        <v>4</v>
      </c>
      <c r="D286" t="str">
        <f t="shared" si="4"/>
        <v>MAKONGENI THIKABAKERY</v>
      </c>
      <c r="E286" t="s">
        <v>98</v>
      </c>
      <c r="F286" s="7">
        <v>1563285.359983772</v>
      </c>
    </row>
    <row r="287" spans="1:6" x14ac:dyDescent="0.25">
      <c r="A287" t="s">
        <v>97</v>
      </c>
      <c r="B287">
        <v>72</v>
      </c>
      <c r="C287" t="s">
        <v>3</v>
      </c>
      <c r="D287" t="str">
        <f t="shared" si="4"/>
        <v>MAKONGENI THIKABUTCHERY</v>
      </c>
      <c r="E287" t="s">
        <v>98</v>
      </c>
      <c r="F287" s="7">
        <v>2223519.0993255726</v>
      </c>
    </row>
    <row r="288" spans="1:6" x14ac:dyDescent="0.25">
      <c r="A288" t="s">
        <v>97</v>
      </c>
      <c r="B288">
        <v>72</v>
      </c>
      <c r="C288" t="s">
        <v>2</v>
      </c>
      <c r="D288" t="str">
        <f t="shared" si="4"/>
        <v>MAKONGENI THIKADELI</v>
      </c>
      <c r="E288" t="s">
        <v>98</v>
      </c>
      <c r="F288" s="7">
        <v>1056931.6169813387</v>
      </c>
    </row>
    <row r="289" spans="1:6" x14ac:dyDescent="0.25">
      <c r="A289" t="s">
        <v>97</v>
      </c>
      <c r="B289">
        <v>72</v>
      </c>
      <c r="C289" t="s">
        <v>5</v>
      </c>
      <c r="D289" t="str">
        <f t="shared" si="4"/>
        <v>MAKONGENI THIKAVEGES</v>
      </c>
      <c r="E289" t="s">
        <v>98</v>
      </c>
      <c r="F289" s="7">
        <v>2141799.9190851664</v>
      </c>
    </row>
    <row r="291" spans="1:6" ht="15.75" x14ac:dyDescent="0.25">
      <c r="F291" s="19">
        <f>SUM(F2:F290)</f>
        <v>567166806.2381959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DB46-FBD5-417C-81B6-A820DFB2453C}">
  <dimension ref="A1:F9"/>
  <sheetViews>
    <sheetView workbookViewId="0">
      <selection activeCell="E8" sqref="E8"/>
    </sheetView>
  </sheetViews>
  <sheetFormatPr defaultRowHeight="15" x14ac:dyDescent="0.25"/>
  <cols>
    <col min="2" max="2" width="12" bestFit="1" customWidth="1"/>
    <col min="3" max="3" width="14.28515625" style="7" bestFit="1" customWidth="1"/>
    <col min="4" max="6" width="13.28515625" bestFit="1" customWidth="1"/>
  </cols>
  <sheetData>
    <row r="1" spans="1:6" x14ac:dyDescent="0.25">
      <c r="D1" t="s">
        <v>74</v>
      </c>
      <c r="E1" t="s">
        <v>46</v>
      </c>
    </row>
    <row r="2" spans="1:6" x14ac:dyDescent="0.25">
      <c r="A2" t="s">
        <v>75</v>
      </c>
      <c r="B2" s="17">
        <v>0.27700000000000002</v>
      </c>
      <c r="D2" s="16">
        <f>$E$7*B2</f>
        <v>2052991.0400000003</v>
      </c>
      <c r="E2" s="16">
        <f>$E$8*B2</f>
        <v>951991.79983240005</v>
      </c>
      <c r="F2" s="16">
        <f>$E$9*B2</f>
        <v>1185197.1300000001</v>
      </c>
    </row>
    <row r="3" spans="1:6" x14ac:dyDescent="0.25">
      <c r="A3" t="s">
        <v>77</v>
      </c>
      <c r="B3" s="17">
        <v>0.2094</v>
      </c>
      <c r="D3" s="16">
        <f>$E$7*B3</f>
        <v>1551972.2879999999</v>
      </c>
      <c r="E3" s="16">
        <f>$E$8*B3</f>
        <v>719664.55915127997</v>
      </c>
      <c r="F3" s="16">
        <f t="shared" ref="F3:F5" si="0">$E$9*B3</f>
        <v>895957.68599999999</v>
      </c>
    </row>
    <row r="4" spans="1:6" x14ac:dyDescent="0.25">
      <c r="A4" t="s">
        <v>76</v>
      </c>
      <c r="B4" s="17">
        <v>0.22</v>
      </c>
      <c r="D4" s="16">
        <f>$E$7*B4</f>
        <v>1630534.4</v>
      </c>
      <c r="E4" s="16">
        <f>$E$8*B4</f>
        <v>756094.57026399998</v>
      </c>
      <c r="F4" s="16">
        <f t="shared" si="0"/>
        <v>941311.8</v>
      </c>
    </row>
    <row r="5" spans="1:6" x14ac:dyDescent="0.25">
      <c r="A5" t="s">
        <v>78</v>
      </c>
      <c r="B5" s="17">
        <v>0.29349999999999998</v>
      </c>
      <c r="D5" s="16">
        <f>$E$7*B5</f>
        <v>2175281.1199999996</v>
      </c>
      <c r="E5" s="16">
        <f>$E$8*B5</f>
        <v>1008698.8926021999</v>
      </c>
      <c r="F5" s="16">
        <f t="shared" si="0"/>
        <v>1255795.5149999999</v>
      </c>
    </row>
    <row r="7" spans="1:6" x14ac:dyDescent="0.25">
      <c r="B7" t="s">
        <v>74</v>
      </c>
      <c r="C7" s="7">
        <v>60800000</v>
      </c>
      <c r="D7">
        <v>0.12189999999999999</v>
      </c>
      <c r="E7" s="7">
        <f>C7*D7</f>
        <v>7411520</v>
      </c>
    </row>
    <row r="8" spans="1:6" x14ac:dyDescent="0.25">
      <c r="B8" t="s">
        <v>46</v>
      </c>
      <c r="C8" s="7">
        <v>28193548</v>
      </c>
      <c r="D8">
        <v>0.12189999999999999</v>
      </c>
      <c r="E8" s="7">
        <f>C8*D8</f>
        <v>3436793.5011999998</v>
      </c>
    </row>
    <row r="9" spans="1:6" x14ac:dyDescent="0.25">
      <c r="B9" t="s">
        <v>71</v>
      </c>
      <c r="C9" s="7">
        <v>35100000</v>
      </c>
      <c r="D9">
        <v>0.12189999999999999</v>
      </c>
      <c r="E9" s="7">
        <f>C9*D9</f>
        <v>4278690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SEPTEMBER</vt:lpstr>
      <vt:lpstr>SEPTEMBER BUDGET</vt:lpstr>
      <vt:lpstr>SEP</vt:lpstr>
      <vt:lpstr>WORKINGS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</dc:creator>
  <cp:lastModifiedBy>Quick</cp:lastModifiedBy>
  <dcterms:created xsi:type="dcterms:W3CDTF">2023-10-01T15:50:08Z</dcterms:created>
  <dcterms:modified xsi:type="dcterms:W3CDTF">2026-09-03T13:13:51Z</dcterms:modified>
</cp:coreProperties>
</file>